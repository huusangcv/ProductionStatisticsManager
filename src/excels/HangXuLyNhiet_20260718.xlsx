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Hàng xln" state="visible" r:id="rId4"/>
    <sheet sheetId="7" name="xử lý chất liệu" state="visible" r:id="rId5"/>
  </sheets>
  <definedNames>
    <definedName name="_xlnm._FilterDatabase">'xử lý chất liệu'!$A$2:$K$235</definedName>
    <definedName name="_xlnm.Print_Area" localSheetId="0">'Hàng xln'!$A1:$I13</definedName>
    <definedName name="_xlnm.Print_Titles" localSheetId="0">'Hàng xln'!$4:$5</definedName>
    <definedName name="_xlnm.Print_Area" localSheetId="1">'xử lý chất liệu'!$A1:$I241</definedName>
    <definedName name="_xlnm.Print_Titles" localSheetId="1">'xử lý chất liệu'!$1:$2</definedName>
  </definedNames>
  <calcPr calcId="171027"/>
</workbook>
</file>

<file path=xl/sharedStrings.xml><?xml version="1.0" encoding="utf-8"?>
<sst xmlns="http://schemas.openxmlformats.org/spreadsheetml/2006/main" count="682" uniqueCount="280">
  <si>
    <t xml:space="preserve">
越南铁王流体控制设备有限公司
CÔNG TY TNHH THIẾT BỊ KIẾM SOÁT DÒNG CHẢY KING DOM VIỆT NAM</t>
  </si>
  <si>
    <t>DANH SÁCH HÀNG ĐÃ HOÀN THÀNH XỬ LÝ NHIỆT</t>
  </si>
  <si>
    <t>日期/Ngày:</t>
  </si>
  <si>
    <t>18/07/2026</t>
  </si>
  <si>
    <t xml:space="preserve">序号
STT</t>
  </si>
  <si>
    <t xml:space="preserve">客户订单号
Đơn đặt hàng của khách hàng</t>
  </si>
  <si>
    <t xml:space="preserve">工单号
Mã công đơn</t>
  </si>
  <si>
    <t xml:space="preserve">料号
Mã liệu</t>
  </si>
  <si>
    <t xml:space="preserve">品名
Tên hàng</t>
  </si>
  <si>
    <t xml:space="preserve">规格
Quy cách</t>
  </si>
  <si>
    <t xml:space="preserve">完工数量
Số lượng hoàn thành</t>
  </si>
  <si>
    <t xml:space="preserve">单位重量
Đơn vị trọng lượng</t>
  </si>
  <si>
    <t xml:space="preserve">完成重量
Trọng lượng hoàn thành</t>
  </si>
  <si>
    <t>Loại</t>
  </si>
  <si>
    <t>Chất liệu</t>
  </si>
  <si>
    <t>SV011-2026000017</t>
  </si>
  <si>
    <t>PC102-2601210013</t>
  </si>
  <si>
    <t>288141201095101</t>
  </si>
  <si>
    <t>FNW KV-L41 阀体毛坯Phôi thân (NACE)</t>
  </si>
  <si>
    <t>NPS11/2 CL150 WCB</t>
  </si>
  <si>
    <t>XLN</t>
  </si>
  <si>
    <t>WCB</t>
  </si>
  <si>
    <t>SV011-2026000018</t>
  </si>
  <si>
    <t>PC102-2601210016</t>
  </si>
  <si>
    <t>288041202095101</t>
  </si>
  <si>
    <t>FNW KV-041 阀盖毛坯Phôi nắp (NACE)</t>
  </si>
  <si>
    <t>SV011-2026000019</t>
  </si>
  <si>
    <t>PC102-2601210018</t>
  </si>
  <si>
    <t>SV011-2026000100</t>
  </si>
  <si>
    <t>PC102-2603180620</t>
  </si>
  <si>
    <t>2055302010100800</t>
  </si>
  <si>
    <t>MB 114 K-03 XB</t>
  </si>
  <si>
    <t>11/2 CF8 NPT</t>
  </si>
  <si>
    <t>304</t>
  </si>
  <si>
    <t>SV011-2026000104</t>
  </si>
  <si>
    <t>PC102-2603200036</t>
  </si>
  <si>
    <t>2056002010001103</t>
  </si>
  <si>
    <t>MB 114 K-06 CU 3#</t>
  </si>
  <si>
    <t>3 CF8</t>
  </si>
  <si>
    <t>PC102-2603200039</t>
  </si>
  <si>
    <t>2055802010100500</t>
  </si>
  <si>
    <t>MB 114 K-08 PFCO</t>
  </si>
  <si>
    <t>3/4 CF8 NPT</t>
  </si>
  <si>
    <t>PC102-2603200059</t>
  </si>
  <si>
    <t>2055902010106500</t>
  </si>
  <si>
    <t>MB 114 K-09 HB</t>
  </si>
  <si>
    <t>4*1 CF8 NPT</t>
  </si>
  <si>
    <t>PC102-2603200085</t>
  </si>
  <si>
    <t>2055092021001000</t>
  </si>
  <si>
    <t>MB 114 K-11 LN</t>
  </si>
  <si>
    <t>21/2 CF8M NPSL</t>
  </si>
  <si>
    <t>316</t>
  </si>
  <si>
    <t>SV011-2026000105</t>
  </si>
  <si>
    <t>PC102-2603200223</t>
  </si>
  <si>
    <t>2055102010000300</t>
  </si>
  <si>
    <t>MB 114 K-01 LB</t>
  </si>
  <si>
    <t>3/8 CF8</t>
  </si>
  <si>
    <t>SV011-2026000114</t>
  </si>
  <si>
    <t>PC102-2604010018</t>
  </si>
  <si>
    <t>200030201060301</t>
  </si>
  <si>
    <t>KI KV-030 阀体毛坯Phôi thân</t>
  </si>
  <si>
    <t>NPS3 1000WOG CF8M</t>
  </si>
  <si>
    <t>SV011-2026000115</t>
  </si>
  <si>
    <t>PC102-2604010040</t>
  </si>
  <si>
    <t>PC102-2604010058</t>
  </si>
  <si>
    <t>200020202060201</t>
  </si>
  <si>
    <t>KI KV-020 阀盖毛坯Phôi nắp</t>
  </si>
  <si>
    <t>NPS2 1000WOG CF8M</t>
  </si>
  <si>
    <t>SV011-2026000120</t>
  </si>
  <si>
    <t>PC102-2604030155</t>
  </si>
  <si>
    <t>2055111040001610</t>
  </si>
  <si>
    <t>MB  K-01A RLB 热处理xử lý nhiệt</t>
  </si>
  <si>
    <t>1/2*3/8 304</t>
  </si>
  <si>
    <t>PC102-2604030247</t>
  </si>
  <si>
    <t>2055231060000910</t>
  </si>
  <si>
    <t>MB  K-02C YB 热处理xử lý nhiệt</t>
  </si>
  <si>
    <t>2 316</t>
  </si>
  <si>
    <t>PC102-2604030312</t>
  </si>
  <si>
    <t>2055202010100200</t>
  </si>
  <si>
    <t>MB 114 K-02 TB</t>
  </si>
  <si>
    <t>1/4 CF8 NPT</t>
  </si>
  <si>
    <t>PC102-2604030316</t>
  </si>
  <si>
    <t>2055202010100700</t>
  </si>
  <si>
    <t>11/4 CF8 NPT</t>
  </si>
  <si>
    <t>PC102-2604030321</t>
  </si>
  <si>
    <t>2055302010100600</t>
  </si>
  <si>
    <t>1 CF8 NPT</t>
  </si>
  <si>
    <t>PC102-2604030346</t>
  </si>
  <si>
    <t>2055902010102900</t>
  </si>
  <si>
    <t>11/4*3/4 CF8 NPT</t>
  </si>
  <si>
    <t>PC102-2604030365</t>
  </si>
  <si>
    <t>2055612010102100</t>
  </si>
  <si>
    <t>MB 114 K-12A RSB</t>
  </si>
  <si>
    <t>3/4*1/4 CF8 NPT</t>
  </si>
  <si>
    <t>PC102-2604030369</t>
  </si>
  <si>
    <t>2055612010103600</t>
  </si>
  <si>
    <t>11/2*3/4 CF8 NPT</t>
  </si>
  <si>
    <t>PC102-2604030373</t>
  </si>
  <si>
    <t>2055612010104200</t>
  </si>
  <si>
    <t>2*1 CF8 NPT</t>
  </si>
  <si>
    <t>PC102-2604030375</t>
  </si>
  <si>
    <t>2055612010105800</t>
  </si>
  <si>
    <t>3*1 CF8 NPT</t>
  </si>
  <si>
    <t>PC102-2604030467</t>
  </si>
  <si>
    <t>2055612020104000</t>
  </si>
  <si>
    <t>2*11/2 CF8M NPT</t>
  </si>
  <si>
    <t>SV011-2026000179</t>
  </si>
  <si>
    <t>PC102-2605200276</t>
  </si>
  <si>
    <t>2055012010000400</t>
  </si>
  <si>
    <t>MB 114 K-10A CB</t>
  </si>
  <si>
    <t>1/2 CF8</t>
  </si>
  <si>
    <t>PC102-2605200311</t>
  </si>
  <si>
    <t>2055902020104300</t>
  </si>
  <si>
    <t>2*3/4 CF8M NPT</t>
  </si>
  <si>
    <t>SV011-2026000180</t>
  </si>
  <si>
    <t>PC102-2605200331</t>
  </si>
  <si>
    <t>2055721040001710</t>
  </si>
  <si>
    <t>MB  K-07A RHN 热处理xử lý nhiệt</t>
  </si>
  <si>
    <t>1/2*1/4 304</t>
  </si>
  <si>
    <t>PC102-2605200416</t>
  </si>
  <si>
    <t>2055841040000510</t>
  </si>
  <si>
    <t>MB  K-072 HN 热处理xử lý nhiệt</t>
  </si>
  <si>
    <t>3/4 304</t>
  </si>
  <si>
    <t>PC102-2605200423</t>
  </si>
  <si>
    <t>2055721040002310</t>
  </si>
  <si>
    <t>1*3/4 304</t>
  </si>
  <si>
    <t>PC102-2605200652</t>
  </si>
  <si>
    <t>2016002010100602</t>
  </si>
  <si>
    <t>KI 114  KI-06 CU 2#</t>
  </si>
  <si>
    <t>PC102-2605200659</t>
  </si>
  <si>
    <t>2015342010100200</t>
  </si>
  <si>
    <t>KI 114  KI-12L 114SPP</t>
  </si>
  <si>
    <t>PC102-2605200688</t>
  </si>
  <si>
    <t>2055102010000600</t>
  </si>
  <si>
    <t>1 CF8</t>
  </si>
  <si>
    <t>PC102-2605200736</t>
  </si>
  <si>
    <t>PC102-2605200741</t>
  </si>
  <si>
    <t>2016002010100801</t>
  </si>
  <si>
    <t>KI 114  KI-06 CU 1#</t>
  </si>
  <si>
    <t>PC102-2605200748</t>
  </si>
  <si>
    <t>2055802010100400</t>
  </si>
  <si>
    <t>1/2 CF8 NPT</t>
  </si>
  <si>
    <t>PC102-2605200762</t>
  </si>
  <si>
    <t>2055902010101300</t>
  </si>
  <si>
    <t>1/4*1/8 CF8 NPT</t>
  </si>
  <si>
    <t>PC102-2605200768</t>
  </si>
  <si>
    <t>2055902010102100</t>
  </si>
  <si>
    <t>PC102-2605200778</t>
  </si>
  <si>
    <t>2055902010103500</t>
  </si>
  <si>
    <t>11/2*1 CF8 NPT</t>
  </si>
  <si>
    <t>PC102-2605200792</t>
  </si>
  <si>
    <t>PC102-2605200814</t>
  </si>
  <si>
    <t>PC102-2605200821</t>
  </si>
  <si>
    <t>2015352010100600</t>
  </si>
  <si>
    <t>KI 114  KI-12M 114HSPP</t>
  </si>
  <si>
    <t>PC102-2605200837</t>
  </si>
  <si>
    <t>PC102-2605200932</t>
  </si>
  <si>
    <t>2055902020102100</t>
  </si>
  <si>
    <t>3/4*1/4 CF8M NPT</t>
  </si>
  <si>
    <t>PC102-2605200978</t>
  </si>
  <si>
    <t>2015352020100500</t>
  </si>
  <si>
    <t>3/4 CF8M NPT</t>
  </si>
  <si>
    <t>PC102-2605200980</t>
  </si>
  <si>
    <t>2015352020100800</t>
  </si>
  <si>
    <t>11/2 CF8M NPT</t>
  </si>
  <si>
    <t>SV011-2026000181</t>
  </si>
  <si>
    <t>PC102-2605201257</t>
  </si>
  <si>
    <t>2016002020100801</t>
  </si>
  <si>
    <t>SV011-2026000182</t>
  </si>
  <si>
    <t>PC102-2605201369</t>
  </si>
  <si>
    <t>SV011-2026000183</t>
  </si>
  <si>
    <t>PC102-2605210132</t>
  </si>
  <si>
    <t>SV011-2026000195</t>
  </si>
  <si>
    <t>PC102-2605290001</t>
  </si>
  <si>
    <t>212018201070201</t>
  </si>
  <si>
    <t>Ladish KV-080-RD 阀体毛坯Phôi thân</t>
  </si>
  <si>
    <t>NPS2 CL600 ASTM A351-CF3M</t>
  </si>
  <si>
    <t>CF3M</t>
  </si>
  <si>
    <t>SV011-2026000199</t>
  </si>
  <si>
    <t>PC102-2606060033</t>
  </si>
  <si>
    <t>288025201060101</t>
  </si>
  <si>
    <t>FNW KV-020H 阀体毛坯Phôi thân</t>
  </si>
  <si>
    <t>NPS1 2000CWP ASTM A351-CF8M</t>
  </si>
  <si>
    <t>SV011-2026000218</t>
  </si>
  <si>
    <t>PC102-2606180010</t>
  </si>
  <si>
    <t>200080202090102</t>
  </si>
  <si>
    <t>KI KV-080 阀盖毛坯Phôi nắp (NACE)</t>
  </si>
  <si>
    <t>NPS1 2000WOG WCB</t>
  </si>
  <si>
    <t>PC102-2606180013</t>
  </si>
  <si>
    <t>2SM080201090201</t>
  </si>
  <si>
    <t>SMITH KV-080 阀体毛坯Phôi thân (英制芯棒，NACE)</t>
  </si>
  <si>
    <t>NPS2 1500WOG ASTM A216-WCB</t>
  </si>
  <si>
    <t>PHOI  ĐẦU KÉO (18.6.2026)</t>
  </si>
  <si>
    <t>PC102-2606180024</t>
  </si>
  <si>
    <t>416052317</t>
  </si>
  <si>
    <t>试棒毛坯</t>
  </si>
  <si>
    <t>φ12.5 CF8M</t>
  </si>
  <si>
    <t>SV011-2026000223</t>
  </si>
  <si>
    <t>PC102-2606250012</t>
  </si>
  <si>
    <t>212018201075001</t>
  </si>
  <si>
    <t>NPS1/2 CL800 ASTM A351-CF3M</t>
  </si>
  <si>
    <t>PC102-2606250015</t>
  </si>
  <si>
    <t>SV011-2026000226</t>
  </si>
  <si>
    <t>PC102-2606260007</t>
  </si>
  <si>
    <t>288141201065101</t>
  </si>
  <si>
    <t>NPS11/2 CL150 CF8M</t>
  </si>
  <si>
    <t>PC102-2606260022</t>
  </si>
  <si>
    <t>288020201060201</t>
  </si>
  <si>
    <t>FNW KV-020 阀体毛坯Phôi thân</t>
  </si>
  <si>
    <t>NPS2 1000CWP ASTM A351-CF8M</t>
  </si>
  <si>
    <t>PC102-2606260023</t>
  </si>
  <si>
    <t>SV011-2026000225</t>
  </si>
  <si>
    <t>PC102-2606260064</t>
  </si>
  <si>
    <t>288030201060201</t>
  </si>
  <si>
    <t>FNW KV-030 阀体毛坯Phôi thân</t>
  </si>
  <si>
    <t>PC102-2606260065</t>
  </si>
  <si>
    <t>200002202070202</t>
  </si>
  <si>
    <t>KI KV-M32 阀盖毛坯Phôi nắp (SW)</t>
  </si>
  <si>
    <t>NPS2 1000WOG CF3M</t>
  </si>
  <si>
    <t>PC102-2606260073</t>
  </si>
  <si>
    <t>200000202068601</t>
  </si>
  <si>
    <t>KI KV-M30 阀盖毛坯Phôi nắp (KV-M30/KV-030/KV-L30)</t>
  </si>
  <si>
    <t>NPS3/4 1000WOG CF8M</t>
  </si>
  <si>
    <t>PC102-2606260082</t>
  </si>
  <si>
    <t>288161201060101</t>
  </si>
  <si>
    <t>FNW KV-L61 阀体毛坯Phôi thân (NACE)</t>
  </si>
  <si>
    <t>NPS1 CL150 CF8M</t>
  </si>
  <si>
    <t>SV011-2025000248</t>
  </si>
  <si>
    <t>PC102-2607030002</t>
  </si>
  <si>
    <t>212OEM202060207</t>
  </si>
  <si>
    <t>Ladish 阀盖毛坯Phôi nắp (全流量,X2049-8F1-B,版本0)</t>
  </si>
  <si>
    <t>NPS2 CL150 ASTM A351-CF8M</t>
  </si>
  <si>
    <t>SV26-0092</t>
  </si>
  <si>
    <t>PC106-2606090022</t>
  </si>
  <si>
    <t>212018201070101</t>
  </si>
  <si>
    <t>NPS1 CL800 ASTM A351-CF3M</t>
  </si>
  <si>
    <t>SV26-0188</t>
  </si>
  <si>
    <t>PC106-2607060014</t>
  </si>
  <si>
    <t>200014202060301</t>
  </si>
  <si>
    <t>KI KV-M1F 阀盖毛坯</t>
  </si>
  <si>
    <t>NPS3 CL150 CF8M</t>
  </si>
  <si>
    <t>SV26-0100</t>
  </si>
  <si>
    <t>PC106-2607060016</t>
  </si>
  <si>
    <t>2055302010100400</t>
  </si>
  <si>
    <t>PC106-2607060017</t>
  </si>
  <si>
    <t>SV26-0104</t>
  </si>
  <si>
    <t>PC106-2607070003</t>
  </si>
  <si>
    <t>2055012020001000</t>
  </si>
  <si>
    <t>21/2 CF8M</t>
  </si>
  <si>
    <t>SV26-0120</t>
  </si>
  <si>
    <t>PC106-2607070007</t>
  </si>
  <si>
    <t>2055012010000900</t>
  </si>
  <si>
    <t>2 CF8</t>
  </si>
  <si>
    <t>PC106-2607080004</t>
  </si>
  <si>
    <t>2055402010100500</t>
  </si>
  <si>
    <t>MB 114 K-04 SLB</t>
  </si>
  <si>
    <t>PC106-2607080005</t>
  </si>
  <si>
    <t>2055822010100700</t>
  </si>
  <si>
    <t>MB 114 K-08B PP</t>
  </si>
  <si>
    <t>SV26-0180</t>
  </si>
  <si>
    <t>PC106-2607080010</t>
  </si>
  <si>
    <t>SV26-0121</t>
  </si>
  <si>
    <t>PC106-2607090006</t>
  </si>
  <si>
    <t>2015342010100900</t>
  </si>
  <si>
    <t>2 CF8 NPT</t>
  </si>
  <si>
    <t>SV26-0179</t>
  </si>
  <si>
    <t>PC106-2607090012</t>
  </si>
  <si>
    <t>2055902010104700</t>
  </si>
  <si>
    <t>21/2*2 CF8 NPT</t>
  </si>
  <si>
    <t>PC106-2607100001</t>
  </si>
  <si>
    <t>2055111040002410</t>
  </si>
  <si>
    <t>1*1/2 304</t>
  </si>
  <si>
    <t>SV26-0183</t>
  </si>
  <si>
    <t>PC106-2607100009</t>
  </si>
  <si>
    <t>Khối lượng hàng WCB</t>
  </si>
  <si>
    <t>Khối lượng hàng khác</t>
  </si>
  <si>
    <t>Tổng</t>
  </si>
  <si>
    <r>
      <t xml:space="preserve">送货人
</t>
    </r>
    <r>
      <rPr>
        <b/>
        <family val="1"/>
        <sz val="12"/>
        <rFont val="Times New Roman"/>
      </rPr>
      <t>Người giao</t>
    </r>
  </si>
  <si>
    <t xml:space="preserve">   部门主管
Chủ quản BP</t>
  </si>
  <si>
    <r>
      <t xml:space="preserve">收货人
</t>
    </r>
    <r>
      <rPr>
        <b/>
        <family val="1"/>
        <sz val="12"/>
        <rFont val="Times New Roman"/>
      </rPr>
      <t xml:space="preserve">Người nhận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</si>
</sst>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dd/mm/yyyy"/>
    <numFmt numFmtId="166" formatCode="0.00 &quot;Kg&quot;"/>
  </numFmts>
  <fonts count="9" x14ac:knownFonts="1">
    <font>
      <color theme="1"/>
      <family val="2"/>
      <scheme val="minor"/>
      <sz val="11"/>
      <name val="Calibri"/>
    </font>
    <font>
      <family val="1"/>
      <sz val="12"/>
      <name val="Times New Roman"/>
    </font>
    <font>
      <b/>
      <family val="1"/>
      <sz val="13"/>
      <name val="Times New Roman"/>
    </font>
    <font>
      <b/>
      <family val="1"/>
      <sz val="16"/>
      <name val="Times New Roman"/>
    </font>
    <font>
      <b/>
      <family val="1"/>
      <sz val="11"/>
      <name val="Times New Roman"/>
    </font>
    <font>
      <color theme="1"/>
      <family val="1"/>
      <sz val="9"/>
      <name val="Times New Roman"/>
    </font>
    <font>
      <family val="1"/>
      <sz val="10"/>
      <name val="Times New Roman"/>
    </font>
    <font>
      <b/>
      <sz val="12"/>
      <name val="宋体"/>
    </font>
    <font>
      <b/>
      <family val="1"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Continuous" vertical="center" wrapText="1"/>
    </xf>
    <xf numFmtId="0" fontId="4" fillId="2" borderId="2" xfId="0" applyFont="1" applyFill="1" applyBorder="1" applyAlignment="1">
      <alignment horizontal="centerContinuous" vertical="center" wrapText="1"/>
    </xf>
    <xf numFmtId="166" fontId="4" fillId="2" borderId="3" xfId="0" applyNumberFormat="1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66" fontId="4" fillId="2" borderId="2" xfId="0" applyNumberFormat="1" applyFont="1" applyFill="1" applyBorder="1" applyAlignment="1">
      <alignment horizontal="center" vertical="center" wrapText="1"/>
    </xf>
    <xf numFmtId="166" fontId="4" fillId="2" borderId="2" xfId="0" applyNumberFormat="1" applyFont="1" applyFill="1" applyBorder="1" applyAlignment="1">
      <alignment horizontal="centerContinuous" vertical="center" wrapText="1"/>
    </xf>
    <xf numFmtId="0" fontId="7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Continuous" vertical="center" wrapText="1"/>
    </xf>
    <xf numFmtId="0" fontId="1" fillId="2" borderId="0" xfId="0" applyFont="1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184668</xdr:colOff>
      <xdr:row>0</xdr:row>
      <xdr:rowOff>58317</xdr:rowOff>
    </xdr:from>
    <xdr:to>
      <xdr:col>2</xdr:col>
      <xdr:colOff>700294</xdr:colOff>
      <xdr:row>0</xdr:row>
      <xdr:rowOff>343007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246789</xdr:colOff>
      <xdr:row>0</xdr:row>
      <xdr:rowOff>381168</xdr:rowOff>
    </xdr:from>
    <xdr:to>
      <xdr:col>2</xdr:col>
      <xdr:colOff>726342</xdr:colOff>
      <xdr:row>0</xdr:row>
      <xdr:rowOff>496957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workbookViewId="0" zoomScale="100" zoomScaleNormal="100">
      <pane ySplit="5" topLeftCell="A6" activePane="bottomLeft" state="frozen"/>
      <selection pane="bottomLeft" activeCell="A7" sqref="A7"/>
    </sheetView>
  </sheetViews>
  <sheetFormatPr defaultRowHeight="15.75" outlineLevelRow="0" outlineLevelCol="0" x14ac:dyDescent="0" defaultColWidth="8.625" customHeight="1"/>
  <cols>
    <col min="1" max="1" width="5" style="1" customWidth="1"/>
    <col min="2" max="2" width="13.5" style="2" customWidth="1"/>
    <col min="3" max="3" width="14.625" style="2" customWidth="1"/>
    <col min="4" max="4" width="13.375" style="2" customWidth="1"/>
    <col min="5" max="5" width="20.375" style="2" customWidth="1"/>
    <col min="6" max="6" width="18.875" style="2" customWidth="1"/>
    <col min="7" max="7" width="13" style="2" customWidth="1"/>
    <col min="8" max="8" width="9.625" style="2" customWidth="1"/>
    <col min="9" max="9" width="11" style="2" customWidth="1"/>
    <col min="10" max="16384" width="8.625" style="2" customWidth="1"/>
  </cols>
  <sheetData>
    <row r="1" ht="62.2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9.5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4.75" customHeight="1" spans="1:10" x14ac:dyDescent="0.25">
      <c r="A3" s="5"/>
      <c r="B3" s="5" t="s">
        <v>2</v>
      </c>
      <c r="C3" s="6" t="s">
        <v>3</v>
      </c>
      <c r="D3" s="5"/>
      <c r="E3" s="5"/>
      <c r="F3" s="5"/>
      <c r="G3" s="5"/>
      <c r="H3" s="5"/>
      <c r="I3" s="5"/>
      <c r="J3" s="5"/>
    </row>
    <row r="4" ht="30" customHeight="1" spans="1:9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</row>
    <row r="5" ht="74.25" customHeight="1" spans="1:11" x14ac:dyDescent="0.25">
      <c r="A5" s="7"/>
      <c r="B5" s="7"/>
      <c r="C5" s="7"/>
      <c r="D5" s="7"/>
      <c r="E5" s="7"/>
      <c r="F5" s="7"/>
      <c r="G5" s="7"/>
      <c r="H5" s="7"/>
      <c r="I5" s="7"/>
      <c r="J5" s="1" t="s">
        <v>13</v>
      </c>
      <c r="K5" s="1" t="s">
        <v>14</v>
      </c>
    </row>
    <row r="6" ht="21.75" customHeight="1" spans="1:13" x14ac:dyDescent="0.25">
      <c r="A6" s="8">
        <v>1</v>
      </c>
      <c r="B6" s="9" t="s">
        <v>15</v>
      </c>
      <c r="C6" s="9" t="s">
        <v>16</v>
      </c>
      <c r="D6" s="9" t="s">
        <v>17</v>
      </c>
      <c r="E6" s="10" t="s">
        <v>18</v>
      </c>
      <c r="F6" s="10" t="s">
        <v>19</v>
      </c>
      <c r="G6" s="10">
        <v>82</v>
      </c>
      <c r="H6" s="10">
        <v>2.6</v>
      </c>
      <c r="I6" s="10">
        <v>213.2</v>
      </c>
      <c r="J6" s="2" t="s">
        <v>20</v>
      </c>
      <c r="K6" s="2" t="s">
        <v>21</v>
      </c>
      <c r="L6" s="2"/>
      <c r="M6" s="2"/>
    </row>
    <row r="7" ht="21.75" customHeight="1" spans="1:13" x14ac:dyDescent="0.25">
      <c r="A7" s="8">
        <v>2</v>
      </c>
      <c r="B7" s="9" t="s">
        <v>22</v>
      </c>
      <c r="C7" s="9" t="s">
        <v>23</v>
      </c>
      <c r="D7" s="9" t="s">
        <v>24</v>
      </c>
      <c r="E7" s="10" t="s">
        <v>25</v>
      </c>
      <c r="F7" s="10" t="s">
        <v>19</v>
      </c>
      <c r="G7" s="10">
        <v>66</v>
      </c>
      <c r="H7" s="10">
        <v>2.287</v>
      </c>
      <c r="I7" s="10">
        <v>150.942</v>
      </c>
      <c r="J7" s="2" t="s">
        <v>20</v>
      </c>
      <c r="K7" s="2" t="s">
        <v>21</v>
      </c>
      <c r="L7" s="2"/>
      <c r="M7" s="2"/>
    </row>
    <row r="8" ht="21.75" customHeight="1" spans="1:13" x14ac:dyDescent="0.25">
      <c r="A8" s="8">
        <v>3</v>
      </c>
      <c r="B8" s="9" t="s">
        <v>26</v>
      </c>
      <c r="C8" s="9" t="s">
        <v>27</v>
      </c>
      <c r="D8" s="9" t="s">
        <v>24</v>
      </c>
      <c r="E8" s="10" t="s">
        <v>25</v>
      </c>
      <c r="F8" s="10" t="s">
        <v>19</v>
      </c>
      <c r="G8" s="10">
        <v>5</v>
      </c>
      <c r="H8" s="10">
        <v>2.287</v>
      </c>
      <c r="I8" s="10">
        <v>11.435</v>
      </c>
      <c r="J8" s="2" t="s">
        <v>20</v>
      </c>
      <c r="K8" s="2" t="s">
        <v>21</v>
      </c>
      <c r="L8" s="2"/>
      <c r="M8" s="2"/>
    </row>
    <row r="9" ht="21.75" customHeight="1" spans="1:13" x14ac:dyDescent="0.25">
      <c r="A9" s="8">
        <v>4</v>
      </c>
      <c r="B9" s="9" t="s">
        <v>28</v>
      </c>
      <c r="C9" s="9" t="s">
        <v>29</v>
      </c>
      <c r="D9" s="9" t="s">
        <v>30</v>
      </c>
      <c r="E9" s="10" t="s">
        <v>31</v>
      </c>
      <c r="F9" s="10" t="s">
        <v>32</v>
      </c>
      <c r="G9" s="10">
        <v>6</v>
      </c>
      <c r="H9" s="10">
        <v>1.046</v>
      </c>
      <c r="I9" s="10">
        <v>6.276</v>
      </c>
      <c r="J9" s="2" t="s">
        <v>20</v>
      </c>
      <c r="K9" s="2" t="s">
        <v>33</v>
      </c>
      <c r="L9" s="2"/>
      <c r="M9" s="2"/>
    </row>
    <row r="10" ht="21.75" customHeight="1" spans="1:13" x14ac:dyDescent="0.25">
      <c r="A10" s="8">
        <v>5</v>
      </c>
      <c r="B10" s="9" t="s">
        <v>34</v>
      </c>
      <c r="C10" s="9" t="s">
        <v>35</v>
      </c>
      <c r="D10" s="9" t="s">
        <v>36</v>
      </c>
      <c r="E10" s="10" t="s">
        <v>37</v>
      </c>
      <c r="F10" s="10" t="s">
        <v>38</v>
      </c>
      <c r="G10" s="10">
        <v>27</v>
      </c>
      <c r="H10" s="10">
        <v>0.909</v>
      </c>
      <c r="I10" s="10">
        <v>24.543</v>
      </c>
      <c r="J10" s="2" t="s">
        <v>20</v>
      </c>
      <c r="K10" s="2" t="s">
        <v>33</v>
      </c>
      <c r="L10" s="2"/>
      <c r="M10" s="2"/>
    </row>
    <row r="11" ht="21.75" customHeight="1" spans="1:13" x14ac:dyDescent="0.25">
      <c r="A11" s="8">
        <v>6</v>
      </c>
      <c r="B11" s="9" t="s">
        <v>34</v>
      </c>
      <c r="C11" s="9" t="s">
        <v>39</v>
      </c>
      <c r="D11" s="9" t="s">
        <v>40</v>
      </c>
      <c r="E11" s="10" t="s">
        <v>41</v>
      </c>
      <c r="F11" s="10" t="s">
        <v>42</v>
      </c>
      <c r="G11" s="10">
        <v>62</v>
      </c>
      <c r="H11" s="10">
        <v>0.085</v>
      </c>
      <c r="I11" s="10">
        <v>5.27</v>
      </c>
      <c r="J11" s="2" t="s">
        <v>20</v>
      </c>
      <c r="K11" s="2" t="s">
        <v>33</v>
      </c>
      <c r="L11" s="2"/>
      <c r="M11" s="2"/>
    </row>
    <row r="12" ht="21.75" customHeight="1" spans="1:13" x14ac:dyDescent="0.25">
      <c r="A12" s="8">
        <v>7</v>
      </c>
      <c r="B12" s="9" t="s">
        <v>34</v>
      </c>
      <c r="C12" s="9" t="s">
        <v>43</v>
      </c>
      <c r="D12" s="9" t="s">
        <v>44</v>
      </c>
      <c r="E12" s="10" t="s">
        <v>45</v>
      </c>
      <c r="F12" s="10" t="s">
        <v>46</v>
      </c>
      <c r="G12" s="10">
        <v>24</v>
      </c>
      <c r="H12" s="10">
        <v>1.315</v>
      </c>
      <c r="I12" s="10">
        <v>31.56</v>
      </c>
      <c r="J12" s="2" t="s">
        <v>20</v>
      </c>
      <c r="K12" s="2" t="s">
        <v>33</v>
      </c>
      <c r="L12" s="2"/>
      <c r="M12" s="2"/>
    </row>
    <row r="13" ht="21.75" customHeight="1" spans="1:13" x14ac:dyDescent="0.25">
      <c r="A13" s="8">
        <v>8</v>
      </c>
      <c r="B13" s="9" t="s">
        <v>34</v>
      </c>
      <c r="C13" s="9" t="s">
        <v>47</v>
      </c>
      <c r="D13" s="9" t="s">
        <v>48</v>
      </c>
      <c r="E13" s="10" t="s">
        <v>49</v>
      </c>
      <c r="F13" s="10" t="s">
        <v>50</v>
      </c>
      <c r="G13" s="10">
        <v>12</v>
      </c>
      <c r="H13" s="10">
        <v>0.538</v>
      </c>
      <c r="I13" s="10">
        <v>6.456</v>
      </c>
      <c r="J13" s="2" t="s">
        <v>20</v>
      </c>
      <c r="K13" s="2" t="s">
        <v>51</v>
      </c>
      <c r="L13" s="2"/>
      <c r="M13" s="2"/>
    </row>
    <row r="14" ht="21.75" customHeight="1" spans="1:13" x14ac:dyDescent="0.25">
      <c r="A14" s="8">
        <v>9</v>
      </c>
      <c r="B14" s="9" t="s">
        <v>52</v>
      </c>
      <c r="C14" s="9" t="s">
        <v>53</v>
      </c>
      <c r="D14" s="9" t="s">
        <v>54</v>
      </c>
      <c r="E14" s="10" t="s">
        <v>55</v>
      </c>
      <c r="F14" s="10" t="s">
        <v>56</v>
      </c>
      <c r="G14" s="10">
        <v>144</v>
      </c>
      <c r="H14" s="10">
        <v>0.08</v>
      </c>
      <c r="I14" s="10">
        <v>11.52</v>
      </c>
      <c r="J14" s="2" t="s">
        <v>20</v>
      </c>
      <c r="K14" s="2" t="s">
        <v>33</v>
      </c>
      <c r="L14" s="2"/>
      <c r="M14" s="2"/>
    </row>
    <row r="15" ht="21.75" customHeight="1" spans="1:13" x14ac:dyDescent="0.25">
      <c r="A15" s="8">
        <v>10</v>
      </c>
      <c r="B15" s="9" t="s">
        <v>57</v>
      </c>
      <c r="C15" s="9" t="s">
        <v>58</v>
      </c>
      <c r="D15" s="9" t="s">
        <v>59</v>
      </c>
      <c r="E15" s="10" t="s">
        <v>60</v>
      </c>
      <c r="F15" s="10" t="s">
        <v>61</v>
      </c>
      <c r="G15" s="10">
        <v>12</v>
      </c>
      <c r="H15" s="10">
        <v>2.37</v>
      </c>
      <c r="I15" s="10">
        <v>28.44</v>
      </c>
      <c r="J15" s="2" t="s">
        <v>20</v>
      </c>
      <c r="K15" s="2" t="s">
        <v>51</v>
      </c>
      <c r="L15" s="2"/>
      <c r="M15" s="2"/>
    </row>
    <row r="16" ht="21.75" customHeight="1" spans="1:13" x14ac:dyDescent="0.25">
      <c r="A16" s="8">
        <v>11</v>
      </c>
      <c r="B16" s="9" t="s">
        <v>62</v>
      </c>
      <c r="C16" s="9" t="s">
        <v>63</v>
      </c>
      <c r="D16" s="9" t="s">
        <v>59</v>
      </c>
      <c r="E16" s="10" t="s">
        <v>60</v>
      </c>
      <c r="F16" s="10" t="s">
        <v>61</v>
      </c>
      <c r="G16" s="10">
        <v>2</v>
      </c>
      <c r="H16" s="10">
        <v>2.37</v>
      </c>
      <c r="I16" s="10">
        <v>4.74</v>
      </c>
      <c r="J16" s="2" t="s">
        <v>20</v>
      </c>
      <c r="K16" s="2" t="s">
        <v>51</v>
      </c>
      <c r="L16" s="2"/>
      <c r="M16" s="2"/>
    </row>
    <row r="17" ht="21.75" customHeight="1" spans="1:13" x14ac:dyDescent="0.25">
      <c r="A17" s="8">
        <v>12</v>
      </c>
      <c r="B17" s="9" t="s">
        <v>62</v>
      </c>
      <c r="C17" s="9" t="s">
        <v>64</v>
      </c>
      <c r="D17" s="9" t="s">
        <v>65</v>
      </c>
      <c r="E17" s="10" t="s">
        <v>66</v>
      </c>
      <c r="F17" s="10" t="s">
        <v>67</v>
      </c>
      <c r="G17" s="10">
        <v>4</v>
      </c>
      <c r="H17" s="10">
        <v>0.813</v>
      </c>
      <c r="I17" s="10">
        <v>3.252</v>
      </c>
      <c r="J17" s="2" t="s">
        <v>20</v>
      </c>
      <c r="K17" s="2" t="s">
        <v>51</v>
      </c>
      <c r="L17" s="2"/>
      <c r="M17" s="2"/>
    </row>
    <row r="18" ht="21.75" customHeight="1" spans="1:13" x14ac:dyDescent="0.25">
      <c r="A18" s="8">
        <v>13</v>
      </c>
      <c r="B18" s="9" t="s">
        <v>68</v>
      </c>
      <c r="C18" s="9" t="s">
        <v>69</v>
      </c>
      <c r="D18" s="9" t="s">
        <v>70</v>
      </c>
      <c r="E18" s="10" t="s">
        <v>71</v>
      </c>
      <c r="F18" s="10" t="s">
        <v>72</v>
      </c>
      <c r="G18" s="10">
        <v>128</v>
      </c>
      <c r="H18" s="10">
        <v>0.111</v>
      </c>
      <c r="I18" s="10">
        <v>14.208</v>
      </c>
      <c r="J18" s="2" t="s">
        <v>20</v>
      </c>
      <c r="K18" s="2" t="s">
        <v>33</v>
      </c>
      <c r="L18" s="2"/>
      <c r="M18" s="2"/>
    </row>
    <row r="19" ht="21.75" customHeight="1" spans="1:13" x14ac:dyDescent="0.25">
      <c r="A19" s="8">
        <v>14</v>
      </c>
      <c r="B19" s="9" t="s">
        <v>68</v>
      </c>
      <c r="C19" s="9" t="s">
        <v>69</v>
      </c>
      <c r="D19" s="9" t="s">
        <v>70</v>
      </c>
      <c r="E19" s="10" t="s">
        <v>71</v>
      </c>
      <c r="F19" s="10" t="s">
        <v>72</v>
      </c>
      <c r="G19" s="10">
        <v>31</v>
      </c>
      <c r="H19" s="10">
        <v>0.111</v>
      </c>
      <c r="I19" s="10">
        <v>3.441</v>
      </c>
      <c r="J19" s="2" t="s">
        <v>20</v>
      </c>
      <c r="K19" s="2" t="s">
        <v>33</v>
      </c>
      <c r="L19" s="2"/>
      <c r="M19" s="2"/>
    </row>
    <row r="20" ht="21.75" customHeight="1" spans="1:13" x14ac:dyDescent="0.25">
      <c r="A20" s="8">
        <v>15</v>
      </c>
      <c r="B20" s="9" t="s">
        <v>68</v>
      </c>
      <c r="C20" s="9" t="s">
        <v>73</v>
      </c>
      <c r="D20" s="9" t="s">
        <v>74</v>
      </c>
      <c r="E20" s="10" t="s">
        <v>75</v>
      </c>
      <c r="F20" s="10" t="s">
        <v>76</v>
      </c>
      <c r="G20" s="10">
        <v>4</v>
      </c>
      <c r="H20" s="10">
        <v>1.036</v>
      </c>
      <c r="I20" s="10">
        <v>4.144</v>
      </c>
      <c r="J20" s="2" t="s">
        <v>20</v>
      </c>
      <c r="K20" s="2" t="s">
        <v>51</v>
      </c>
      <c r="L20" s="2"/>
      <c r="M20" s="2"/>
    </row>
    <row r="21" ht="21.75" customHeight="1" spans="1:13" x14ac:dyDescent="0.25">
      <c r="A21" s="8">
        <v>16</v>
      </c>
      <c r="B21" s="9" t="s">
        <v>68</v>
      </c>
      <c r="C21" s="9" t="s">
        <v>77</v>
      </c>
      <c r="D21" s="9" t="s">
        <v>78</v>
      </c>
      <c r="E21" s="10" t="s">
        <v>79</v>
      </c>
      <c r="F21" s="10" t="s">
        <v>80</v>
      </c>
      <c r="G21" s="10">
        <v>264</v>
      </c>
      <c r="H21" s="10">
        <v>0.083</v>
      </c>
      <c r="I21" s="10">
        <v>21.912</v>
      </c>
      <c r="J21" s="2" t="s">
        <v>20</v>
      </c>
      <c r="K21" s="2" t="s">
        <v>33</v>
      </c>
      <c r="L21" s="2"/>
      <c r="M21" s="2"/>
    </row>
    <row r="22" ht="21.75" customHeight="1" spans="1:13" x14ac:dyDescent="0.25">
      <c r="A22" s="8">
        <v>17</v>
      </c>
      <c r="B22" s="9" t="s">
        <v>68</v>
      </c>
      <c r="C22" s="9" t="s">
        <v>81</v>
      </c>
      <c r="D22" s="9" t="s">
        <v>82</v>
      </c>
      <c r="E22" s="10" t="s">
        <v>79</v>
      </c>
      <c r="F22" s="10" t="s">
        <v>83</v>
      </c>
      <c r="G22" s="10">
        <v>3</v>
      </c>
      <c r="H22" s="10">
        <v>0.686</v>
      </c>
      <c r="I22" s="10">
        <v>2.058</v>
      </c>
      <c r="J22" s="2" t="s">
        <v>20</v>
      </c>
      <c r="K22" s="2" t="s">
        <v>33</v>
      </c>
      <c r="L22" s="2"/>
      <c r="M22" s="2"/>
    </row>
    <row r="23" ht="21.75" customHeight="1" spans="1:13" x14ac:dyDescent="0.25">
      <c r="A23" s="8">
        <v>18</v>
      </c>
      <c r="B23" s="9" t="s">
        <v>68</v>
      </c>
      <c r="C23" s="9" t="s">
        <v>84</v>
      </c>
      <c r="D23" s="9" t="s">
        <v>85</v>
      </c>
      <c r="E23" s="10" t="s">
        <v>31</v>
      </c>
      <c r="F23" s="10" t="s">
        <v>86</v>
      </c>
      <c r="G23" s="10">
        <v>12</v>
      </c>
      <c r="H23" s="10">
        <v>0.566</v>
      </c>
      <c r="I23" s="10">
        <v>6.792</v>
      </c>
      <c r="J23" s="2" t="s">
        <v>20</v>
      </c>
      <c r="K23" s="2" t="s">
        <v>33</v>
      </c>
      <c r="L23" s="2"/>
      <c r="M23" s="2"/>
    </row>
    <row r="24" ht="21.75" customHeight="1" spans="1:13" x14ac:dyDescent="0.25">
      <c r="A24" s="8">
        <v>19</v>
      </c>
      <c r="B24" s="9" t="s">
        <v>68</v>
      </c>
      <c r="C24" s="9" t="s">
        <v>84</v>
      </c>
      <c r="D24" s="9" t="s">
        <v>85</v>
      </c>
      <c r="E24" s="10" t="s">
        <v>31</v>
      </c>
      <c r="F24" s="10" t="s">
        <v>86</v>
      </c>
      <c r="G24" s="10">
        <v>20</v>
      </c>
      <c r="H24" s="10">
        <v>0.566</v>
      </c>
      <c r="I24" s="10">
        <v>11.32</v>
      </c>
      <c r="J24" s="2" t="s">
        <v>20</v>
      </c>
      <c r="K24" s="2" t="s">
        <v>33</v>
      </c>
      <c r="L24" s="2"/>
      <c r="M24" s="2"/>
    </row>
    <row r="25" ht="21.75" customHeight="1" spans="1:13" x14ac:dyDescent="0.25">
      <c r="A25" s="8">
        <v>20</v>
      </c>
      <c r="B25" s="9" t="s">
        <v>68</v>
      </c>
      <c r="C25" s="9" t="s">
        <v>87</v>
      </c>
      <c r="D25" s="9" t="s">
        <v>88</v>
      </c>
      <c r="E25" s="10" t="s">
        <v>45</v>
      </c>
      <c r="F25" s="10" t="s">
        <v>89</v>
      </c>
      <c r="G25" s="10">
        <v>70</v>
      </c>
      <c r="H25" s="10">
        <v>0.242</v>
      </c>
      <c r="I25" s="10">
        <v>16.94</v>
      </c>
      <c r="J25" s="2" t="s">
        <v>20</v>
      </c>
      <c r="K25" s="2" t="s">
        <v>33</v>
      </c>
      <c r="L25" s="2"/>
      <c r="M25" s="2"/>
    </row>
    <row r="26" ht="21.75" customHeight="1" spans="1:13" x14ac:dyDescent="0.25">
      <c r="A26" s="8">
        <v>21</v>
      </c>
      <c r="B26" s="9" t="s">
        <v>68</v>
      </c>
      <c r="C26" s="9" t="s">
        <v>90</v>
      </c>
      <c r="D26" s="9" t="s">
        <v>91</v>
      </c>
      <c r="E26" s="10" t="s">
        <v>92</v>
      </c>
      <c r="F26" s="10" t="s">
        <v>93</v>
      </c>
      <c r="G26" s="10">
        <v>36</v>
      </c>
      <c r="H26" s="10">
        <v>0.11</v>
      </c>
      <c r="I26" s="10">
        <v>3.96</v>
      </c>
      <c r="J26" s="2" t="s">
        <v>20</v>
      </c>
      <c r="K26" s="2" t="s">
        <v>33</v>
      </c>
      <c r="L26" s="2"/>
      <c r="M26" s="2"/>
    </row>
    <row r="27" ht="21.75" customHeight="1" spans="1:13" x14ac:dyDescent="0.25">
      <c r="A27" s="8">
        <v>22</v>
      </c>
      <c r="B27" s="9" t="s">
        <v>68</v>
      </c>
      <c r="C27" s="9" t="s">
        <v>94</v>
      </c>
      <c r="D27" s="9" t="s">
        <v>95</v>
      </c>
      <c r="E27" s="10" t="s">
        <v>92</v>
      </c>
      <c r="F27" s="10" t="s">
        <v>96</v>
      </c>
      <c r="G27" s="10">
        <v>35</v>
      </c>
      <c r="H27" s="10">
        <v>0.397</v>
      </c>
      <c r="I27" s="10">
        <v>13.895</v>
      </c>
      <c r="J27" s="2" t="s">
        <v>20</v>
      </c>
      <c r="K27" s="2" t="s">
        <v>33</v>
      </c>
      <c r="L27" s="2"/>
      <c r="M27" s="2"/>
    </row>
    <row r="28" ht="21.75" customHeight="1" spans="1:13" x14ac:dyDescent="0.25">
      <c r="A28" s="8">
        <v>23</v>
      </c>
      <c r="B28" s="9" t="s">
        <v>68</v>
      </c>
      <c r="C28" s="9" t="s">
        <v>97</v>
      </c>
      <c r="D28" s="9" t="s">
        <v>98</v>
      </c>
      <c r="E28" s="10" t="s">
        <v>92</v>
      </c>
      <c r="F28" s="10" t="s">
        <v>99</v>
      </c>
      <c r="G28" s="10">
        <v>32</v>
      </c>
      <c r="H28" s="10">
        <v>0.491</v>
      </c>
      <c r="I28" s="10">
        <v>15.712</v>
      </c>
      <c r="J28" s="2" t="s">
        <v>20</v>
      </c>
      <c r="K28" s="2" t="s">
        <v>33</v>
      </c>
      <c r="L28" s="2"/>
      <c r="M28" s="2"/>
    </row>
    <row r="29" ht="21.75" customHeight="1" spans="1:13" x14ac:dyDescent="0.25">
      <c r="A29" s="8">
        <v>24</v>
      </c>
      <c r="B29" s="9" t="s">
        <v>68</v>
      </c>
      <c r="C29" s="9" t="s">
        <v>100</v>
      </c>
      <c r="D29" s="9" t="s">
        <v>101</v>
      </c>
      <c r="E29" s="10" t="s">
        <v>92</v>
      </c>
      <c r="F29" s="10" t="s">
        <v>102</v>
      </c>
      <c r="G29" s="10">
        <v>2</v>
      </c>
      <c r="H29" s="10">
        <v>1.261</v>
      </c>
      <c r="I29" s="10">
        <v>2.522</v>
      </c>
      <c r="J29" s="2" t="s">
        <v>20</v>
      </c>
      <c r="K29" s="2" t="s">
        <v>33</v>
      </c>
      <c r="L29" s="2"/>
      <c r="M29" s="2"/>
    </row>
    <row r="30" ht="21.75" customHeight="1" spans="1:13" x14ac:dyDescent="0.25">
      <c r="A30" s="8">
        <v>25</v>
      </c>
      <c r="B30" s="9" t="s">
        <v>68</v>
      </c>
      <c r="C30" s="9" t="s">
        <v>103</v>
      </c>
      <c r="D30" s="9" t="s">
        <v>104</v>
      </c>
      <c r="E30" s="10" t="s">
        <v>92</v>
      </c>
      <c r="F30" s="10" t="s">
        <v>105</v>
      </c>
      <c r="G30" s="10">
        <v>12</v>
      </c>
      <c r="H30" s="10">
        <v>0.703</v>
      </c>
      <c r="I30" s="10">
        <v>8.436</v>
      </c>
      <c r="J30" s="2" t="s">
        <v>20</v>
      </c>
      <c r="K30" s="2" t="s">
        <v>51</v>
      </c>
      <c r="L30" s="2"/>
      <c r="M30" s="2"/>
    </row>
    <row r="31" ht="21.75" customHeight="1" spans="1:13" x14ac:dyDescent="0.25">
      <c r="A31" s="8">
        <v>26</v>
      </c>
      <c r="B31" s="9" t="s">
        <v>106</v>
      </c>
      <c r="C31" s="9" t="s">
        <v>107</v>
      </c>
      <c r="D31" s="9" t="s">
        <v>108</v>
      </c>
      <c r="E31" s="10" t="s">
        <v>109</v>
      </c>
      <c r="F31" s="10" t="s">
        <v>110</v>
      </c>
      <c r="G31" s="10">
        <v>56</v>
      </c>
      <c r="H31" s="10">
        <v>0.062</v>
      </c>
      <c r="I31" s="10">
        <v>3.472</v>
      </c>
      <c r="J31" s="2" t="s">
        <v>20</v>
      </c>
      <c r="K31" s="2" t="s">
        <v>33</v>
      </c>
      <c r="L31" s="2"/>
      <c r="M31" s="2"/>
    </row>
    <row r="32" ht="21.75" customHeight="1" spans="1:13" x14ac:dyDescent="0.25">
      <c r="A32" s="8">
        <v>27</v>
      </c>
      <c r="B32" s="9" t="s">
        <v>106</v>
      </c>
      <c r="C32" s="9" t="s">
        <v>111</v>
      </c>
      <c r="D32" s="9" t="s">
        <v>112</v>
      </c>
      <c r="E32" s="10" t="s">
        <v>45</v>
      </c>
      <c r="F32" s="10" t="s">
        <v>113</v>
      </c>
      <c r="G32" s="10">
        <v>72</v>
      </c>
      <c r="H32" s="10">
        <v>0.566</v>
      </c>
      <c r="I32" s="10">
        <v>40.752</v>
      </c>
      <c r="J32" s="2" t="s">
        <v>20</v>
      </c>
      <c r="K32" s="2" t="s">
        <v>51</v>
      </c>
      <c r="L32" s="2"/>
      <c r="M32" s="2"/>
    </row>
    <row r="33" ht="21.75" customHeight="1" spans="1:13" x14ac:dyDescent="0.25">
      <c r="A33" s="8">
        <v>28</v>
      </c>
      <c r="B33" s="9" t="s">
        <v>114</v>
      </c>
      <c r="C33" s="9" t="s">
        <v>115</v>
      </c>
      <c r="D33" s="9" t="s">
        <v>116</v>
      </c>
      <c r="E33" s="10" t="s">
        <v>117</v>
      </c>
      <c r="F33" s="10" t="s">
        <v>118</v>
      </c>
      <c r="G33" s="10">
        <v>92</v>
      </c>
      <c r="H33" s="10">
        <v>0.067</v>
      </c>
      <c r="I33" s="10">
        <v>6.164</v>
      </c>
      <c r="J33" s="2" t="s">
        <v>20</v>
      </c>
      <c r="K33" s="2" t="s">
        <v>33</v>
      </c>
      <c r="L33" s="2"/>
      <c r="M33" s="2"/>
    </row>
    <row r="34" ht="21.75" customHeight="1" spans="1:13" x14ac:dyDescent="0.25">
      <c r="A34" s="8">
        <v>29</v>
      </c>
      <c r="B34" s="9" t="s">
        <v>114</v>
      </c>
      <c r="C34" s="9" t="s">
        <v>119</v>
      </c>
      <c r="D34" s="9" t="s">
        <v>120</v>
      </c>
      <c r="E34" s="10" t="s">
        <v>121</v>
      </c>
      <c r="F34" s="10" t="s">
        <v>122</v>
      </c>
      <c r="G34" s="10">
        <v>359</v>
      </c>
      <c r="H34" s="10">
        <v>0.126</v>
      </c>
      <c r="I34" s="10">
        <v>45.234</v>
      </c>
      <c r="J34" s="2" t="s">
        <v>20</v>
      </c>
      <c r="K34" s="2" t="s">
        <v>33</v>
      </c>
      <c r="L34" s="2"/>
      <c r="M34" s="2"/>
    </row>
    <row r="35" ht="21.75" customHeight="1" spans="1:13" x14ac:dyDescent="0.25">
      <c r="A35" s="8">
        <v>30</v>
      </c>
      <c r="B35" s="9" t="s">
        <v>114</v>
      </c>
      <c r="C35" s="9" t="s">
        <v>119</v>
      </c>
      <c r="D35" s="9" t="s">
        <v>120</v>
      </c>
      <c r="E35" s="10" t="s">
        <v>121</v>
      </c>
      <c r="F35" s="10" t="s">
        <v>122</v>
      </c>
      <c r="G35" s="10">
        <v>72</v>
      </c>
      <c r="H35" s="10">
        <v>0.126</v>
      </c>
      <c r="I35" s="10">
        <v>9.072</v>
      </c>
      <c r="J35" s="2" t="s">
        <v>20</v>
      </c>
      <c r="K35" s="2" t="s">
        <v>33</v>
      </c>
      <c r="L35" s="2"/>
      <c r="M35" s="2"/>
    </row>
    <row r="36" ht="21.75" customHeight="1" spans="1:13" x14ac:dyDescent="0.25">
      <c r="A36" s="8">
        <v>31</v>
      </c>
      <c r="B36" s="9" t="s">
        <v>114</v>
      </c>
      <c r="C36" s="9" t="s">
        <v>123</v>
      </c>
      <c r="D36" s="9" t="s">
        <v>124</v>
      </c>
      <c r="E36" s="10" t="s">
        <v>117</v>
      </c>
      <c r="F36" s="10" t="s">
        <v>125</v>
      </c>
      <c r="G36" s="10">
        <v>28</v>
      </c>
      <c r="H36" s="10">
        <v>0.183</v>
      </c>
      <c r="I36" s="10">
        <v>5.124</v>
      </c>
      <c r="J36" s="2" t="s">
        <v>20</v>
      </c>
      <c r="K36" s="2" t="s">
        <v>33</v>
      </c>
      <c r="L36" s="2"/>
      <c r="M36" s="2"/>
    </row>
    <row r="37" ht="21.75" customHeight="1" spans="1:13" x14ac:dyDescent="0.25">
      <c r="A37" s="8">
        <v>32</v>
      </c>
      <c r="B37" s="9" t="s">
        <v>114</v>
      </c>
      <c r="C37" s="9" t="s">
        <v>126</v>
      </c>
      <c r="D37" s="9" t="s">
        <v>127</v>
      </c>
      <c r="E37" s="10" t="s">
        <v>128</v>
      </c>
      <c r="F37" s="10" t="s">
        <v>86</v>
      </c>
      <c r="G37" s="10">
        <v>36</v>
      </c>
      <c r="H37" s="10">
        <v>0.188</v>
      </c>
      <c r="I37" s="10">
        <v>6.768</v>
      </c>
      <c r="J37" s="2" t="s">
        <v>20</v>
      </c>
      <c r="K37" s="2" t="s">
        <v>33</v>
      </c>
      <c r="L37" s="2"/>
      <c r="M37" s="2"/>
    </row>
    <row r="38" ht="21.75" customHeight="1" spans="1:13" x14ac:dyDescent="0.25">
      <c r="A38" s="8">
        <v>33</v>
      </c>
      <c r="B38" s="9" t="s">
        <v>114</v>
      </c>
      <c r="C38" s="9" t="s">
        <v>129</v>
      </c>
      <c r="D38" s="9" t="s">
        <v>130</v>
      </c>
      <c r="E38" s="10" t="s">
        <v>131</v>
      </c>
      <c r="F38" s="10" t="s">
        <v>80</v>
      </c>
      <c r="G38" s="10">
        <v>55</v>
      </c>
      <c r="H38" s="10">
        <v>0.055</v>
      </c>
      <c r="I38" s="10">
        <v>3.025</v>
      </c>
      <c r="J38" s="2" t="s">
        <v>20</v>
      </c>
      <c r="K38" s="2" t="s">
        <v>33</v>
      </c>
      <c r="L38" s="2"/>
      <c r="M38" s="2"/>
    </row>
    <row r="39" ht="21.75" customHeight="1" spans="1:13" x14ac:dyDescent="0.25">
      <c r="A39" s="8">
        <v>34</v>
      </c>
      <c r="B39" s="9" t="s">
        <v>114</v>
      </c>
      <c r="C39" s="9" t="s">
        <v>132</v>
      </c>
      <c r="D39" s="9" t="s">
        <v>133</v>
      </c>
      <c r="E39" s="10" t="s">
        <v>55</v>
      </c>
      <c r="F39" s="10" t="s">
        <v>134</v>
      </c>
      <c r="G39" s="10">
        <v>72</v>
      </c>
      <c r="H39" s="10">
        <v>0.317</v>
      </c>
      <c r="I39" s="10">
        <v>22.824</v>
      </c>
      <c r="J39" s="2" t="s">
        <v>20</v>
      </c>
      <c r="K39" s="2" t="s">
        <v>33</v>
      </c>
      <c r="L39" s="2"/>
      <c r="M39" s="2"/>
    </row>
    <row r="40" ht="21.75" customHeight="1" spans="1:13" x14ac:dyDescent="0.25">
      <c r="A40" s="8">
        <v>35</v>
      </c>
      <c r="B40" s="9" t="s">
        <v>114</v>
      </c>
      <c r="C40" s="9" t="s">
        <v>135</v>
      </c>
      <c r="D40" s="9" t="s">
        <v>127</v>
      </c>
      <c r="E40" s="10" t="s">
        <v>128</v>
      </c>
      <c r="F40" s="10" t="s">
        <v>86</v>
      </c>
      <c r="G40" s="10">
        <v>72</v>
      </c>
      <c r="H40" s="10">
        <v>0.188</v>
      </c>
      <c r="I40" s="10">
        <v>13.536</v>
      </c>
      <c r="J40" s="2" t="s">
        <v>20</v>
      </c>
      <c r="K40" s="2" t="s">
        <v>33</v>
      </c>
      <c r="L40" s="2"/>
      <c r="M40" s="2"/>
    </row>
    <row r="41" ht="21.75" customHeight="1" spans="1:13" x14ac:dyDescent="0.25">
      <c r="A41" s="8">
        <v>36</v>
      </c>
      <c r="B41" s="9" t="s">
        <v>114</v>
      </c>
      <c r="C41" s="9" t="s">
        <v>135</v>
      </c>
      <c r="D41" s="9" t="s">
        <v>127</v>
      </c>
      <c r="E41" s="10" t="s">
        <v>128</v>
      </c>
      <c r="F41" s="10" t="s">
        <v>86</v>
      </c>
      <c r="G41" s="10">
        <v>35</v>
      </c>
      <c r="H41" s="10">
        <v>0.188</v>
      </c>
      <c r="I41" s="10">
        <v>6.58</v>
      </c>
      <c r="J41" s="2" t="s">
        <v>20</v>
      </c>
      <c r="K41" s="2" t="s">
        <v>33</v>
      </c>
      <c r="L41" s="2"/>
      <c r="M41" s="2"/>
    </row>
    <row r="42" ht="21.75" customHeight="1" spans="1:13" x14ac:dyDescent="0.25">
      <c r="A42" s="8">
        <v>37</v>
      </c>
      <c r="B42" s="9" t="s">
        <v>114</v>
      </c>
      <c r="C42" s="9" t="s">
        <v>135</v>
      </c>
      <c r="D42" s="9" t="s">
        <v>127</v>
      </c>
      <c r="E42" s="10" t="s">
        <v>128</v>
      </c>
      <c r="F42" s="10" t="s">
        <v>86</v>
      </c>
      <c r="G42" s="10">
        <v>180</v>
      </c>
      <c r="H42" s="10">
        <v>0.188</v>
      </c>
      <c r="I42" s="10">
        <v>33.84</v>
      </c>
      <c r="J42" s="2" t="s">
        <v>20</v>
      </c>
      <c r="K42" s="2" t="s">
        <v>33</v>
      </c>
      <c r="L42" s="2"/>
      <c r="M42" s="2"/>
    </row>
    <row r="43" ht="21.75" customHeight="1" spans="1:13" x14ac:dyDescent="0.25">
      <c r="A43" s="8">
        <v>38</v>
      </c>
      <c r="B43" s="9" t="s">
        <v>114</v>
      </c>
      <c r="C43" s="9" t="s">
        <v>135</v>
      </c>
      <c r="D43" s="9" t="s">
        <v>127</v>
      </c>
      <c r="E43" s="10" t="s">
        <v>128</v>
      </c>
      <c r="F43" s="10" t="s">
        <v>86</v>
      </c>
      <c r="G43" s="10">
        <v>103</v>
      </c>
      <c r="H43" s="10">
        <v>0.188</v>
      </c>
      <c r="I43" s="10">
        <v>19.364</v>
      </c>
      <c r="J43" s="2" t="s">
        <v>20</v>
      </c>
      <c r="K43" s="2" t="s">
        <v>33</v>
      </c>
      <c r="L43" s="2"/>
      <c r="M43" s="2"/>
    </row>
    <row r="44" ht="21.75" customHeight="1" spans="1:13" x14ac:dyDescent="0.25">
      <c r="A44" s="8">
        <v>39</v>
      </c>
      <c r="B44" s="9" t="s">
        <v>114</v>
      </c>
      <c r="C44" s="9" t="s">
        <v>136</v>
      </c>
      <c r="D44" s="9" t="s">
        <v>137</v>
      </c>
      <c r="E44" s="10" t="s">
        <v>138</v>
      </c>
      <c r="F44" s="10" t="s">
        <v>32</v>
      </c>
      <c r="G44" s="10">
        <v>66</v>
      </c>
      <c r="H44" s="10">
        <v>0.316</v>
      </c>
      <c r="I44" s="10">
        <v>20.856</v>
      </c>
      <c r="J44" s="2" t="s">
        <v>20</v>
      </c>
      <c r="K44" s="2" t="s">
        <v>33</v>
      </c>
      <c r="L44" s="2"/>
      <c r="M44" s="2"/>
    </row>
    <row r="45" ht="21.75" customHeight="1" spans="1:13" x14ac:dyDescent="0.25">
      <c r="A45" s="8">
        <v>40</v>
      </c>
      <c r="B45" s="9" t="s">
        <v>114</v>
      </c>
      <c r="C45" s="9" t="s">
        <v>136</v>
      </c>
      <c r="D45" s="9" t="s">
        <v>137</v>
      </c>
      <c r="E45" s="10" t="s">
        <v>138</v>
      </c>
      <c r="F45" s="10" t="s">
        <v>32</v>
      </c>
      <c r="G45" s="10">
        <v>20</v>
      </c>
      <c r="H45" s="10">
        <v>0.316</v>
      </c>
      <c r="I45" s="10">
        <v>6.32</v>
      </c>
      <c r="J45" s="2" t="s">
        <v>20</v>
      </c>
      <c r="K45" s="2" t="s">
        <v>33</v>
      </c>
      <c r="L45" s="2"/>
      <c r="M45" s="2"/>
    </row>
    <row r="46" ht="21.75" customHeight="1" spans="1:13" x14ac:dyDescent="0.25">
      <c r="A46" s="8">
        <v>41</v>
      </c>
      <c r="B46" s="9" t="s">
        <v>114</v>
      </c>
      <c r="C46" s="9" t="s">
        <v>139</v>
      </c>
      <c r="D46" s="9" t="s">
        <v>140</v>
      </c>
      <c r="E46" s="10" t="s">
        <v>41</v>
      </c>
      <c r="F46" s="10" t="s">
        <v>141</v>
      </c>
      <c r="G46" s="10">
        <v>621</v>
      </c>
      <c r="H46" s="10">
        <v>0.05</v>
      </c>
      <c r="I46" s="10">
        <v>31.05</v>
      </c>
      <c r="J46" s="2" t="s">
        <v>20</v>
      </c>
      <c r="K46" s="2" t="s">
        <v>33</v>
      </c>
      <c r="L46" s="2"/>
      <c r="M46" s="2"/>
    </row>
    <row r="47" ht="21.75" customHeight="1" spans="1:13" x14ac:dyDescent="0.25">
      <c r="A47" s="8">
        <v>42</v>
      </c>
      <c r="B47" s="9" t="s">
        <v>114</v>
      </c>
      <c r="C47" s="9" t="s">
        <v>142</v>
      </c>
      <c r="D47" s="9" t="s">
        <v>143</v>
      </c>
      <c r="E47" s="10" t="s">
        <v>45</v>
      </c>
      <c r="F47" s="10" t="s">
        <v>144</v>
      </c>
      <c r="G47" s="10">
        <v>421</v>
      </c>
      <c r="H47" s="10">
        <v>0.016</v>
      </c>
      <c r="I47" s="10">
        <v>6.736</v>
      </c>
      <c r="J47" s="2" t="s">
        <v>20</v>
      </c>
      <c r="K47" s="2" t="s">
        <v>33</v>
      </c>
      <c r="L47" s="2"/>
      <c r="M47" s="2"/>
    </row>
    <row r="48" ht="21.75" customHeight="1" spans="1:13" x14ac:dyDescent="0.25">
      <c r="A48" s="8">
        <v>43</v>
      </c>
      <c r="B48" s="9" t="s">
        <v>114</v>
      </c>
      <c r="C48" s="9" t="s">
        <v>145</v>
      </c>
      <c r="D48" s="9" t="s">
        <v>146</v>
      </c>
      <c r="E48" s="10" t="s">
        <v>45</v>
      </c>
      <c r="F48" s="10" t="s">
        <v>93</v>
      </c>
      <c r="G48" s="10">
        <v>96</v>
      </c>
      <c r="H48" s="10">
        <v>0.082</v>
      </c>
      <c r="I48" s="10">
        <v>7.872</v>
      </c>
      <c r="J48" s="2" t="s">
        <v>20</v>
      </c>
      <c r="K48" s="2" t="s">
        <v>33</v>
      </c>
      <c r="L48" s="2"/>
      <c r="M48" s="2"/>
    </row>
    <row r="49" ht="21.75" customHeight="1" spans="1:13" x14ac:dyDescent="0.25">
      <c r="A49" s="8">
        <v>44</v>
      </c>
      <c r="B49" s="9" t="s">
        <v>114</v>
      </c>
      <c r="C49" s="9" t="s">
        <v>147</v>
      </c>
      <c r="D49" s="9" t="s">
        <v>148</v>
      </c>
      <c r="E49" s="10" t="s">
        <v>45</v>
      </c>
      <c r="F49" s="10" t="s">
        <v>149</v>
      </c>
      <c r="G49" s="10">
        <v>702</v>
      </c>
      <c r="H49" s="10">
        <v>0.329</v>
      </c>
      <c r="I49" s="10">
        <v>230.958</v>
      </c>
      <c r="J49" s="2" t="s">
        <v>20</v>
      </c>
      <c r="K49" s="2" t="s">
        <v>33</v>
      </c>
      <c r="L49" s="2"/>
      <c r="M49" s="2"/>
    </row>
    <row r="50" ht="21.75" customHeight="1" spans="1:13" x14ac:dyDescent="0.25">
      <c r="A50" s="8">
        <v>45</v>
      </c>
      <c r="B50" s="9" t="s">
        <v>114</v>
      </c>
      <c r="C50" s="9" t="s">
        <v>150</v>
      </c>
      <c r="D50" s="9" t="s">
        <v>108</v>
      </c>
      <c r="E50" s="10" t="s">
        <v>109</v>
      </c>
      <c r="F50" s="10" t="s">
        <v>110</v>
      </c>
      <c r="G50" s="10">
        <v>495</v>
      </c>
      <c r="H50" s="10">
        <v>0.062</v>
      </c>
      <c r="I50" s="10">
        <v>30.69</v>
      </c>
      <c r="J50" s="2" t="s">
        <v>20</v>
      </c>
      <c r="K50" s="2" t="s">
        <v>33</v>
      </c>
      <c r="L50" s="2"/>
      <c r="M50" s="2"/>
    </row>
    <row r="51" ht="21.75" customHeight="1" spans="1:13" x14ac:dyDescent="0.25">
      <c r="A51" s="8">
        <v>46</v>
      </c>
      <c r="B51" s="9" t="s">
        <v>114</v>
      </c>
      <c r="C51" s="9" t="s">
        <v>150</v>
      </c>
      <c r="D51" s="9" t="s">
        <v>108</v>
      </c>
      <c r="E51" s="10" t="s">
        <v>109</v>
      </c>
      <c r="F51" s="10" t="s">
        <v>110</v>
      </c>
      <c r="G51" s="10">
        <v>658</v>
      </c>
      <c r="H51" s="10">
        <v>0.062</v>
      </c>
      <c r="I51" s="10">
        <v>40.796</v>
      </c>
      <c r="J51" s="2" t="s">
        <v>20</v>
      </c>
      <c r="K51" s="2" t="s">
        <v>33</v>
      </c>
      <c r="L51" s="2"/>
      <c r="M51" s="2"/>
    </row>
    <row r="52" ht="21.75" customHeight="1" spans="1:13" x14ac:dyDescent="0.25">
      <c r="A52" s="8">
        <v>47</v>
      </c>
      <c r="B52" s="9" t="s">
        <v>114</v>
      </c>
      <c r="C52" s="9" t="s">
        <v>151</v>
      </c>
      <c r="D52" s="9" t="s">
        <v>130</v>
      </c>
      <c r="E52" s="10" t="s">
        <v>131</v>
      </c>
      <c r="F52" s="10" t="s">
        <v>80</v>
      </c>
      <c r="G52" s="10">
        <v>1840</v>
      </c>
      <c r="H52" s="10">
        <v>0.055</v>
      </c>
      <c r="I52" s="10">
        <v>101.2</v>
      </c>
      <c r="J52" s="2" t="s">
        <v>20</v>
      </c>
      <c r="K52" s="2" t="s">
        <v>33</v>
      </c>
      <c r="L52" s="2"/>
      <c r="M52" s="2"/>
    </row>
    <row r="53" ht="21.75" customHeight="1" spans="1:13" x14ac:dyDescent="0.25">
      <c r="A53" s="8">
        <v>48</v>
      </c>
      <c r="B53" s="9" t="s">
        <v>114</v>
      </c>
      <c r="C53" s="9" t="s">
        <v>151</v>
      </c>
      <c r="D53" s="9" t="s">
        <v>130</v>
      </c>
      <c r="E53" s="10" t="s">
        <v>131</v>
      </c>
      <c r="F53" s="10" t="s">
        <v>80</v>
      </c>
      <c r="G53" s="10">
        <v>280</v>
      </c>
      <c r="H53" s="10">
        <v>0.055</v>
      </c>
      <c r="I53" s="10">
        <v>15.4</v>
      </c>
      <c r="J53" s="2" t="s">
        <v>20</v>
      </c>
      <c r="K53" s="2" t="s">
        <v>33</v>
      </c>
      <c r="L53" s="2"/>
      <c r="M53" s="2"/>
    </row>
    <row r="54" ht="21.75" customHeight="1" spans="1:13" x14ac:dyDescent="0.25">
      <c r="A54" s="8">
        <v>49</v>
      </c>
      <c r="B54" s="9" t="s">
        <v>114</v>
      </c>
      <c r="C54" s="9" t="s">
        <v>152</v>
      </c>
      <c r="D54" s="9" t="s">
        <v>153</v>
      </c>
      <c r="E54" s="10" t="s">
        <v>154</v>
      </c>
      <c r="F54" s="10" t="s">
        <v>86</v>
      </c>
      <c r="G54" s="10">
        <v>128</v>
      </c>
      <c r="H54" s="10">
        <v>0.164</v>
      </c>
      <c r="I54" s="10">
        <v>20.992</v>
      </c>
      <c r="J54" s="2" t="s">
        <v>20</v>
      </c>
      <c r="K54" s="2" t="s">
        <v>33</v>
      </c>
      <c r="L54" s="2"/>
      <c r="M54" s="2"/>
    </row>
    <row r="55" ht="21.75" customHeight="1" spans="1:13" x14ac:dyDescent="0.25">
      <c r="A55" s="8">
        <v>50</v>
      </c>
      <c r="B55" s="9" t="s">
        <v>114</v>
      </c>
      <c r="C55" s="9" t="s">
        <v>155</v>
      </c>
      <c r="D55" s="9" t="s">
        <v>137</v>
      </c>
      <c r="E55" s="10" t="s">
        <v>138</v>
      </c>
      <c r="F55" s="10" t="s">
        <v>32</v>
      </c>
      <c r="G55" s="10">
        <v>44</v>
      </c>
      <c r="H55" s="10">
        <v>0.316</v>
      </c>
      <c r="I55" s="10">
        <v>13.904</v>
      </c>
      <c r="J55" s="2" t="s">
        <v>20</v>
      </c>
      <c r="K55" s="2" t="s">
        <v>33</v>
      </c>
      <c r="L55" s="2"/>
      <c r="M55" s="2"/>
    </row>
    <row r="56" ht="21.75" customHeight="1" spans="1:13" x14ac:dyDescent="0.25">
      <c r="A56" s="8">
        <v>51</v>
      </c>
      <c r="B56" s="9" t="s">
        <v>114</v>
      </c>
      <c r="C56" s="9" t="s">
        <v>156</v>
      </c>
      <c r="D56" s="9" t="s">
        <v>157</v>
      </c>
      <c r="E56" s="10" t="s">
        <v>45</v>
      </c>
      <c r="F56" s="10" t="s">
        <v>158</v>
      </c>
      <c r="G56" s="10">
        <v>760</v>
      </c>
      <c r="H56" s="10">
        <v>0.082</v>
      </c>
      <c r="I56" s="10">
        <v>62.32</v>
      </c>
      <c r="J56" s="2" t="s">
        <v>20</v>
      </c>
      <c r="K56" s="2" t="s">
        <v>51</v>
      </c>
      <c r="L56" s="2"/>
      <c r="M56" s="2"/>
    </row>
    <row r="57" ht="21.75" customHeight="1" spans="1:13" x14ac:dyDescent="0.25">
      <c r="A57" s="8">
        <v>52</v>
      </c>
      <c r="B57" s="9" t="s">
        <v>114</v>
      </c>
      <c r="C57" s="9" t="s">
        <v>159</v>
      </c>
      <c r="D57" s="9" t="s">
        <v>160</v>
      </c>
      <c r="E57" s="10" t="s">
        <v>154</v>
      </c>
      <c r="F57" s="10" t="s">
        <v>161</v>
      </c>
      <c r="G57" s="10">
        <v>511</v>
      </c>
      <c r="H57" s="10">
        <v>0.111</v>
      </c>
      <c r="I57" s="10">
        <v>56.721</v>
      </c>
      <c r="J57" s="2" t="s">
        <v>20</v>
      </c>
      <c r="K57" s="2" t="s">
        <v>51</v>
      </c>
      <c r="L57" s="2"/>
      <c r="M57" s="2"/>
    </row>
    <row r="58" ht="21.75" customHeight="1" spans="1:13" x14ac:dyDescent="0.25">
      <c r="A58" s="8">
        <v>53</v>
      </c>
      <c r="B58" s="9" t="s">
        <v>114</v>
      </c>
      <c r="C58" s="9" t="s">
        <v>162</v>
      </c>
      <c r="D58" s="9" t="s">
        <v>163</v>
      </c>
      <c r="E58" s="10" t="s">
        <v>154</v>
      </c>
      <c r="F58" s="10" t="s">
        <v>164</v>
      </c>
      <c r="G58" s="10">
        <v>194</v>
      </c>
      <c r="H58" s="10">
        <v>0.353</v>
      </c>
      <c r="I58" s="10">
        <v>68.482</v>
      </c>
      <c r="J58" s="2" t="s">
        <v>20</v>
      </c>
      <c r="K58" s="2" t="s">
        <v>51</v>
      </c>
      <c r="L58" s="2"/>
      <c r="M58" s="2"/>
    </row>
    <row r="59" ht="21.75" customHeight="1" spans="1:13" x14ac:dyDescent="0.25">
      <c r="A59" s="8">
        <v>54</v>
      </c>
      <c r="B59" s="9" t="s">
        <v>165</v>
      </c>
      <c r="C59" s="9" t="s">
        <v>166</v>
      </c>
      <c r="D59" s="9" t="s">
        <v>167</v>
      </c>
      <c r="E59" s="10" t="s">
        <v>138</v>
      </c>
      <c r="F59" s="10" t="s">
        <v>164</v>
      </c>
      <c r="G59" s="10">
        <v>22</v>
      </c>
      <c r="H59" s="10">
        <v>0.316</v>
      </c>
      <c r="I59" s="10">
        <v>6.952</v>
      </c>
      <c r="J59" s="2" t="s">
        <v>20</v>
      </c>
      <c r="K59" s="2" t="s">
        <v>51</v>
      </c>
      <c r="L59" s="2"/>
      <c r="M59" s="2"/>
    </row>
    <row r="60" ht="21.75" customHeight="1" spans="1:13" x14ac:dyDescent="0.25">
      <c r="A60" s="8">
        <v>55</v>
      </c>
      <c r="B60" s="9" t="s">
        <v>168</v>
      </c>
      <c r="C60" s="9" t="s">
        <v>169</v>
      </c>
      <c r="D60" s="9" t="s">
        <v>108</v>
      </c>
      <c r="E60" s="10" t="s">
        <v>109</v>
      </c>
      <c r="F60" s="10" t="s">
        <v>110</v>
      </c>
      <c r="G60" s="10">
        <v>56</v>
      </c>
      <c r="H60" s="10">
        <v>0.062</v>
      </c>
      <c r="I60" s="10">
        <v>3.472</v>
      </c>
      <c r="J60" s="2" t="s">
        <v>20</v>
      </c>
      <c r="K60" s="2" t="s">
        <v>33</v>
      </c>
      <c r="L60" s="2"/>
      <c r="M60" s="2"/>
    </row>
    <row r="61" ht="21.75" customHeight="1" spans="1:13" x14ac:dyDescent="0.25">
      <c r="A61" s="8">
        <v>56</v>
      </c>
      <c r="B61" s="9" t="s">
        <v>170</v>
      </c>
      <c r="C61" s="9" t="s">
        <v>171</v>
      </c>
      <c r="D61" s="9" t="s">
        <v>82</v>
      </c>
      <c r="E61" s="10" t="s">
        <v>79</v>
      </c>
      <c r="F61" s="10" t="s">
        <v>83</v>
      </c>
      <c r="G61" s="10">
        <v>3</v>
      </c>
      <c r="H61" s="10">
        <v>0.686</v>
      </c>
      <c r="I61" s="10">
        <v>2.058</v>
      </c>
      <c r="J61" s="2" t="s">
        <v>20</v>
      </c>
      <c r="K61" s="2" t="s">
        <v>33</v>
      </c>
      <c r="L61" s="2"/>
      <c r="M61" s="2"/>
    </row>
    <row r="62" ht="21.75" customHeight="1" spans="1:13" x14ac:dyDescent="0.25">
      <c r="A62" s="8">
        <v>57</v>
      </c>
      <c r="B62" s="9" t="s">
        <v>170</v>
      </c>
      <c r="C62" s="9" t="s">
        <v>171</v>
      </c>
      <c r="D62" s="9" t="s">
        <v>82</v>
      </c>
      <c r="E62" s="10" t="s">
        <v>79</v>
      </c>
      <c r="F62" s="10" t="s">
        <v>83</v>
      </c>
      <c r="G62" s="10">
        <v>3</v>
      </c>
      <c r="H62" s="10">
        <v>0.686</v>
      </c>
      <c r="I62" s="10">
        <v>2.058</v>
      </c>
      <c r="J62" s="2" t="s">
        <v>20</v>
      </c>
      <c r="K62" s="2" t="s">
        <v>33</v>
      </c>
      <c r="L62" s="2"/>
      <c r="M62" s="2"/>
    </row>
    <row r="63" ht="21.75" customHeight="1" spans="1:13" x14ac:dyDescent="0.25">
      <c r="A63" s="8">
        <v>58</v>
      </c>
      <c r="B63" s="9" t="s">
        <v>172</v>
      </c>
      <c r="C63" s="9" t="s">
        <v>173</v>
      </c>
      <c r="D63" s="9" t="s">
        <v>174</v>
      </c>
      <c r="E63" s="10" t="s">
        <v>175</v>
      </c>
      <c r="F63" s="10" t="s">
        <v>176</v>
      </c>
      <c r="G63" s="10">
        <v>2</v>
      </c>
      <c r="H63" s="10">
        <v>4.45</v>
      </c>
      <c r="I63" s="10">
        <v>8.9</v>
      </c>
      <c r="J63" s="2" t="s">
        <v>20</v>
      </c>
      <c r="K63" s="2" t="s">
        <v>177</v>
      </c>
      <c r="L63" s="2"/>
      <c r="M63" s="2"/>
    </row>
    <row r="64" ht="21.75" customHeight="1" spans="1:13" x14ac:dyDescent="0.25">
      <c r="A64" s="8">
        <v>59</v>
      </c>
      <c r="B64" s="9" t="s">
        <v>178</v>
      </c>
      <c r="C64" s="9" t="s">
        <v>179</v>
      </c>
      <c r="D64" s="9" t="s">
        <v>180</v>
      </c>
      <c r="E64" s="10" t="s">
        <v>181</v>
      </c>
      <c r="F64" s="10" t="s">
        <v>182</v>
      </c>
      <c r="G64" s="10">
        <v>4</v>
      </c>
      <c r="H64" s="10">
        <v>0.73</v>
      </c>
      <c r="I64" s="10">
        <v>2.92</v>
      </c>
      <c r="J64" s="2" t="s">
        <v>20</v>
      </c>
      <c r="K64" s="2" t="s">
        <v>51</v>
      </c>
      <c r="L64" s="2"/>
      <c r="M64" s="2"/>
    </row>
    <row r="65" ht="21.75" customHeight="1" spans="1:13" x14ac:dyDescent="0.25">
      <c r="A65" s="8">
        <v>60</v>
      </c>
      <c r="B65" s="9" t="s">
        <v>183</v>
      </c>
      <c r="C65" s="9" t="s">
        <v>184</v>
      </c>
      <c r="D65" s="9" t="s">
        <v>185</v>
      </c>
      <c r="E65" s="10" t="s">
        <v>186</v>
      </c>
      <c r="F65" s="10" t="s">
        <v>187</v>
      </c>
      <c r="G65" s="10">
        <v>104</v>
      </c>
      <c r="H65" s="10">
        <v>0.47</v>
      </c>
      <c r="I65" s="10">
        <v>48.88</v>
      </c>
      <c r="J65" s="2" t="s">
        <v>20</v>
      </c>
      <c r="K65" s="2" t="s">
        <v>21</v>
      </c>
      <c r="L65" s="2"/>
      <c r="M65" s="2"/>
    </row>
    <row r="66" ht="21.75" customHeight="1" spans="1:13" x14ac:dyDescent="0.25">
      <c r="A66" s="8">
        <v>61</v>
      </c>
      <c r="B66" s="9" t="s">
        <v>183</v>
      </c>
      <c r="C66" s="9" t="s">
        <v>184</v>
      </c>
      <c r="D66" s="9" t="s">
        <v>185</v>
      </c>
      <c r="E66" s="10" t="s">
        <v>186</v>
      </c>
      <c r="F66" s="10" t="s">
        <v>187</v>
      </c>
      <c r="G66" s="10">
        <v>52</v>
      </c>
      <c r="H66" s="10">
        <v>0.47</v>
      </c>
      <c r="I66" s="10">
        <v>24.44</v>
      </c>
      <c r="J66" s="2" t="s">
        <v>20</v>
      </c>
      <c r="K66" s="2" t="s">
        <v>21</v>
      </c>
      <c r="L66" s="2"/>
      <c r="M66" s="2"/>
    </row>
    <row r="67" ht="21.75" customHeight="1" spans="1:13" x14ac:dyDescent="0.25">
      <c r="A67" s="8">
        <v>62</v>
      </c>
      <c r="B67" s="9" t="s">
        <v>183</v>
      </c>
      <c r="C67" s="9" t="s">
        <v>188</v>
      </c>
      <c r="D67" s="9" t="s">
        <v>189</v>
      </c>
      <c r="E67" s="10" t="s">
        <v>190</v>
      </c>
      <c r="F67" s="10" t="s">
        <v>191</v>
      </c>
      <c r="G67" s="10">
        <v>85</v>
      </c>
      <c r="H67" s="10">
        <v>3.19</v>
      </c>
      <c r="I67" s="10">
        <v>271.15</v>
      </c>
      <c r="J67" s="2" t="s">
        <v>20</v>
      </c>
      <c r="K67" s="2" t="s">
        <v>21</v>
      </c>
      <c r="L67" s="2"/>
      <c r="M67" s="2"/>
    </row>
    <row r="68" ht="21.75" customHeight="1" spans="1:13" x14ac:dyDescent="0.25">
      <c r="A68" s="8">
        <v>63</v>
      </c>
      <c r="B68" s="9" t="s">
        <v>192</v>
      </c>
      <c r="C68" s="9" t="s">
        <v>193</v>
      </c>
      <c r="D68" s="9" t="s">
        <v>194</v>
      </c>
      <c r="E68" s="10" t="s">
        <v>195</v>
      </c>
      <c r="F68" s="10" t="s">
        <v>196</v>
      </c>
      <c r="G68" s="10">
        <v>1</v>
      </c>
      <c r="H68" s="10">
        <v>1</v>
      </c>
      <c r="I68" s="10">
        <v>1</v>
      </c>
      <c r="J68" s="2" t="s">
        <v>20</v>
      </c>
      <c r="K68" s="2" t="s">
        <v>51</v>
      </c>
      <c r="L68" s="2"/>
      <c r="M68" s="2"/>
    </row>
    <row r="69" ht="21.75" customHeight="1" spans="1:13" x14ac:dyDescent="0.25">
      <c r="A69" s="8">
        <v>64</v>
      </c>
      <c r="B69" s="9" t="s">
        <v>197</v>
      </c>
      <c r="C69" s="9" t="s">
        <v>198</v>
      </c>
      <c r="D69" s="9" t="s">
        <v>199</v>
      </c>
      <c r="E69" s="10" t="s">
        <v>175</v>
      </c>
      <c r="F69" s="10" t="s">
        <v>200</v>
      </c>
      <c r="G69" s="10">
        <v>8</v>
      </c>
      <c r="H69" s="10">
        <v>0.925</v>
      </c>
      <c r="I69" s="10">
        <v>7.4</v>
      </c>
      <c r="J69" s="2" t="s">
        <v>20</v>
      </c>
      <c r="K69" s="2" t="s">
        <v>177</v>
      </c>
      <c r="L69" s="2"/>
      <c r="M69" s="2"/>
    </row>
    <row r="70" ht="21.75" customHeight="1" spans="1:13" x14ac:dyDescent="0.25">
      <c r="A70" s="8">
        <v>65</v>
      </c>
      <c r="B70" s="9" t="s">
        <v>197</v>
      </c>
      <c r="C70" s="9" t="s">
        <v>201</v>
      </c>
      <c r="D70" s="9" t="s">
        <v>199</v>
      </c>
      <c r="E70" s="10" t="s">
        <v>175</v>
      </c>
      <c r="F70" s="10" t="s">
        <v>200</v>
      </c>
      <c r="G70" s="10">
        <v>267</v>
      </c>
      <c r="H70" s="10">
        <v>0.925</v>
      </c>
      <c r="I70" s="10">
        <v>246.975</v>
      </c>
      <c r="J70" s="2" t="s">
        <v>20</v>
      </c>
      <c r="K70" s="2" t="s">
        <v>177</v>
      </c>
      <c r="L70" s="2"/>
      <c r="M70" s="2"/>
    </row>
    <row r="71" ht="21.75" customHeight="1" spans="1:13" x14ac:dyDescent="0.25">
      <c r="A71" s="8">
        <v>66</v>
      </c>
      <c r="B71" s="9" t="s">
        <v>202</v>
      </c>
      <c r="C71" s="9" t="s">
        <v>203</v>
      </c>
      <c r="D71" s="9" t="s">
        <v>204</v>
      </c>
      <c r="E71" s="10" t="s">
        <v>18</v>
      </c>
      <c r="F71" s="10" t="s">
        <v>205</v>
      </c>
      <c r="G71" s="10">
        <v>18</v>
      </c>
      <c r="H71" s="10">
        <v>2.6</v>
      </c>
      <c r="I71" s="10">
        <v>46.8</v>
      </c>
      <c r="J71" s="2" t="s">
        <v>20</v>
      </c>
      <c r="K71" s="2" t="s">
        <v>51</v>
      </c>
      <c r="L71" s="2"/>
      <c r="M71" s="2"/>
    </row>
    <row r="72" ht="21.75" customHeight="1" spans="1:13" x14ac:dyDescent="0.25">
      <c r="A72" s="8">
        <v>67</v>
      </c>
      <c r="B72" s="9" t="s">
        <v>202</v>
      </c>
      <c r="C72" s="9" t="s">
        <v>206</v>
      </c>
      <c r="D72" s="9" t="s">
        <v>207</v>
      </c>
      <c r="E72" s="10" t="s">
        <v>208</v>
      </c>
      <c r="F72" s="10" t="s">
        <v>209</v>
      </c>
      <c r="G72" s="10">
        <v>180</v>
      </c>
      <c r="H72" s="10">
        <v>1.355</v>
      </c>
      <c r="I72" s="10">
        <v>243.9</v>
      </c>
      <c r="J72" s="2" t="s">
        <v>20</v>
      </c>
      <c r="K72" s="2" t="s">
        <v>51</v>
      </c>
      <c r="L72" s="2"/>
      <c r="M72" s="2"/>
    </row>
    <row r="73" ht="21.75" customHeight="1" spans="1:13" x14ac:dyDescent="0.25">
      <c r="A73" s="8">
        <v>68</v>
      </c>
      <c r="B73" s="9" t="s">
        <v>202</v>
      </c>
      <c r="C73" s="9" t="s">
        <v>210</v>
      </c>
      <c r="D73" s="9" t="s">
        <v>65</v>
      </c>
      <c r="E73" s="10" t="s">
        <v>66</v>
      </c>
      <c r="F73" s="10" t="s">
        <v>67</v>
      </c>
      <c r="G73" s="10">
        <v>149</v>
      </c>
      <c r="H73" s="10">
        <v>0.813</v>
      </c>
      <c r="I73" s="10">
        <v>121.137</v>
      </c>
      <c r="J73" s="2" t="s">
        <v>20</v>
      </c>
      <c r="K73" s="2" t="s">
        <v>51</v>
      </c>
      <c r="L73" s="2"/>
      <c r="M73" s="2"/>
    </row>
    <row r="74" ht="21.75" customHeight="1" spans="1:13" x14ac:dyDescent="0.25">
      <c r="A74" s="8">
        <v>69</v>
      </c>
      <c r="B74" s="9" t="s">
        <v>202</v>
      </c>
      <c r="C74" s="9" t="s">
        <v>210</v>
      </c>
      <c r="D74" s="9" t="s">
        <v>65</v>
      </c>
      <c r="E74" s="10" t="s">
        <v>66</v>
      </c>
      <c r="F74" s="10" t="s">
        <v>67</v>
      </c>
      <c r="G74" s="10">
        <v>120</v>
      </c>
      <c r="H74" s="10">
        <v>0.813</v>
      </c>
      <c r="I74" s="10">
        <v>97.56</v>
      </c>
      <c r="J74" s="2" t="s">
        <v>20</v>
      </c>
      <c r="K74" s="2" t="s">
        <v>51</v>
      </c>
      <c r="L74" s="2"/>
      <c r="M74" s="2"/>
    </row>
    <row r="75" ht="21.75" customHeight="1" spans="1:13" x14ac:dyDescent="0.25">
      <c r="A75" s="8">
        <v>70</v>
      </c>
      <c r="B75" s="9" t="s">
        <v>202</v>
      </c>
      <c r="C75" s="9" t="s">
        <v>210</v>
      </c>
      <c r="D75" s="9" t="s">
        <v>65</v>
      </c>
      <c r="E75" s="10" t="s">
        <v>66</v>
      </c>
      <c r="F75" s="10" t="s">
        <v>67</v>
      </c>
      <c r="G75" s="10">
        <v>145</v>
      </c>
      <c r="H75" s="10">
        <v>0.813</v>
      </c>
      <c r="I75" s="10">
        <v>117.885</v>
      </c>
      <c r="J75" s="2" t="s">
        <v>20</v>
      </c>
      <c r="K75" s="2" t="s">
        <v>51</v>
      </c>
      <c r="L75" s="2"/>
      <c r="M75" s="2"/>
    </row>
    <row r="76" ht="21.75" customHeight="1" spans="1:13" x14ac:dyDescent="0.25">
      <c r="A76" s="8">
        <v>71</v>
      </c>
      <c r="B76" s="9" t="s">
        <v>211</v>
      </c>
      <c r="C76" s="9" t="s">
        <v>212</v>
      </c>
      <c r="D76" s="9" t="s">
        <v>213</v>
      </c>
      <c r="E76" s="10" t="s">
        <v>214</v>
      </c>
      <c r="F76" s="10" t="s">
        <v>209</v>
      </c>
      <c r="G76" s="10">
        <v>200</v>
      </c>
      <c r="H76" s="10">
        <v>0.994</v>
      </c>
      <c r="I76" s="10">
        <v>198.8</v>
      </c>
      <c r="J76" s="2" t="s">
        <v>20</v>
      </c>
      <c r="K76" s="2" t="s">
        <v>51</v>
      </c>
      <c r="L76" s="2"/>
      <c r="M76" s="2"/>
    </row>
    <row r="77" ht="21.75" customHeight="1" spans="1:13" x14ac:dyDescent="0.25">
      <c r="A77" s="8">
        <v>72</v>
      </c>
      <c r="B77" s="9" t="s">
        <v>211</v>
      </c>
      <c r="C77" s="9" t="s">
        <v>212</v>
      </c>
      <c r="D77" s="9" t="s">
        <v>213</v>
      </c>
      <c r="E77" s="10" t="s">
        <v>214</v>
      </c>
      <c r="F77" s="10" t="s">
        <v>209</v>
      </c>
      <c r="G77" s="10">
        <v>4</v>
      </c>
      <c r="H77" s="10">
        <v>0.994</v>
      </c>
      <c r="I77" s="10">
        <v>3.976</v>
      </c>
      <c r="J77" s="2" t="s">
        <v>20</v>
      </c>
      <c r="K77" s="2" t="s">
        <v>51</v>
      </c>
      <c r="L77" s="2"/>
      <c r="M77" s="2"/>
    </row>
    <row r="78" ht="21.75" customHeight="1" spans="1:13" x14ac:dyDescent="0.25">
      <c r="A78" s="8">
        <v>73</v>
      </c>
      <c r="B78" s="9" t="s">
        <v>211</v>
      </c>
      <c r="C78" s="9" t="s">
        <v>212</v>
      </c>
      <c r="D78" s="9" t="s">
        <v>213</v>
      </c>
      <c r="E78" s="10" t="s">
        <v>214</v>
      </c>
      <c r="F78" s="10" t="s">
        <v>209</v>
      </c>
      <c r="G78" s="10">
        <v>675</v>
      </c>
      <c r="H78" s="10">
        <v>0.994</v>
      </c>
      <c r="I78" s="10">
        <v>670.95</v>
      </c>
      <c r="J78" s="2" t="s">
        <v>20</v>
      </c>
      <c r="K78" s="2" t="s">
        <v>51</v>
      </c>
      <c r="L78" s="2"/>
      <c r="M78" s="2"/>
    </row>
    <row r="79" ht="21.75" customHeight="1" spans="1:13" x14ac:dyDescent="0.25">
      <c r="A79" s="8">
        <v>74</v>
      </c>
      <c r="B79" s="9" t="s">
        <v>211</v>
      </c>
      <c r="C79" s="9" t="s">
        <v>212</v>
      </c>
      <c r="D79" s="9" t="s">
        <v>213</v>
      </c>
      <c r="E79" s="10" t="s">
        <v>214</v>
      </c>
      <c r="F79" s="10" t="s">
        <v>209</v>
      </c>
      <c r="G79" s="10">
        <v>528</v>
      </c>
      <c r="H79" s="10">
        <v>0.994</v>
      </c>
      <c r="I79" s="10">
        <v>524.832</v>
      </c>
      <c r="J79" s="2" t="s">
        <v>20</v>
      </c>
      <c r="K79" s="2" t="s">
        <v>51</v>
      </c>
      <c r="L79" s="2"/>
      <c r="M79" s="2"/>
    </row>
    <row r="80" ht="21.75" customHeight="1" spans="1:13" x14ac:dyDescent="0.25">
      <c r="A80" s="8">
        <v>75</v>
      </c>
      <c r="B80" s="9" t="s">
        <v>211</v>
      </c>
      <c r="C80" s="9" t="s">
        <v>215</v>
      </c>
      <c r="D80" s="9" t="s">
        <v>216</v>
      </c>
      <c r="E80" s="10" t="s">
        <v>217</v>
      </c>
      <c r="F80" s="10" t="s">
        <v>218</v>
      </c>
      <c r="G80" s="10">
        <v>496</v>
      </c>
      <c r="H80" s="10">
        <v>1.032</v>
      </c>
      <c r="I80" s="10">
        <v>511.872</v>
      </c>
      <c r="J80" s="2" t="s">
        <v>20</v>
      </c>
      <c r="K80" s="2" t="s">
        <v>177</v>
      </c>
      <c r="L80" s="2"/>
      <c r="M80" s="2"/>
    </row>
    <row r="81" ht="21.75" customHeight="1" spans="1:13" x14ac:dyDescent="0.25">
      <c r="A81" s="8">
        <v>76</v>
      </c>
      <c r="B81" s="9" t="s">
        <v>211</v>
      </c>
      <c r="C81" s="9" t="s">
        <v>219</v>
      </c>
      <c r="D81" s="9" t="s">
        <v>220</v>
      </c>
      <c r="E81" s="10" t="s">
        <v>221</v>
      </c>
      <c r="F81" s="10" t="s">
        <v>222</v>
      </c>
      <c r="G81" s="10">
        <v>239</v>
      </c>
      <c r="H81" s="10">
        <v>0.19</v>
      </c>
      <c r="I81" s="10">
        <v>45.41</v>
      </c>
      <c r="J81" s="2" t="s">
        <v>20</v>
      </c>
      <c r="K81" s="2" t="s">
        <v>51</v>
      </c>
      <c r="L81" s="2"/>
      <c r="M81" s="2"/>
    </row>
    <row r="82" ht="21.75" customHeight="1" spans="1:13" x14ac:dyDescent="0.25">
      <c r="A82" s="8">
        <v>77</v>
      </c>
      <c r="B82" s="9" t="s">
        <v>211</v>
      </c>
      <c r="C82" s="9" t="s">
        <v>223</v>
      </c>
      <c r="D82" s="9" t="s">
        <v>224</v>
      </c>
      <c r="E82" s="10" t="s">
        <v>225</v>
      </c>
      <c r="F82" s="10" t="s">
        <v>226</v>
      </c>
      <c r="G82" s="10">
        <v>12</v>
      </c>
      <c r="H82" s="10">
        <v>1.375</v>
      </c>
      <c r="I82" s="10">
        <v>16.5</v>
      </c>
      <c r="J82" s="2" t="s">
        <v>20</v>
      </c>
      <c r="K82" s="2" t="s">
        <v>51</v>
      </c>
      <c r="L82" s="2"/>
      <c r="M82" s="2"/>
    </row>
    <row r="83" ht="21.75" customHeight="1" spans="1:13" x14ac:dyDescent="0.25">
      <c r="A83" s="8">
        <v>78</v>
      </c>
      <c r="B83" s="9" t="s">
        <v>227</v>
      </c>
      <c r="C83" s="9" t="s">
        <v>228</v>
      </c>
      <c r="D83" s="9" t="s">
        <v>229</v>
      </c>
      <c r="E83" s="10" t="s">
        <v>230</v>
      </c>
      <c r="F83" s="10" t="s">
        <v>231</v>
      </c>
      <c r="G83" s="10">
        <v>42</v>
      </c>
      <c r="H83" s="10">
        <v>4.22</v>
      </c>
      <c r="I83" s="10">
        <v>177.24</v>
      </c>
      <c r="J83" s="2" t="s">
        <v>20</v>
      </c>
      <c r="K83" s="2" t="s">
        <v>51</v>
      </c>
      <c r="L83" s="2"/>
      <c r="M83" s="2"/>
    </row>
    <row r="84" ht="21.75" customHeight="1" spans="1:13" x14ac:dyDescent="0.25">
      <c r="A84" s="8">
        <v>79</v>
      </c>
      <c r="B84" s="9" t="s">
        <v>232</v>
      </c>
      <c r="C84" s="9" t="s">
        <v>233</v>
      </c>
      <c r="D84" s="9" t="s">
        <v>234</v>
      </c>
      <c r="E84" s="10" t="s">
        <v>175</v>
      </c>
      <c r="F84" s="10" t="s">
        <v>235</v>
      </c>
      <c r="G84" s="10">
        <v>16</v>
      </c>
      <c r="H84" s="10">
        <v>1.31</v>
      </c>
      <c r="I84" s="10">
        <v>20.96</v>
      </c>
      <c r="J84" s="2" t="s">
        <v>20</v>
      </c>
      <c r="K84" s="2" t="s">
        <v>177</v>
      </c>
      <c r="L84" s="2"/>
      <c r="M84" s="2"/>
    </row>
    <row r="85" ht="21.75" customHeight="1" spans="1:13" x14ac:dyDescent="0.25">
      <c r="A85" s="8">
        <v>80</v>
      </c>
      <c r="B85" s="9" t="s">
        <v>236</v>
      </c>
      <c r="C85" s="9" t="s">
        <v>237</v>
      </c>
      <c r="D85" s="9" t="s">
        <v>238</v>
      </c>
      <c r="E85" s="10" t="s">
        <v>239</v>
      </c>
      <c r="F85" s="10" t="s">
        <v>240</v>
      </c>
      <c r="G85" s="10">
        <v>3</v>
      </c>
      <c r="H85" s="10">
        <v>2.21</v>
      </c>
      <c r="I85" s="10">
        <v>6.63</v>
      </c>
      <c r="J85" s="2" t="s">
        <v>20</v>
      </c>
      <c r="K85" s="2" t="s">
        <v>51</v>
      </c>
      <c r="L85" s="2"/>
      <c r="M85" s="2"/>
    </row>
    <row r="86" ht="21.75" customHeight="1" spans="1:13" x14ac:dyDescent="0.25">
      <c r="A86" s="8">
        <v>81</v>
      </c>
      <c r="B86" s="9" t="s">
        <v>241</v>
      </c>
      <c r="C86" s="9" t="s">
        <v>242</v>
      </c>
      <c r="D86" s="9" t="s">
        <v>243</v>
      </c>
      <c r="E86" s="10" t="s">
        <v>31</v>
      </c>
      <c r="F86" s="10" t="s">
        <v>141</v>
      </c>
      <c r="G86" s="10">
        <v>20</v>
      </c>
      <c r="H86" s="10">
        <v>0.217</v>
      </c>
      <c r="I86" s="10">
        <v>4.34</v>
      </c>
      <c r="J86" s="2" t="s">
        <v>20</v>
      </c>
      <c r="K86" s="2" t="s">
        <v>33</v>
      </c>
      <c r="L86" s="2"/>
      <c r="M86" s="2"/>
    </row>
    <row r="87" ht="21.75" customHeight="1" spans="1:13" x14ac:dyDescent="0.25">
      <c r="A87" s="8">
        <v>82</v>
      </c>
      <c r="B87" s="9" t="s">
        <v>241</v>
      </c>
      <c r="C87" s="9" t="s">
        <v>244</v>
      </c>
      <c r="D87" s="9" t="s">
        <v>30</v>
      </c>
      <c r="E87" s="10" t="s">
        <v>31</v>
      </c>
      <c r="F87" s="10" t="s">
        <v>32</v>
      </c>
      <c r="G87" s="10">
        <v>10</v>
      </c>
      <c r="H87" s="10">
        <v>1.046</v>
      </c>
      <c r="I87" s="10">
        <v>10.46</v>
      </c>
      <c r="J87" s="2" t="s">
        <v>20</v>
      </c>
      <c r="K87" s="2" t="s">
        <v>33</v>
      </c>
      <c r="L87" s="2"/>
      <c r="M87" s="2"/>
    </row>
    <row r="88" ht="21.75" customHeight="1" spans="1:13" x14ac:dyDescent="0.25">
      <c r="A88" s="8">
        <v>83</v>
      </c>
      <c r="B88" s="9" t="s">
        <v>245</v>
      </c>
      <c r="C88" s="9" t="s">
        <v>246</v>
      </c>
      <c r="D88" s="9" t="s">
        <v>247</v>
      </c>
      <c r="E88" s="10" t="s">
        <v>109</v>
      </c>
      <c r="F88" s="10" t="s">
        <v>248</v>
      </c>
      <c r="G88" s="10">
        <v>11</v>
      </c>
      <c r="H88" s="10">
        <v>0.847</v>
      </c>
      <c r="I88" s="10">
        <v>9.317</v>
      </c>
      <c r="J88" s="2" t="s">
        <v>20</v>
      </c>
      <c r="K88" s="2" t="s">
        <v>51</v>
      </c>
      <c r="L88" s="2"/>
      <c r="M88" s="2"/>
    </row>
    <row r="89" ht="21.75" customHeight="1" spans="1:13" x14ac:dyDescent="0.25">
      <c r="A89" s="8">
        <v>84</v>
      </c>
      <c r="B89" s="9" t="s">
        <v>249</v>
      </c>
      <c r="C89" s="9" t="s">
        <v>250</v>
      </c>
      <c r="D89" s="9" t="s">
        <v>251</v>
      </c>
      <c r="E89" s="10" t="s">
        <v>109</v>
      </c>
      <c r="F89" s="10" t="s">
        <v>252</v>
      </c>
      <c r="G89" s="10">
        <v>16</v>
      </c>
      <c r="H89" s="10">
        <v>0.573</v>
      </c>
      <c r="I89" s="10">
        <v>9.168</v>
      </c>
      <c r="J89" s="2" t="s">
        <v>20</v>
      </c>
      <c r="K89" s="2" t="s">
        <v>33</v>
      </c>
      <c r="L89" s="2"/>
      <c r="M89" s="2"/>
    </row>
    <row r="90" ht="21.75" customHeight="1" spans="1:13" x14ac:dyDescent="0.25">
      <c r="A90" s="8">
        <v>85</v>
      </c>
      <c r="B90" s="9" t="s">
        <v>241</v>
      </c>
      <c r="C90" s="9" t="s">
        <v>253</v>
      </c>
      <c r="D90" s="9" t="s">
        <v>254</v>
      </c>
      <c r="E90" s="10" t="s">
        <v>255</v>
      </c>
      <c r="F90" s="10" t="s">
        <v>42</v>
      </c>
      <c r="G90" s="10">
        <v>36</v>
      </c>
      <c r="H90" s="10">
        <v>0.196</v>
      </c>
      <c r="I90" s="10">
        <v>7.056</v>
      </c>
      <c r="J90" s="2" t="s">
        <v>20</v>
      </c>
      <c r="K90" s="2" t="s">
        <v>33</v>
      </c>
      <c r="L90" s="2"/>
      <c r="M90" s="2"/>
    </row>
    <row r="91" ht="21.75" customHeight="1" spans="1:13" x14ac:dyDescent="0.25">
      <c r="A91" s="8">
        <v>86</v>
      </c>
      <c r="B91" s="9" t="s">
        <v>245</v>
      </c>
      <c r="C91" s="9" t="s">
        <v>256</v>
      </c>
      <c r="D91" s="9" t="s">
        <v>257</v>
      </c>
      <c r="E91" s="10" t="s">
        <v>258</v>
      </c>
      <c r="F91" s="10" t="s">
        <v>83</v>
      </c>
      <c r="G91" s="10">
        <v>17</v>
      </c>
      <c r="H91" s="10">
        <v>0.19</v>
      </c>
      <c r="I91" s="10">
        <v>3.23</v>
      </c>
      <c r="J91" s="2" t="s">
        <v>20</v>
      </c>
      <c r="K91" s="2" t="s">
        <v>33</v>
      </c>
      <c r="L91" s="2"/>
      <c r="M91" s="2"/>
    </row>
    <row r="92" ht="21.75" customHeight="1" spans="1:13" x14ac:dyDescent="0.25">
      <c r="A92" s="8">
        <v>87</v>
      </c>
      <c r="B92" s="9" t="s">
        <v>259</v>
      </c>
      <c r="C92" s="9" t="s">
        <v>260</v>
      </c>
      <c r="D92" s="9" t="s">
        <v>146</v>
      </c>
      <c r="E92" s="10" t="s">
        <v>45</v>
      </c>
      <c r="F92" s="10" t="s">
        <v>93</v>
      </c>
      <c r="G92" s="10">
        <v>48</v>
      </c>
      <c r="H92" s="10">
        <v>0.082</v>
      </c>
      <c r="I92" s="10">
        <v>3.936</v>
      </c>
      <c r="J92" s="2" t="s">
        <v>20</v>
      </c>
      <c r="K92" s="2" t="s">
        <v>33</v>
      </c>
      <c r="L92" s="2"/>
      <c r="M92" s="2"/>
    </row>
    <row r="93" ht="21.75" customHeight="1" spans="1:13" x14ac:dyDescent="0.25">
      <c r="A93" s="8">
        <v>88</v>
      </c>
      <c r="B93" s="9" t="s">
        <v>261</v>
      </c>
      <c r="C93" s="9" t="s">
        <v>262</v>
      </c>
      <c r="D93" s="9" t="s">
        <v>263</v>
      </c>
      <c r="E93" s="10" t="s">
        <v>131</v>
      </c>
      <c r="F93" s="10" t="s">
        <v>264</v>
      </c>
      <c r="G93" s="10">
        <v>8</v>
      </c>
      <c r="H93" s="10">
        <v>1.031</v>
      </c>
      <c r="I93" s="10">
        <v>8.248</v>
      </c>
      <c r="J93" s="2" t="s">
        <v>20</v>
      </c>
      <c r="K93" s="2" t="s">
        <v>33</v>
      </c>
      <c r="L93" s="2"/>
      <c r="M93" s="2"/>
    </row>
    <row r="94" ht="21.75" customHeight="1" spans="1:13" x14ac:dyDescent="0.25">
      <c r="A94" s="8">
        <v>89</v>
      </c>
      <c r="B94" s="9" t="s">
        <v>265</v>
      </c>
      <c r="C94" s="9" t="s">
        <v>266</v>
      </c>
      <c r="D94" s="9" t="s">
        <v>267</v>
      </c>
      <c r="E94" s="10" t="s">
        <v>45</v>
      </c>
      <c r="F94" s="10" t="s">
        <v>268</v>
      </c>
      <c r="G94" s="10">
        <v>8</v>
      </c>
      <c r="H94" s="10">
        <v>0.653</v>
      </c>
      <c r="I94" s="10">
        <v>5.224</v>
      </c>
      <c r="J94" s="2" t="s">
        <v>20</v>
      </c>
      <c r="K94" s="2" t="s">
        <v>33</v>
      </c>
      <c r="L94" s="2"/>
      <c r="M94" s="2"/>
    </row>
    <row r="95" ht="21.75" customHeight="1" spans="1:13" x14ac:dyDescent="0.25">
      <c r="A95" s="8">
        <v>90</v>
      </c>
      <c r="B95" s="9" t="s">
        <v>265</v>
      </c>
      <c r="C95" s="9" t="s">
        <v>266</v>
      </c>
      <c r="D95" s="9" t="s">
        <v>267</v>
      </c>
      <c r="E95" s="10" t="s">
        <v>45</v>
      </c>
      <c r="F95" s="10" t="s">
        <v>268</v>
      </c>
      <c r="G95" s="10">
        <v>4</v>
      </c>
      <c r="H95" s="10">
        <v>0.653</v>
      </c>
      <c r="I95" s="10">
        <v>2.612</v>
      </c>
      <c r="J95" s="2" t="s">
        <v>20</v>
      </c>
      <c r="K95" s="2" t="s">
        <v>33</v>
      </c>
      <c r="L95" s="2"/>
      <c r="M95" s="2"/>
    </row>
    <row r="96" ht="21.75" customHeight="1" spans="1:13" x14ac:dyDescent="0.25">
      <c r="A96" s="8">
        <v>91</v>
      </c>
      <c r="B96" s="9" t="s">
        <v>241</v>
      </c>
      <c r="C96" s="9" t="s">
        <v>269</v>
      </c>
      <c r="D96" s="9" t="s">
        <v>270</v>
      </c>
      <c r="E96" s="10" t="s">
        <v>71</v>
      </c>
      <c r="F96" s="10" t="s">
        <v>271</v>
      </c>
      <c r="G96" s="10">
        <v>24</v>
      </c>
      <c r="H96" s="10">
        <v>0.214</v>
      </c>
      <c r="I96" s="10">
        <v>5.136</v>
      </c>
      <c r="J96" s="2" t="s">
        <v>20</v>
      </c>
      <c r="K96" s="2" t="s">
        <v>33</v>
      </c>
      <c r="L96" s="2"/>
      <c r="M96" s="2"/>
    </row>
    <row r="97" ht="21.75" customHeight="1" spans="1:13" x14ac:dyDescent="0.25">
      <c r="A97" s="8">
        <v>92</v>
      </c>
      <c r="B97" s="9" t="s">
        <v>272</v>
      </c>
      <c r="C97" s="9" t="s">
        <v>273</v>
      </c>
      <c r="D97" s="9" t="s">
        <v>82</v>
      </c>
      <c r="E97" s="10" t="s">
        <v>79</v>
      </c>
      <c r="F97" s="10" t="s">
        <v>83</v>
      </c>
      <c r="G97" s="10">
        <v>12</v>
      </c>
      <c r="H97" s="10">
        <v>0.686</v>
      </c>
      <c r="I97" s="10">
        <v>8.232</v>
      </c>
      <c r="J97" s="2" t="s">
        <v>20</v>
      </c>
      <c r="K97" s="2" t="s">
        <v>33</v>
      </c>
      <c r="L97" s="2"/>
      <c r="M97" s="2"/>
    </row>
    <row r="98" ht="33" customHeight="1" spans="1:10" x14ac:dyDescent="0.25">
      <c r="A98" s="11" t="s">
        <v>274</v>
      </c>
      <c r="B98" s="12"/>
      <c r="C98" s="13">
        <f>ROUND(SUMIFS($I$6:$I$97, $J$6:$J$97, "XLN", K6:$K$97, "WCB"), 2)</f>
      </c>
      <c r="D98" s="14"/>
      <c r="E98" s="7" t="s">
        <v>275</v>
      </c>
      <c r="F98" s="15">
        <f>ROUND(IFERROR(H98-C98, "0"), 2)</f>
      </c>
      <c r="G98" s="7" t="s">
        <v>276</v>
      </c>
      <c r="H98" s="16">
        <f>ROUND(SUMIF(J6:J$97, "XLN", I6:I$97), 2)</f>
      </c>
      <c r="I98" s="16"/>
      <c r="J98" s="2">
        <f>H98='xử lý chất liệu'!H326</f>
      </c>
    </row>
    <row r="99" spans="1:12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31.5" customHeight="1" spans="1:12" x14ac:dyDescent="0.25">
      <c r="A100" s="1"/>
      <c r="B100" s="17" t="s">
        <v>277</v>
      </c>
      <c r="C100" s="2"/>
      <c r="D100" s="2"/>
      <c r="E100" s="18" t="s">
        <v>278</v>
      </c>
      <c r="F100" s="2"/>
      <c r="G100" s="2"/>
      <c r="H100" s="19" t="s">
        <v>279</v>
      </c>
      <c r="I100" s="20"/>
      <c r="J100" s="2"/>
      <c r="K100" s="2"/>
      <c r="L100" s="2"/>
    </row>
  </sheetData>
  <autoFilter ref="A5:K7"/>
  <mergeCells count="11">
    <mergeCell ref="A1:I1"/>
    <mergeCell ref="A2:I2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28" right="0" top="0.46" bottom="0.52" header="0" footer="0"/>
  <pageSetup paperSize="9" orientation="portrait" horizontalDpi="300" verticalDpi="300" scale="75" fitToWidth="1" fitToHeight="1" firstPageNumber="1" useFirstPageNumber="1" copies="1"/>
  <headerFooter>
    <oddFooter>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7"/>
  <sheetViews>
    <sheetView workbookViewId="0" zoomScale="100" zoomScaleNormal="100">
      <pane ySplit="2" topLeftCell="A218" activePane="bottomLeft" state="frozen"/>
      <selection pane="bottomLeft" activeCell="U7" sqref="U7"/>
    </sheetView>
  </sheetViews>
  <sheetFormatPr defaultRowHeight="15.75" outlineLevelRow="0" outlineLevelCol="0" x14ac:dyDescent="0" defaultColWidth="8.625" customHeight="1"/>
  <cols>
    <col min="1" max="1" width="5" style="1" customWidth="1"/>
    <col min="2" max="2" width="13.5" style="2" customWidth="1"/>
    <col min="3" max="3" width="14.625" style="2" customWidth="1"/>
    <col min="4" max="4" width="13.375" style="2" customWidth="1"/>
    <col min="5" max="5" width="20.375" style="2" customWidth="1"/>
    <col min="6" max="6" width="18.875" style="2" customWidth="1"/>
    <col min="7" max="7" width="13" style="2" customWidth="1"/>
    <col min="8" max="8" width="9.625" style="2" customWidth="1"/>
    <col min="9" max="9" width="11" style="2" customWidth="1"/>
    <col min="10" max="16384" width="8.625" style="2" customWidth="1"/>
  </cols>
  <sheetData>
    <row r="1" ht="30" customHeight="1" spans="1:9" x14ac:dyDescent="0.25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</row>
    <row r="2" ht="74.25" customHeight="1" spans="1:11" x14ac:dyDescent="0.25">
      <c r="A2" s="7"/>
      <c r="B2" s="7"/>
      <c r="C2" s="7"/>
      <c r="D2" s="7"/>
      <c r="E2" s="7"/>
      <c r="F2" s="7"/>
      <c r="G2" s="7"/>
      <c r="H2" s="7"/>
      <c r="I2" s="7"/>
      <c r="J2" s="1" t="s">
        <v>13</v>
      </c>
      <c r="K2" s="1" t="s">
        <v>14</v>
      </c>
    </row>
    <row r="3" ht="21.75" customHeight="1" spans="1:11" x14ac:dyDescent="0.25">
      <c r="A3" s="8">
        <f>IF(E3="","",SUBTOTAL(103,$E$3:E3))</f>
      </c>
      <c r="B3" s="9"/>
      <c r="C3" s="9"/>
      <c r="D3" s="9"/>
      <c r="E3" s="10"/>
      <c r="F3" s="10"/>
      <c r="G3" s="10"/>
      <c r="H3" s="10"/>
      <c r="I3" s="10"/>
      <c r="J3" s="2" t="str">
        <f t="shared" ref="J3:J66" si="0">IF(ISERROR(SEARCH("热处理", E3))=FALSE, "XLN", IF(ISERROR(SEARCH("114", E3))=FALSE, "XLN", IF(ISERROR(SEARCH("OM", E3))=FALSE, "NO", IF(ISERROR(SEARCH("试棒毛坯", E3))=FALSE, "XLN", IF(ISERROR(SEARCH("M35", F3))=FALSE, "NO", IF(OR(LEFT(F3, 2)="DN", LEFT(F3, 3)="NPS", ISERROR(SEARCH("LADISH", E3))=FALSE), "XLN", "NO"))))))</f>
        <v>NO</v>
      </c>
      <c r="K3" s="2" t="str">
        <f>IF(ISERROR(FIND("304",F3))=FALSE,304,IF(ISERROR(FIND("316",F3))=FALSE,316,IF(ISERROR(FIND("CF8M",F3))=FALSE,316,IF(ISERROR(SEARCH("wcb",F3))=FALSE,"WCB",IF(ISERROR(SEARCH("cd3mn",F3))=FALSE,"CD3MN",IF(ISERROR(SEARCH("CN7M",F3))=FALSE,"CN7M",IF(ISERROR(SEARCH("M35",F3))=FALSE,"M35",IF(ISERROR(SEARCH("CF3M",F3))=FALSE,"CF3M",IF(ISERROR(SEARCH("CD3MWCuN",F3))=FALSE, "CD3MWCuN",  IF(ISERROR(SEARCH("CW12MW",F3))=FALSE, "CW12MW", IF(ISERROR(SEARCH("CF8",F3))=FALSE, 304," ")))))))))))</f>
        <v> </v>
      </c>
    </row>
    <row r="4" ht="21.75" customHeight="1" spans="1:11" x14ac:dyDescent="0.25">
      <c r="A4" s="8">
        <f>IF(E4="","",SUBTOTAL(103,$E$3:E4))</f>
      </c>
      <c r="B4" s="9"/>
      <c r="C4" s="9"/>
      <c r="D4" s="9"/>
      <c r="E4" s="10"/>
      <c r="F4" s="10"/>
      <c r="G4" s="10"/>
      <c r="H4" s="10"/>
      <c r="I4" s="10"/>
      <c r="J4" s="2" t="str">
        <f t="shared" si="0"/>
        <v>NO</v>
      </c>
      <c r="K4" s="2" t="str">
        <f t="shared" ref="K4:K67" si="1">IF(ISERROR(FIND("304",F4))=FALSE,304,IF(ISERROR(FIND("316",F4))=FALSE,316,IF(ISERROR(FIND("CF8M",F4))=FALSE,316,IF(ISERROR(SEARCH("wcb",F4))=FALSE,"WCB",IF(ISERROR(SEARCH("cd3mn",F4))=FALSE,"CD3MN",IF(ISERROR(SEARCH("CN7M",F4))=FALSE,"CN7M",IF(ISERROR(SEARCH("M35",F4))=FALSE,"M35",IF(ISERROR(SEARCH("CF3M",F4))=FALSE,"CF3M",IF(ISERROR(SEARCH("CD3MWCuN",F4))=FALSE, "CD3MWCuN",  IF(ISERROR(SEARCH("CW12MW",F4))=FALSE, "CW12MW", IF(ISERROR(SEARCH("CF8",F4))=FALSE, 304," ")))))))))))</f>
        <v> </v>
      </c>
    </row>
    <row r="5" ht="21.75" customHeight="1" spans="1:11" x14ac:dyDescent="0.25">
      <c r="A5" s="8">
        <f>IF(E5="","",SUBTOTAL(103,$E$3:E5))</f>
      </c>
      <c r="B5" s="9"/>
      <c r="C5" s="9"/>
      <c r="D5" s="9"/>
      <c r="E5" s="10"/>
      <c r="F5" s="10"/>
      <c r="G5" s="10"/>
      <c r="H5" s="10"/>
      <c r="I5" s="10"/>
      <c r="J5" s="2" t="str">
        <f t="shared" si="0"/>
        <v>NO</v>
      </c>
      <c r="K5" s="2" t="str">
        <f t="shared" si="1"/>
        <v> </v>
      </c>
    </row>
    <row r="6" ht="21.75" customHeight="1" spans="1:11" x14ac:dyDescent="0.25">
      <c r="A6" s="8">
        <f>IF(E6="","",SUBTOTAL(103,$E$3:E6))</f>
      </c>
      <c r="B6" s="9"/>
      <c r="C6" s="9"/>
      <c r="D6" s="9"/>
      <c r="E6" s="10"/>
      <c r="F6" s="10"/>
      <c r="G6" s="10"/>
      <c r="H6" s="10"/>
      <c r="I6" s="10"/>
      <c r="J6" s="2" t="str">
        <f t="shared" si="0"/>
        <v>NO</v>
      </c>
      <c r="K6" s="2" t="str">
        <f t="shared" si="1"/>
        <v> </v>
      </c>
    </row>
    <row r="7" ht="21.75" customHeight="1" spans="1:11" x14ac:dyDescent="0.25">
      <c r="A7" s="8">
        <f>IF(E7="","",SUBTOTAL(103,$E$3:E7))</f>
      </c>
      <c r="B7" s="9"/>
      <c r="C7" s="9"/>
      <c r="D7" s="9"/>
      <c r="E7" s="10"/>
      <c r="F7" s="10"/>
      <c r="G7" s="10"/>
      <c r="H7" s="10"/>
      <c r="I7" s="10"/>
      <c r="J7" s="2" t="str">
        <f t="shared" si="0"/>
        <v>NO</v>
      </c>
      <c r="K7" s="2" t="str">
        <f t="shared" si="1"/>
        <v> </v>
      </c>
    </row>
    <row r="8" ht="21.75" customHeight="1" spans="1:11" x14ac:dyDescent="0.25">
      <c r="A8" s="8">
        <f>IF(E8="","",SUBTOTAL(103,$E$3:E8))</f>
      </c>
      <c r="B8" s="9"/>
      <c r="C8" s="9"/>
      <c r="D8" s="9"/>
      <c r="E8" s="10"/>
      <c r="F8" s="10"/>
      <c r="G8" s="10"/>
      <c r="H8" s="10"/>
      <c r="I8" s="10"/>
      <c r="J8" s="2" t="str">
        <f t="shared" si="0"/>
        <v>NO</v>
      </c>
      <c r="K8" s="2" t="str">
        <f t="shared" si="1"/>
        <v> </v>
      </c>
    </row>
    <row r="9" ht="21.75" customHeight="1" spans="1:11" x14ac:dyDescent="0.25">
      <c r="A9" s="8">
        <f>IF(E9="","",SUBTOTAL(103,$E$3:E9))</f>
      </c>
      <c r="B9" s="9"/>
      <c r="C9" s="9"/>
      <c r="D9" s="9"/>
      <c r="E9" s="10"/>
      <c r="F9" s="10"/>
      <c r="G9" s="10"/>
      <c r="H9" s="10"/>
      <c r="I9" s="10"/>
      <c r="J9" s="2" t="str">
        <f t="shared" si="0"/>
        <v>NO</v>
      </c>
      <c r="K9" s="2" t="str">
        <f t="shared" si="1"/>
        <v> </v>
      </c>
    </row>
    <row r="10" ht="21.75" customHeight="1" spans="1:11" x14ac:dyDescent="0.25">
      <c r="A10" s="8">
        <f>IF(E10="","",SUBTOTAL(103,$E$3:E10))</f>
      </c>
      <c r="B10" s="9"/>
      <c r="C10" s="9"/>
      <c r="D10" s="9"/>
      <c r="E10" s="10"/>
      <c r="F10" s="10"/>
      <c r="G10" s="10"/>
      <c r="H10" s="10"/>
      <c r="I10" s="10"/>
      <c r="J10" s="2" t="str">
        <f t="shared" si="0"/>
        <v>NO</v>
      </c>
      <c r="K10" s="2" t="str">
        <f t="shared" si="1"/>
        <v> </v>
      </c>
    </row>
    <row r="11" ht="21.75" customHeight="1" spans="1:11" x14ac:dyDescent="0.25">
      <c r="A11" s="8">
        <f>IF(E11="","",SUBTOTAL(103,$E$3:E11))</f>
      </c>
      <c r="B11" s="9"/>
      <c r="C11" s="9"/>
      <c r="D11" s="9"/>
      <c r="E11" s="10"/>
      <c r="F11" s="10"/>
      <c r="G11" s="10"/>
      <c r="H11" s="10"/>
      <c r="I11" s="10"/>
      <c r="J11" s="2" t="str">
        <f t="shared" si="0"/>
        <v>NO</v>
      </c>
      <c r="K11" s="2" t="str">
        <f t="shared" si="1"/>
        <v> </v>
      </c>
    </row>
    <row r="12" ht="21.75" customHeight="1" spans="1:11" x14ac:dyDescent="0.25">
      <c r="A12" s="8">
        <f>IF(E12="","",SUBTOTAL(103,$E$3:E12))</f>
      </c>
      <c r="B12" s="9"/>
      <c r="C12" s="9"/>
      <c r="D12" s="9"/>
      <c r="E12" s="10"/>
      <c r="F12" s="10"/>
      <c r="G12" s="10"/>
      <c r="H12" s="10"/>
      <c r="I12" s="10"/>
      <c r="J12" s="2" t="str">
        <f t="shared" si="0"/>
        <v>NO</v>
      </c>
      <c r="K12" s="2" t="str">
        <f t="shared" si="1"/>
        <v> </v>
      </c>
    </row>
    <row r="13" ht="21.75" customHeight="1" spans="1:11" x14ac:dyDescent="0.25">
      <c r="A13" s="8">
        <f>IF(E13="","",SUBTOTAL(103,$E$3:E13))</f>
      </c>
      <c r="B13" s="9"/>
      <c r="C13" s="9"/>
      <c r="D13" s="9"/>
      <c r="E13" s="10"/>
      <c r="F13" s="10"/>
      <c r="G13" s="10"/>
      <c r="H13" s="10"/>
      <c r="I13" s="10"/>
      <c r="J13" s="2" t="str">
        <f t="shared" si="0"/>
        <v>NO</v>
      </c>
      <c r="K13" s="2" t="str">
        <f t="shared" si="1"/>
        <v> </v>
      </c>
    </row>
    <row r="14" ht="21.75" customHeight="1" spans="1:11" x14ac:dyDescent="0.25">
      <c r="A14" s="8">
        <f>IF(E14="","",SUBTOTAL(103,$E$3:E14))</f>
      </c>
      <c r="B14" s="9"/>
      <c r="C14" s="9"/>
      <c r="D14" s="9"/>
      <c r="E14" s="10"/>
      <c r="F14" s="10"/>
      <c r="G14" s="10"/>
      <c r="H14" s="10"/>
      <c r="I14" s="10"/>
      <c r="J14" s="2" t="str">
        <f t="shared" si="0"/>
        <v>NO</v>
      </c>
      <c r="K14" s="2" t="str">
        <f t="shared" si="1"/>
        <v> </v>
      </c>
    </row>
    <row r="15" ht="21.75" customHeight="1" spans="1:11" x14ac:dyDescent="0.25">
      <c r="A15" s="8">
        <f>IF(E15="","",SUBTOTAL(103,$E$3:E15))</f>
      </c>
      <c r="B15" s="9"/>
      <c r="C15" s="9"/>
      <c r="D15" s="9"/>
      <c r="E15" s="10"/>
      <c r="F15" s="10"/>
      <c r="G15" s="10"/>
      <c r="H15" s="10"/>
      <c r="I15" s="10"/>
      <c r="J15" s="2" t="str">
        <f t="shared" si="0"/>
        <v>NO</v>
      </c>
      <c r="K15" s="2" t="str">
        <f t="shared" si="1"/>
        <v> </v>
      </c>
    </row>
    <row r="16" ht="21.75" customHeight="1" spans="1:11" x14ac:dyDescent="0.25">
      <c r="A16" s="8">
        <f>IF(E16="","",SUBTOTAL(103,$E$3:E16))</f>
      </c>
      <c r="B16" s="9"/>
      <c r="C16" s="9"/>
      <c r="D16" s="9"/>
      <c r="E16" s="10"/>
      <c r="F16" s="10"/>
      <c r="G16" s="10"/>
      <c r="H16" s="10"/>
      <c r="I16" s="10"/>
      <c r="J16" s="2" t="str">
        <f t="shared" si="0"/>
        <v>NO</v>
      </c>
      <c r="K16" s="2" t="str">
        <f t="shared" si="1"/>
        <v> </v>
      </c>
    </row>
    <row r="17" ht="21.75" customHeight="1" spans="1:11" x14ac:dyDescent="0.25">
      <c r="A17" s="8">
        <f>IF(E17="","",SUBTOTAL(103,$E$3:E17))</f>
      </c>
      <c r="B17" s="9"/>
      <c r="C17" s="9"/>
      <c r="D17" s="9"/>
      <c r="E17" s="10"/>
      <c r="F17" s="10"/>
      <c r="G17" s="10"/>
      <c r="H17" s="10"/>
      <c r="I17" s="10"/>
      <c r="J17" s="2" t="str">
        <f t="shared" si="0"/>
        <v>NO</v>
      </c>
      <c r="K17" s="2" t="str">
        <f t="shared" si="1"/>
        <v> </v>
      </c>
    </row>
    <row r="18" ht="21.75" customHeight="1" spans="1:11" x14ac:dyDescent="0.25">
      <c r="A18" s="8">
        <f>IF(E18="","",SUBTOTAL(103,$E$3:E18))</f>
      </c>
      <c r="B18" s="9"/>
      <c r="C18" s="9"/>
      <c r="D18" s="9"/>
      <c r="E18" s="10"/>
      <c r="F18" s="10"/>
      <c r="G18" s="10"/>
      <c r="H18" s="10"/>
      <c r="I18" s="10"/>
      <c r="J18" s="2" t="str">
        <f t="shared" si="0"/>
        <v>NO</v>
      </c>
      <c r="K18" s="2" t="str">
        <f t="shared" si="1"/>
        <v> </v>
      </c>
    </row>
    <row r="19" ht="21.75" customHeight="1" spans="1:11" x14ac:dyDescent="0.25">
      <c r="A19" s="8">
        <f>IF(E19="","",SUBTOTAL(103,$E$3:E19))</f>
      </c>
      <c r="B19" s="9"/>
      <c r="C19" s="9"/>
      <c r="D19" s="9"/>
      <c r="E19" s="10"/>
      <c r="F19" s="10"/>
      <c r="G19" s="10"/>
      <c r="H19" s="10"/>
      <c r="I19" s="10"/>
      <c r="J19" s="2" t="str">
        <f t="shared" si="0"/>
        <v>NO</v>
      </c>
      <c r="K19" s="2" t="str">
        <f t="shared" si="1"/>
        <v> </v>
      </c>
    </row>
    <row r="20" ht="21.75" customHeight="1" spans="1:11" x14ac:dyDescent="0.25">
      <c r="A20" s="8">
        <f>IF(E20="","",SUBTOTAL(103,$E$3:E20))</f>
      </c>
      <c r="B20" s="9"/>
      <c r="C20" s="9"/>
      <c r="D20" s="9"/>
      <c r="E20" s="10"/>
      <c r="F20" s="10"/>
      <c r="G20" s="10"/>
      <c r="H20" s="10"/>
      <c r="I20" s="10"/>
      <c r="J20" s="2" t="str">
        <f t="shared" si="0"/>
        <v>NO</v>
      </c>
      <c r="K20" s="2" t="str">
        <f t="shared" si="1"/>
        <v> </v>
      </c>
    </row>
    <row r="21" ht="21.75" customHeight="1" spans="1:11" x14ac:dyDescent="0.25">
      <c r="A21" s="8">
        <f>IF(E21="","",SUBTOTAL(103,$E$3:E21))</f>
      </c>
      <c r="B21" s="9"/>
      <c r="C21" s="9"/>
      <c r="D21" s="9"/>
      <c r="E21" s="10"/>
      <c r="F21" s="10"/>
      <c r="G21" s="10"/>
      <c r="H21" s="10"/>
      <c r="I21" s="10"/>
      <c r="J21" s="2" t="str">
        <f t="shared" si="0"/>
        <v>NO</v>
      </c>
      <c r="K21" s="2" t="str">
        <f t="shared" si="1"/>
        <v> </v>
      </c>
    </row>
    <row r="22" ht="21.75" customHeight="1" spans="1:11" x14ac:dyDescent="0.25">
      <c r="A22" s="8">
        <f>IF(E22="","",SUBTOTAL(103,$E$3:E22))</f>
      </c>
      <c r="B22" s="9"/>
      <c r="C22" s="9"/>
      <c r="D22" s="9"/>
      <c r="E22" s="10"/>
      <c r="F22" s="10"/>
      <c r="G22" s="10"/>
      <c r="H22" s="10"/>
      <c r="I22" s="10"/>
      <c r="J22" s="2" t="str">
        <f t="shared" si="0"/>
        <v>NO</v>
      </c>
      <c r="K22" s="2" t="str">
        <f t="shared" si="1"/>
        <v> </v>
      </c>
    </row>
    <row r="23" ht="21.75" customHeight="1" spans="1:11" x14ac:dyDescent="0.25">
      <c r="A23" s="8">
        <f>IF(E23="","",SUBTOTAL(103,$E$3:E23))</f>
      </c>
      <c r="B23" s="9"/>
      <c r="C23" s="9"/>
      <c r="D23" s="9"/>
      <c r="E23" s="10"/>
      <c r="F23" s="10"/>
      <c r="G23" s="10"/>
      <c r="H23" s="10"/>
      <c r="I23" s="10"/>
      <c r="J23" s="2" t="str">
        <f t="shared" si="0"/>
        <v>NO</v>
      </c>
      <c r="K23" s="2" t="str">
        <f t="shared" si="1"/>
        <v> </v>
      </c>
    </row>
    <row r="24" ht="21.75" customHeight="1" spans="1:11" x14ac:dyDescent="0.25">
      <c r="A24" s="8">
        <f>IF(E24="","",SUBTOTAL(103,$E$3:E24))</f>
      </c>
      <c r="B24" s="9"/>
      <c r="C24" s="9"/>
      <c r="D24" s="9"/>
      <c r="E24" s="10"/>
      <c r="F24" s="10"/>
      <c r="G24" s="10"/>
      <c r="H24" s="10"/>
      <c r="I24" s="10"/>
      <c r="J24" s="2" t="str">
        <f t="shared" si="0"/>
        <v>NO</v>
      </c>
      <c r="K24" s="2" t="str">
        <f t="shared" si="1"/>
        <v> </v>
      </c>
    </row>
    <row r="25" ht="21.75" customHeight="1" spans="1:11" x14ac:dyDescent="0.25">
      <c r="A25" s="8">
        <f>IF(E25="","",SUBTOTAL(103,$E$3:E25))</f>
      </c>
      <c r="B25" s="9"/>
      <c r="C25" s="9"/>
      <c r="D25" s="9"/>
      <c r="E25" s="10"/>
      <c r="F25" s="10"/>
      <c r="G25" s="10"/>
      <c r="H25" s="10"/>
      <c r="I25" s="10"/>
      <c r="J25" s="2" t="str">
        <f t="shared" si="0"/>
        <v>NO</v>
      </c>
      <c r="K25" s="2" t="str">
        <f t="shared" si="1"/>
        <v> </v>
      </c>
    </row>
    <row r="26" ht="21.75" customHeight="1" spans="1:11" x14ac:dyDescent="0.25">
      <c r="A26" s="8">
        <f>IF(E26="","",SUBTOTAL(103,$E$3:E26))</f>
      </c>
      <c r="B26" s="9"/>
      <c r="C26" s="9"/>
      <c r="D26" s="9"/>
      <c r="E26" s="10"/>
      <c r="F26" s="10"/>
      <c r="G26" s="10"/>
      <c r="H26" s="10"/>
      <c r="I26" s="10"/>
      <c r="J26" s="2" t="str">
        <f t="shared" si="0"/>
        <v>NO</v>
      </c>
      <c r="K26" s="2" t="str">
        <f t="shared" si="1"/>
        <v> </v>
      </c>
    </row>
    <row r="27" ht="21.75" customHeight="1" spans="1:11" x14ac:dyDescent="0.25">
      <c r="A27" s="8">
        <f>IF(E27="","",SUBTOTAL(103,$E$3:E27))</f>
      </c>
      <c r="B27" s="9"/>
      <c r="C27" s="9"/>
      <c r="D27" s="9"/>
      <c r="E27" s="10"/>
      <c r="F27" s="10"/>
      <c r="G27" s="10"/>
      <c r="H27" s="10"/>
      <c r="I27" s="10"/>
      <c r="J27" s="2" t="str">
        <f t="shared" si="0"/>
        <v>NO</v>
      </c>
      <c r="K27" s="2" t="str">
        <f t="shared" si="1"/>
        <v> </v>
      </c>
    </row>
    <row r="28" ht="21.75" customHeight="1" spans="1:11" x14ac:dyDescent="0.25">
      <c r="A28" s="8">
        <f>IF(E28="","",SUBTOTAL(103,$E$3:E28))</f>
      </c>
      <c r="B28" s="9"/>
      <c r="C28" s="9"/>
      <c r="D28" s="9"/>
      <c r="E28" s="10"/>
      <c r="F28" s="10"/>
      <c r="G28" s="10"/>
      <c r="H28" s="10"/>
      <c r="I28" s="10"/>
      <c r="J28" s="2" t="str">
        <f t="shared" si="0"/>
        <v>NO</v>
      </c>
      <c r="K28" s="2" t="str">
        <f t="shared" si="1"/>
        <v> </v>
      </c>
    </row>
    <row r="29" ht="21.75" customHeight="1" spans="1:11" x14ac:dyDescent="0.25">
      <c r="A29" s="8">
        <f>IF(E29="","",SUBTOTAL(103,$E$3:E29))</f>
      </c>
      <c r="B29" s="9"/>
      <c r="C29" s="9"/>
      <c r="D29" s="9"/>
      <c r="E29" s="10"/>
      <c r="F29" s="10"/>
      <c r="G29" s="10"/>
      <c r="H29" s="10"/>
      <c r="I29" s="10"/>
      <c r="J29" s="2" t="str">
        <f t="shared" si="0"/>
        <v>NO</v>
      </c>
      <c r="K29" s="2" t="str">
        <f t="shared" si="1"/>
        <v> </v>
      </c>
    </row>
    <row r="30" ht="21.75" customHeight="1" spans="1:11" x14ac:dyDescent="0.25">
      <c r="A30" s="8">
        <f>IF(E30="","",SUBTOTAL(103,$E$3:E30))</f>
      </c>
      <c r="B30" s="9"/>
      <c r="C30" s="9"/>
      <c r="D30" s="9"/>
      <c r="E30" s="10"/>
      <c r="F30" s="10"/>
      <c r="G30" s="10"/>
      <c r="H30" s="10"/>
      <c r="I30" s="10"/>
      <c r="J30" s="2" t="str">
        <f t="shared" si="0"/>
        <v>NO</v>
      </c>
      <c r="K30" s="2" t="str">
        <f t="shared" si="1"/>
        <v> </v>
      </c>
    </row>
    <row r="31" ht="21.75" customHeight="1" spans="1:11" x14ac:dyDescent="0.25">
      <c r="A31" s="8">
        <f>IF(E31="","",SUBTOTAL(103,$E$3:E31))</f>
      </c>
      <c r="B31" s="9"/>
      <c r="C31" s="9"/>
      <c r="D31" s="9"/>
      <c r="E31" s="10"/>
      <c r="F31" s="10"/>
      <c r="G31" s="10"/>
      <c r="H31" s="10"/>
      <c r="I31" s="10"/>
      <c r="J31" s="2" t="str">
        <f t="shared" si="0"/>
        <v>NO</v>
      </c>
      <c r="K31" s="2" t="str">
        <f t="shared" si="1"/>
        <v> </v>
      </c>
    </row>
    <row r="32" ht="21.75" customHeight="1" spans="1:11" x14ac:dyDescent="0.25">
      <c r="A32" s="8">
        <f>IF(E32="","",SUBTOTAL(103,$E$3:E32))</f>
      </c>
      <c r="B32" s="9"/>
      <c r="C32" s="9"/>
      <c r="D32" s="9"/>
      <c r="E32" s="10"/>
      <c r="F32" s="10"/>
      <c r="G32" s="10"/>
      <c r="H32" s="10"/>
      <c r="I32" s="10"/>
      <c r="J32" s="2" t="str">
        <f t="shared" si="0"/>
        <v>NO</v>
      </c>
      <c r="K32" s="2" t="str">
        <f t="shared" si="1"/>
        <v> </v>
      </c>
    </row>
    <row r="33" ht="21.75" customHeight="1" spans="1:11" x14ac:dyDescent="0.25">
      <c r="A33" s="8">
        <f>IF(E33="","",SUBTOTAL(103,$E$3:E33))</f>
      </c>
      <c r="B33" s="9"/>
      <c r="C33" s="9"/>
      <c r="D33" s="9"/>
      <c r="E33" s="10"/>
      <c r="F33" s="10"/>
      <c r="G33" s="10"/>
      <c r="H33" s="10"/>
      <c r="I33" s="10"/>
      <c r="J33" s="2" t="str">
        <f t="shared" si="0"/>
        <v>NO</v>
      </c>
      <c r="K33" s="2" t="str">
        <f t="shared" si="1"/>
        <v> </v>
      </c>
    </row>
    <row r="34" ht="21.75" customHeight="1" spans="1:11" x14ac:dyDescent="0.25">
      <c r="A34" s="8">
        <f>IF(E34="","",SUBTOTAL(103,$E$3:E34))</f>
      </c>
      <c r="B34" s="9"/>
      <c r="C34" s="9"/>
      <c r="D34" s="9"/>
      <c r="E34" s="10"/>
      <c r="F34" s="10"/>
      <c r="G34" s="10"/>
      <c r="H34" s="10"/>
      <c r="I34" s="10"/>
      <c r="J34" s="2" t="str">
        <f t="shared" si="0"/>
        <v>NO</v>
      </c>
      <c r="K34" s="2" t="str">
        <f t="shared" si="1"/>
        <v> </v>
      </c>
    </row>
    <row r="35" ht="21.75" customHeight="1" spans="1:11" x14ac:dyDescent="0.25">
      <c r="A35" s="8">
        <f>IF(E35="","",SUBTOTAL(103,$E$3:E35))</f>
      </c>
      <c r="B35" s="9"/>
      <c r="C35" s="9"/>
      <c r="D35" s="9"/>
      <c r="E35" s="10"/>
      <c r="F35" s="10"/>
      <c r="G35" s="10"/>
      <c r="H35" s="10"/>
      <c r="I35" s="10"/>
      <c r="J35" s="2" t="str">
        <f t="shared" si="0"/>
        <v>NO</v>
      </c>
      <c r="K35" s="2" t="str">
        <f t="shared" si="1"/>
        <v> </v>
      </c>
    </row>
    <row r="36" ht="21.75" customHeight="1" spans="1:11" x14ac:dyDescent="0.25">
      <c r="A36" s="8">
        <f>IF(E36="","",SUBTOTAL(103,$E$3:E36))</f>
      </c>
      <c r="B36" s="9"/>
      <c r="C36" s="9"/>
      <c r="D36" s="9"/>
      <c r="E36" s="10"/>
      <c r="F36" s="10"/>
      <c r="G36" s="10"/>
      <c r="H36" s="10"/>
      <c r="I36" s="10"/>
      <c r="J36" s="2" t="str">
        <f t="shared" si="0"/>
        <v>NO</v>
      </c>
      <c r="K36" s="2" t="str">
        <f t="shared" si="1"/>
        <v> </v>
      </c>
    </row>
    <row r="37" ht="21.75" customHeight="1" spans="1:11" x14ac:dyDescent="0.25">
      <c r="A37" s="8">
        <f>IF(E37="","",SUBTOTAL(103,$E$3:E37))</f>
      </c>
      <c r="B37" s="9"/>
      <c r="C37" s="9"/>
      <c r="D37" s="9"/>
      <c r="E37" s="10"/>
      <c r="F37" s="10"/>
      <c r="G37" s="10"/>
      <c r="H37" s="10"/>
      <c r="I37" s="10"/>
      <c r="J37" s="2" t="str">
        <f t="shared" si="0"/>
        <v>NO</v>
      </c>
      <c r="K37" s="2" t="str">
        <f t="shared" si="1"/>
        <v> </v>
      </c>
    </row>
    <row r="38" ht="21.75" customHeight="1" spans="1:11" x14ac:dyDescent="0.25">
      <c r="A38" s="8">
        <f>IF(E38="","",SUBTOTAL(103,$E$3:E38))</f>
      </c>
      <c r="B38" s="9"/>
      <c r="C38" s="9"/>
      <c r="D38" s="9"/>
      <c r="E38" s="10"/>
      <c r="F38" s="10"/>
      <c r="G38" s="10"/>
      <c r="H38" s="10"/>
      <c r="I38" s="10"/>
      <c r="J38" s="2" t="str">
        <f t="shared" si="0"/>
        <v>NO</v>
      </c>
      <c r="K38" s="2" t="str">
        <f t="shared" si="1"/>
        <v> </v>
      </c>
    </row>
    <row r="39" ht="21.75" customHeight="1" spans="1:11" x14ac:dyDescent="0.25">
      <c r="A39" s="8">
        <f>IF(E39="","",SUBTOTAL(103,$E$3:E39))</f>
      </c>
      <c r="B39" s="9"/>
      <c r="C39" s="9"/>
      <c r="D39" s="9"/>
      <c r="E39" s="10"/>
      <c r="F39" s="10"/>
      <c r="G39" s="10"/>
      <c r="H39" s="10"/>
      <c r="I39" s="10"/>
      <c r="J39" s="2" t="str">
        <f t="shared" si="0"/>
        <v>NO</v>
      </c>
      <c r="K39" s="2" t="str">
        <f t="shared" si="1"/>
        <v> </v>
      </c>
    </row>
    <row r="40" ht="21.75" customHeight="1" spans="1:11" x14ac:dyDescent="0.25">
      <c r="A40" s="8">
        <f>IF(E40="","",SUBTOTAL(103,$E$3:E40))</f>
      </c>
      <c r="B40" s="9"/>
      <c r="C40" s="9"/>
      <c r="D40" s="9"/>
      <c r="E40" s="10"/>
      <c r="F40" s="10"/>
      <c r="G40" s="10"/>
      <c r="H40" s="10"/>
      <c r="I40" s="10"/>
      <c r="J40" s="2" t="str">
        <f t="shared" si="0"/>
        <v>NO</v>
      </c>
      <c r="K40" s="2" t="str">
        <f t="shared" si="1"/>
        <v> </v>
      </c>
    </row>
    <row r="41" ht="21.75" customHeight="1" spans="1:11" x14ac:dyDescent="0.25">
      <c r="A41" s="8">
        <f>IF(E41="","",SUBTOTAL(103,$E$3:E41))</f>
      </c>
      <c r="B41" s="9"/>
      <c r="C41" s="9"/>
      <c r="D41" s="9"/>
      <c r="E41" s="10"/>
      <c r="F41" s="10"/>
      <c r="G41" s="10"/>
      <c r="H41" s="10"/>
      <c r="I41" s="10"/>
      <c r="J41" s="2" t="str">
        <f t="shared" si="0"/>
        <v>NO</v>
      </c>
      <c r="K41" s="2" t="str">
        <f t="shared" si="1"/>
        <v> </v>
      </c>
    </row>
    <row r="42" ht="21.75" customHeight="1" spans="1:11" x14ac:dyDescent="0.25">
      <c r="A42" s="8">
        <f>IF(E42="","",SUBTOTAL(103,$E$3:E42))</f>
      </c>
      <c r="B42" s="9"/>
      <c r="C42" s="9"/>
      <c r="D42" s="9"/>
      <c r="E42" s="10"/>
      <c r="F42" s="10"/>
      <c r="G42" s="10"/>
      <c r="H42" s="10"/>
      <c r="I42" s="10"/>
      <c r="J42" s="2" t="str">
        <f t="shared" si="0"/>
        <v>NO</v>
      </c>
      <c r="K42" s="2" t="str">
        <f t="shared" si="1"/>
        <v> </v>
      </c>
    </row>
    <row r="43" ht="21.75" customHeight="1" spans="1:11" x14ac:dyDescent="0.25">
      <c r="A43" s="8">
        <f>IF(E43="","",SUBTOTAL(103,$E$3:E43))</f>
      </c>
      <c r="B43" s="9"/>
      <c r="C43" s="9"/>
      <c r="D43" s="9"/>
      <c r="E43" s="10"/>
      <c r="F43" s="10"/>
      <c r="G43" s="10"/>
      <c r="H43" s="10"/>
      <c r="I43" s="10"/>
      <c r="J43" s="2" t="str">
        <f t="shared" si="0"/>
        <v>NO</v>
      </c>
      <c r="K43" s="2" t="str">
        <f t="shared" si="1"/>
        <v> </v>
      </c>
    </row>
    <row r="44" ht="21.75" customHeight="1" spans="1:11" x14ac:dyDescent="0.25">
      <c r="A44" s="8">
        <f>IF(E44="","",SUBTOTAL(103,$E$3:E44))</f>
      </c>
      <c r="B44" s="9"/>
      <c r="C44" s="9"/>
      <c r="D44" s="9"/>
      <c r="E44" s="10"/>
      <c r="F44" s="10"/>
      <c r="G44" s="10"/>
      <c r="H44" s="10"/>
      <c r="I44" s="10"/>
      <c r="J44" s="2" t="str">
        <f t="shared" si="0"/>
        <v>NO</v>
      </c>
      <c r="K44" s="2" t="str">
        <f t="shared" si="1"/>
        <v> </v>
      </c>
    </row>
    <row r="45" ht="21.75" customHeight="1" spans="1:11" x14ac:dyDescent="0.25">
      <c r="A45" s="8">
        <f>IF(E45="","",SUBTOTAL(103,$E$3:E45))</f>
      </c>
      <c r="B45" s="9"/>
      <c r="C45" s="9"/>
      <c r="D45" s="9"/>
      <c r="E45" s="10"/>
      <c r="F45" s="10"/>
      <c r="G45" s="10"/>
      <c r="H45" s="10"/>
      <c r="I45" s="10"/>
      <c r="J45" s="2" t="str">
        <f t="shared" si="0"/>
        <v>NO</v>
      </c>
      <c r="K45" s="2" t="str">
        <f t="shared" si="1"/>
        <v> </v>
      </c>
    </row>
    <row r="46" ht="21.75" customHeight="1" spans="1:11" x14ac:dyDescent="0.25">
      <c r="A46" s="8">
        <f>IF(E46="","",SUBTOTAL(103,$E$3:E46))</f>
      </c>
      <c r="B46" s="9"/>
      <c r="C46" s="9"/>
      <c r="D46" s="9"/>
      <c r="E46" s="10"/>
      <c r="F46" s="10"/>
      <c r="G46" s="10"/>
      <c r="H46" s="10"/>
      <c r="I46" s="10"/>
      <c r="J46" s="2" t="str">
        <f t="shared" si="0"/>
        <v>NO</v>
      </c>
      <c r="K46" s="2" t="str">
        <f t="shared" si="1"/>
        <v> </v>
      </c>
    </row>
    <row r="47" ht="21.75" customHeight="1" spans="1:11" x14ac:dyDescent="0.25">
      <c r="A47" s="8">
        <f>IF(E47="","",SUBTOTAL(103,$E$3:E47))</f>
      </c>
      <c r="B47" s="9"/>
      <c r="C47" s="9"/>
      <c r="D47" s="9"/>
      <c r="E47" s="10"/>
      <c r="F47" s="10"/>
      <c r="G47" s="10"/>
      <c r="H47" s="10"/>
      <c r="I47" s="10"/>
      <c r="J47" s="2" t="str">
        <f t="shared" si="0"/>
        <v>NO</v>
      </c>
      <c r="K47" s="2" t="str">
        <f t="shared" si="1"/>
        <v> </v>
      </c>
    </row>
    <row r="48" ht="21.75" customHeight="1" spans="1:11" x14ac:dyDescent="0.25">
      <c r="A48" s="8">
        <f>IF(E48="","",SUBTOTAL(103,$E$3:E48))</f>
      </c>
      <c r="B48" s="9"/>
      <c r="C48" s="9"/>
      <c r="D48" s="9"/>
      <c r="E48" s="10"/>
      <c r="F48" s="10"/>
      <c r="G48" s="10"/>
      <c r="H48" s="10"/>
      <c r="I48" s="10"/>
      <c r="J48" s="2" t="str">
        <f t="shared" si="0"/>
        <v>NO</v>
      </c>
      <c r="K48" s="2" t="str">
        <f t="shared" si="1"/>
        <v> </v>
      </c>
    </row>
    <row r="49" ht="21.75" customHeight="1" spans="1:11" x14ac:dyDescent="0.25">
      <c r="A49" s="8">
        <f>IF(E49="","",SUBTOTAL(103,$E$3:E49))</f>
      </c>
      <c r="B49" s="9"/>
      <c r="C49" s="9"/>
      <c r="D49" s="9"/>
      <c r="E49" s="10"/>
      <c r="F49" s="10"/>
      <c r="G49" s="10"/>
      <c r="H49" s="10"/>
      <c r="I49" s="10"/>
      <c r="J49" s="2" t="str">
        <f t="shared" si="0"/>
        <v>NO</v>
      </c>
      <c r="K49" s="2" t="str">
        <f t="shared" si="1"/>
        <v> </v>
      </c>
    </row>
    <row r="50" ht="21.75" customHeight="1" spans="1:11" x14ac:dyDescent="0.25">
      <c r="A50" s="8">
        <f>IF(E50="","",SUBTOTAL(103,$E$3:E50))</f>
      </c>
      <c r="B50" s="9"/>
      <c r="C50" s="9"/>
      <c r="D50" s="9"/>
      <c r="E50" s="10"/>
      <c r="F50" s="10"/>
      <c r="G50" s="10"/>
      <c r="H50" s="10"/>
      <c r="I50" s="10"/>
      <c r="J50" s="2" t="str">
        <f t="shared" si="0"/>
        <v>NO</v>
      </c>
      <c r="K50" s="2" t="str">
        <f t="shared" si="1"/>
        <v> </v>
      </c>
    </row>
    <row r="51" ht="21.75" customHeight="1" spans="1:11" x14ac:dyDescent="0.25">
      <c r="A51" s="8">
        <f>IF(E51="","",SUBTOTAL(103,$E$3:E51))</f>
      </c>
      <c r="B51" s="9"/>
      <c r="C51" s="9"/>
      <c r="D51" s="9"/>
      <c r="E51" s="10"/>
      <c r="F51" s="10"/>
      <c r="G51" s="10"/>
      <c r="H51" s="10"/>
      <c r="I51" s="10"/>
      <c r="J51" s="2" t="str">
        <f t="shared" si="0"/>
        <v>NO</v>
      </c>
      <c r="K51" s="2" t="str">
        <f t="shared" si="1"/>
        <v> </v>
      </c>
    </row>
    <row r="52" ht="21.75" customHeight="1" spans="1:11" x14ac:dyDescent="0.25">
      <c r="A52" s="8">
        <f>IF(E52="","",SUBTOTAL(103,$E$3:E52))</f>
      </c>
      <c r="B52" s="9"/>
      <c r="C52" s="9"/>
      <c r="D52" s="9"/>
      <c r="E52" s="10"/>
      <c r="F52" s="10"/>
      <c r="G52" s="10"/>
      <c r="H52" s="10"/>
      <c r="I52" s="10"/>
      <c r="J52" s="2" t="str">
        <f t="shared" si="0"/>
        <v>NO</v>
      </c>
      <c r="K52" s="2" t="str">
        <f t="shared" si="1"/>
        <v> </v>
      </c>
    </row>
    <row r="53" ht="21.75" customHeight="1" spans="1:11" x14ac:dyDescent="0.25">
      <c r="A53" s="8">
        <f>IF(E53="","",SUBTOTAL(103,$E$3:E53))</f>
      </c>
      <c r="B53" s="9"/>
      <c r="C53" s="9"/>
      <c r="D53" s="9"/>
      <c r="E53" s="10"/>
      <c r="F53" s="10"/>
      <c r="G53" s="10"/>
      <c r="H53" s="10"/>
      <c r="I53" s="10"/>
      <c r="J53" s="2" t="str">
        <f t="shared" si="0"/>
        <v>NO</v>
      </c>
      <c r="K53" s="2" t="str">
        <f t="shared" si="1"/>
        <v> </v>
      </c>
    </row>
    <row r="54" ht="21.75" customHeight="1" spans="1:11" x14ac:dyDescent="0.25">
      <c r="A54" s="8">
        <f>IF(E54="","",SUBTOTAL(103,$E$3:E54))</f>
      </c>
      <c r="B54" s="9"/>
      <c r="C54" s="9"/>
      <c r="D54" s="9"/>
      <c r="E54" s="10"/>
      <c r="F54" s="10"/>
      <c r="G54" s="10"/>
      <c r="H54" s="10"/>
      <c r="I54" s="10"/>
      <c r="J54" s="2" t="str">
        <f t="shared" si="0"/>
        <v>NO</v>
      </c>
      <c r="K54" s="2" t="str">
        <f t="shared" si="1"/>
        <v> </v>
      </c>
    </row>
    <row r="55" ht="21.75" customHeight="1" spans="1:11" x14ac:dyDescent="0.25">
      <c r="A55" s="8">
        <f>IF(E55="","",SUBTOTAL(103,$E$3:E55))</f>
      </c>
      <c r="B55" s="9"/>
      <c r="C55" s="9"/>
      <c r="D55" s="9"/>
      <c r="E55" s="10"/>
      <c r="F55" s="10"/>
      <c r="G55" s="10"/>
      <c r="H55" s="10"/>
      <c r="I55" s="10"/>
      <c r="J55" s="2" t="str">
        <f t="shared" si="0"/>
        <v>NO</v>
      </c>
      <c r="K55" s="2" t="str">
        <f t="shared" si="1"/>
        <v> </v>
      </c>
    </row>
    <row r="56" ht="21.75" customHeight="1" spans="1:11" x14ac:dyDescent="0.25">
      <c r="A56" s="8">
        <f>IF(E56="","",SUBTOTAL(103,$E$3:E56))</f>
      </c>
      <c r="B56" s="9"/>
      <c r="C56" s="9"/>
      <c r="D56" s="9"/>
      <c r="E56" s="10"/>
      <c r="F56" s="10"/>
      <c r="G56" s="10"/>
      <c r="H56" s="10"/>
      <c r="I56" s="10"/>
      <c r="J56" s="2" t="str">
        <f t="shared" si="0"/>
        <v>NO</v>
      </c>
      <c r="K56" s="2" t="str">
        <f t="shared" si="1"/>
        <v> </v>
      </c>
    </row>
    <row r="57" ht="21.75" customHeight="1" spans="1:11" x14ac:dyDescent="0.25">
      <c r="A57" s="8">
        <f>IF(E57="","",SUBTOTAL(103,$E$3:E57))</f>
      </c>
      <c r="B57" s="9"/>
      <c r="C57" s="9"/>
      <c r="D57" s="9"/>
      <c r="E57" s="10"/>
      <c r="F57" s="10"/>
      <c r="G57" s="10"/>
      <c r="H57" s="10"/>
      <c r="I57" s="10"/>
      <c r="J57" s="2" t="str">
        <f t="shared" si="0"/>
        <v>NO</v>
      </c>
      <c r="K57" s="2" t="str">
        <f t="shared" si="1"/>
        <v> </v>
      </c>
    </row>
    <row r="58" ht="21.75" customHeight="1" spans="1:11" x14ac:dyDescent="0.25">
      <c r="A58" s="8">
        <f>IF(E58="","",SUBTOTAL(103,$E$3:E58))</f>
      </c>
      <c r="B58" s="9"/>
      <c r="C58" s="9"/>
      <c r="D58" s="9"/>
      <c r="E58" s="10"/>
      <c r="F58" s="10"/>
      <c r="G58" s="10"/>
      <c r="H58" s="10"/>
      <c r="I58" s="10"/>
      <c r="J58" s="2" t="str">
        <f t="shared" si="0"/>
        <v>NO</v>
      </c>
      <c r="K58" s="2" t="str">
        <f t="shared" si="1"/>
        <v> </v>
      </c>
    </row>
    <row r="59" ht="21.75" customHeight="1" spans="1:11" x14ac:dyDescent="0.25">
      <c r="A59" s="8">
        <f>IF(E59="","",SUBTOTAL(103,$E$3:E59))</f>
      </c>
      <c r="B59" s="9"/>
      <c r="C59" s="9"/>
      <c r="D59" s="9"/>
      <c r="E59" s="10"/>
      <c r="F59" s="10"/>
      <c r="G59" s="10"/>
      <c r="H59" s="10"/>
      <c r="I59" s="10"/>
      <c r="J59" s="2" t="str">
        <f t="shared" si="0"/>
        <v>NO</v>
      </c>
      <c r="K59" s="2" t="str">
        <f t="shared" si="1"/>
        <v> </v>
      </c>
    </row>
    <row r="60" ht="21.75" customHeight="1" spans="1:11" x14ac:dyDescent="0.25">
      <c r="A60" s="8">
        <f>IF(E60="","",SUBTOTAL(103,$E$3:E60))</f>
      </c>
      <c r="B60" s="9"/>
      <c r="C60" s="9"/>
      <c r="D60" s="9"/>
      <c r="E60" s="10"/>
      <c r="F60" s="10"/>
      <c r="G60" s="10"/>
      <c r="H60" s="10"/>
      <c r="I60" s="10"/>
      <c r="J60" s="2" t="str">
        <f t="shared" si="0"/>
        <v>NO</v>
      </c>
      <c r="K60" s="2" t="str">
        <f t="shared" si="1"/>
        <v> </v>
      </c>
    </row>
    <row r="61" ht="21.75" customHeight="1" spans="1:11" x14ac:dyDescent="0.25">
      <c r="A61" s="8">
        <f>IF(E61="","",SUBTOTAL(103,$E$3:E61))</f>
      </c>
      <c r="B61" s="9"/>
      <c r="C61" s="9"/>
      <c r="D61" s="9"/>
      <c r="E61" s="10"/>
      <c r="F61" s="10"/>
      <c r="G61" s="10"/>
      <c r="H61" s="10"/>
      <c r="I61" s="10"/>
      <c r="J61" s="2" t="str">
        <f t="shared" si="0"/>
        <v>NO</v>
      </c>
      <c r="K61" s="2" t="str">
        <f t="shared" si="1"/>
        <v> </v>
      </c>
    </row>
    <row r="62" ht="21.75" customHeight="1" spans="1:11" x14ac:dyDescent="0.25">
      <c r="A62" s="8">
        <f>IF(E62="","",SUBTOTAL(103,$E$3:E62))</f>
      </c>
      <c r="B62" s="9"/>
      <c r="C62" s="9"/>
      <c r="D62" s="9"/>
      <c r="E62" s="10"/>
      <c r="F62" s="10"/>
      <c r="G62" s="10"/>
      <c r="H62" s="10"/>
      <c r="I62" s="10"/>
      <c r="J62" s="2" t="str">
        <f t="shared" si="0"/>
        <v>NO</v>
      </c>
      <c r="K62" s="2" t="str">
        <f t="shared" si="1"/>
        <v> </v>
      </c>
    </row>
    <row r="63" ht="21.75" customHeight="1" spans="1:11" x14ac:dyDescent="0.25">
      <c r="A63" s="8">
        <f>IF(E63="","",SUBTOTAL(103,$E$3:E63))</f>
      </c>
      <c r="B63" s="9"/>
      <c r="C63" s="9"/>
      <c r="D63" s="9"/>
      <c r="E63" s="10"/>
      <c r="F63" s="10"/>
      <c r="G63" s="10"/>
      <c r="H63" s="10"/>
      <c r="I63" s="10"/>
      <c r="J63" s="2" t="str">
        <f t="shared" si="0"/>
        <v>NO</v>
      </c>
      <c r="K63" s="2" t="str">
        <f t="shared" si="1"/>
        <v> </v>
      </c>
    </row>
    <row r="64" ht="21.75" customHeight="1" spans="1:11" x14ac:dyDescent="0.25">
      <c r="A64" s="8">
        <f>IF(E64="","",SUBTOTAL(103,$E$3:E64))</f>
      </c>
      <c r="B64" s="9"/>
      <c r="C64" s="9"/>
      <c r="D64" s="9"/>
      <c r="E64" s="10"/>
      <c r="F64" s="10"/>
      <c r="G64" s="10"/>
      <c r="H64" s="10"/>
      <c r="I64" s="10"/>
      <c r="J64" s="2" t="str">
        <f t="shared" si="0"/>
        <v>NO</v>
      </c>
      <c r="K64" s="2" t="str">
        <f t="shared" si="1"/>
        <v> </v>
      </c>
    </row>
    <row r="65" ht="21.75" customHeight="1" spans="1:11" x14ac:dyDescent="0.25">
      <c r="A65" s="8">
        <f>IF(E65="","",SUBTOTAL(103,$E$3:E65))</f>
      </c>
      <c r="B65" s="9"/>
      <c r="C65" s="9"/>
      <c r="D65" s="9"/>
      <c r="E65" s="10"/>
      <c r="F65" s="10"/>
      <c r="G65" s="10"/>
      <c r="H65" s="10"/>
      <c r="I65" s="10"/>
      <c r="J65" s="2" t="str">
        <f t="shared" si="0"/>
        <v>NO</v>
      </c>
      <c r="K65" s="2" t="str">
        <f t="shared" si="1"/>
        <v> </v>
      </c>
    </row>
    <row r="66" ht="21.75" customHeight="1" spans="1:11" x14ac:dyDescent="0.25">
      <c r="A66" s="8">
        <f>IF(E66="","",SUBTOTAL(103,$E$3:E66))</f>
      </c>
      <c r="B66" s="9"/>
      <c r="C66" s="9"/>
      <c r="D66" s="9"/>
      <c r="E66" s="10"/>
      <c r="F66" s="10"/>
      <c r="G66" s="10"/>
      <c r="H66" s="10"/>
      <c r="I66" s="10"/>
      <c r="J66" s="2" t="str">
        <f t="shared" si="0"/>
        <v>NO</v>
      </c>
      <c r="K66" s="2" t="str">
        <f t="shared" si="1"/>
        <v> </v>
      </c>
    </row>
    <row r="67" ht="21.75" customHeight="1" spans="1:11" x14ac:dyDescent="0.25">
      <c r="A67" s="8">
        <f>IF(E67="","",SUBTOTAL(103,$E$3:E67))</f>
      </c>
      <c r="B67" s="9"/>
      <c r="C67" s="9"/>
      <c r="D67" s="9"/>
      <c r="E67" s="10"/>
      <c r="F67" s="10"/>
      <c r="G67" s="10"/>
      <c r="H67" s="10"/>
      <c r="I67" s="10"/>
      <c r="J67" s="2" t="str">
        <f t="shared" ref="J67:J130" si="2">IF(ISERROR(SEARCH("热处理", E67))=FALSE, "XLN", IF(ISERROR(SEARCH("114", E67))=FALSE, "XLN", IF(ISERROR(SEARCH("OM", E67))=FALSE, "NO", IF(ISERROR(SEARCH("试棒毛坯", E67))=FALSE, "XLN", IF(ISERROR(SEARCH("M35", F67))=FALSE, "NO", IF(OR(LEFT(F67, 2)="DN", LEFT(F67, 3)="NPS", ISERROR(SEARCH("LADISH", E67))=FALSE), "XLN", "NO"))))))</f>
        <v>NO</v>
      </c>
      <c r="K67" s="2" t="str">
        <f t="shared" si="1"/>
        <v> </v>
      </c>
    </row>
    <row r="68" ht="21.75" customHeight="1" spans="1:11" x14ac:dyDescent="0.25">
      <c r="A68" s="8">
        <f>IF(E68="","",SUBTOTAL(103,$E$3:E68))</f>
      </c>
      <c r="B68" s="9"/>
      <c r="C68" s="9"/>
      <c r="D68" s="9"/>
      <c r="E68" s="10"/>
      <c r="F68" s="10"/>
      <c r="G68" s="10"/>
      <c r="H68" s="10"/>
      <c r="I68" s="10"/>
      <c r="J68" s="2" t="str">
        <f t="shared" si="2"/>
        <v>NO</v>
      </c>
      <c r="K68" s="2" t="str">
        <f t="shared" ref="K68:K131" si="3">IF(ISERROR(FIND("304",F68))=FALSE,304,IF(ISERROR(FIND("316",F68))=FALSE,316,IF(ISERROR(FIND("CF8M",F68))=FALSE,316,IF(ISERROR(SEARCH("wcb",F68))=FALSE,"WCB",IF(ISERROR(SEARCH("cd3mn",F68))=FALSE,"CD3MN",IF(ISERROR(SEARCH("CN7M",F68))=FALSE,"CN7M",IF(ISERROR(SEARCH("M35",F68))=FALSE,"M35",IF(ISERROR(SEARCH("CF3M",F68))=FALSE,"CF3M",IF(ISERROR(SEARCH("CD3MWCuN",F68))=FALSE, "CD3MWCuN",  IF(ISERROR(SEARCH("CW12MW",F68))=FALSE, "CW12MW", IF(ISERROR(SEARCH("CF8",F68))=FALSE, 304," ")))))))))))</f>
        <v> </v>
      </c>
    </row>
    <row r="69" ht="21.75" customHeight="1" spans="1:11" x14ac:dyDescent="0.25">
      <c r="A69" s="8">
        <f>IF(E69="","",SUBTOTAL(103,$E$3:E69))</f>
      </c>
      <c r="B69" s="9"/>
      <c r="C69" s="9"/>
      <c r="D69" s="9"/>
      <c r="E69" s="10"/>
      <c r="F69" s="10"/>
      <c r="G69" s="10"/>
      <c r="H69" s="10"/>
      <c r="I69" s="10"/>
      <c r="J69" s="2" t="str">
        <f t="shared" si="2"/>
        <v>NO</v>
      </c>
      <c r="K69" s="2" t="str">
        <f t="shared" si="3"/>
        <v> </v>
      </c>
    </row>
    <row r="70" ht="21.75" customHeight="1" spans="1:11" x14ac:dyDescent="0.25">
      <c r="A70" s="8">
        <f>IF(E70="","",SUBTOTAL(103,$E$3:E70))</f>
      </c>
      <c r="B70" s="9"/>
      <c r="C70" s="9"/>
      <c r="D70" s="9"/>
      <c r="E70" s="10"/>
      <c r="F70" s="10"/>
      <c r="G70" s="10"/>
      <c r="H70" s="10"/>
      <c r="I70" s="10"/>
      <c r="J70" s="2" t="str">
        <f t="shared" si="2"/>
        <v>NO</v>
      </c>
      <c r="K70" s="2" t="str">
        <f t="shared" si="3"/>
        <v> </v>
      </c>
    </row>
    <row r="71" ht="21.75" customHeight="1" spans="1:11" x14ac:dyDescent="0.25">
      <c r="A71" s="8">
        <f>IF(E71="","",SUBTOTAL(103,$E$3:E71))</f>
      </c>
      <c r="B71" s="9"/>
      <c r="C71" s="9"/>
      <c r="D71" s="9"/>
      <c r="E71" s="10"/>
      <c r="F71" s="10"/>
      <c r="G71" s="10"/>
      <c r="H71" s="10"/>
      <c r="I71" s="10"/>
      <c r="J71" s="2" t="str">
        <f t="shared" si="2"/>
        <v>NO</v>
      </c>
      <c r="K71" s="2" t="str">
        <f t="shared" si="3"/>
        <v> </v>
      </c>
    </row>
    <row r="72" ht="21.75" customHeight="1" spans="1:11" x14ac:dyDescent="0.25">
      <c r="A72" s="8">
        <f>IF(E72="","",SUBTOTAL(103,$E$3:E72))</f>
      </c>
      <c r="B72" s="9"/>
      <c r="C72" s="9"/>
      <c r="D72" s="9"/>
      <c r="E72" s="10"/>
      <c r="F72" s="10"/>
      <c r="G72" s="10"/>
      <c r="H72" s="10"/>
      <c r="I72" s="10"/>
      <c r="J72" s="2" t="str">
        <f t="shared" si="2"/>
        <v>NO</v>
      </c>
      <c r="K72" s="2" t="str">
        <f t="shared" si="3"/>
        <v> </v>
      </c>
    </row>
    <row r="73" ht="21.75" customHeight="1" spans="1:11" x14ac:dyDescent="0.25">
      <c r="A73" s="8">
        <f>IF(E73="","",SUBTOTAL(103,$E$3:E73))</f>
      </c>
      <c r="B73" s="9"/>
      <c r="C73" s="9"/>
      <c r="D73" s="9"/>
      <c r="E73" s="10"/>
      <c r="F73" s="10"/>
      <c r="G73" s="10"/>
      <c r="H73" s="10"/>
      <c r="I73" s="10"/>
      <c r="J73" s="2" t="str">
        <f t="shared" si="2"/>
        <v>NO</v>
      </c>
      <c r="K73" s="2" t="str">
        <f t="shared" si="3"/>
        <v> </v>
      </c>
    </row>
    <row r="74" ht="21.75" customHeight="1" spans="1:11" x14ac:dyDescent="0.25">
      <c r="A74" s="8">
        <f>IF(E74="","",SUBTOTAL(103,$E$3:E74))</f>
      </c>
      <c r="B74" s="9"/>
      <c r="C74" s="9"/>
      <c r="D74" s="9"/>
      <c r="E74" s="10"/>
      <c r="F74" s="10"/>
      <c r="G74" s="10"/>
      <c r="H74" s="10"/>
      <c r="I74" s="10"/>
      <c r="J74" s="2" t="str">
        <f t="shared" si="2"/>
        <v>NO</v>
      </c>
      <c r="K74" s="2" t="str">
        <f t="shared" si="3"/>
        <v> </v>
      </c>
    </row>
    <row r="75" ht="21.75" customHeight="1" spans="1:11" x14ac:dyDescent="0.25">
      <c r="A75" s="8">
        <f>IF(E75="","",SUBTOTAL(103,$E$3:E75))</f>
      </c>
      <c r="B75" s="9"/>
      <c r="C75" s="9"/>
      <c r="D75" s="9"/>
      <c r="E75" s="10"/>
      <c r="F75" s="10"/>
      <c r="G75" s="10"/>
      <c r="H75" s="10"/>
      <c r="I75" s="10"/>
      <c r="J75" s="2" t="str">
        <f t="shared" si="2"/>
        <v>NO</v>
      </c>
      <c r="K75" s="2" t="str">
        <f t="shared" si="3"/>
        <v> </v>
      </c>
    </row>
    <row r="76" ht="21.75" customHeight="1" spans="1:11" x14ac:dyDescent="0.25">
      <c r="A76" s="8">
        <f>IF(E76="","",SUBTOTAL(103,$E$3:E76))</f>
      </c>
      <c r="B76" s="9"/>
      <c r="C76" s="9"/>
      <c r="D76" s="9"/>
      <c r="E76" s="10"/>
      <c r="F76" s="10"/>
      <c r="G76" s="10"/>
      <c r="H76" s="10"/>
      <c r="I76" s="10"/>
      <c r="J76" s="2" t="str">
        <f t="shared" si="2"/>
        <v>NO</v>
      </c>
      <c r="K76" s="2" t="str">
        <f t="shared" si="3"/>
        <v> </v>
      </c>
    </row>
    <row r="77" ht="21.75" customHeight="1" spans="1:11" x14ac:dyDescent="0.25">
      <c r="A77" s="8">
        <f>IF(E77="","",SUBTOTAL(103,$E$3:E77))</f>
      </c>
      <c r="B77" s="9"/>
      <c r="C77" s="9"/>
      <c r="D77" s="9"/>
      <c r="E77" s="10"/>
      <c r="F77" s="10"/>
      <c r="G77" s="10"/>
      <c r="H77" s="10"/>
      <c r="I77" s="10"/>
      <c r="J77" s="2" t="str">
        <f t="shared" si="2"/>
        <v>NO</v>
      </c>
      <c r="K77" s="2" t="str">
        <f t="shared" si="3"/>
        <v> </v>
      </c>
    </row>
    <row r="78" ht="21.75" customHeight="1" spans="1:11" x14ac:dyDescent="0.25">
      <c r="A78" s="8">
        <f>IF(E78="","",SUBTOTAL(103,$E$3:E78))</f>
      </c>
      <c r="B78" s="9"/>
      <c r="C78" s="9"/>
      <c r="D78" s="9"/>
      <c r="E78" s="10"/>
      <c r="F78" s="10"/>
      <c r="G78" s="10"/>
      <c r="H78" s="10"/>
      <c r="I78" s="10"/>
      <c r="J78" s="2" t="str">
        <f t="shared" si="2"/>
        <v>NO</v>
      </c>
      <c r="K78" s="2" t="str">
        <f t="shared" si="3"/>
        <v> </v>
      </c>
    </row>
    <row r="79" ht="21.75" customHeight="1" spans="1:11" x14ac:dyDescent="0.25">
      <c r="A79" s="8">
        <f>IF(E79="","",SUBTOTAL(103,$E$3:E79))</f>
      </c>
      <c r="B79" s="9"/>
      <c r="C79" s="9"/>
      <c r="D79" s="9"/>
      <c r="E79" s="10"/>
      <c r="F79" s="10"/>
      <c r="G79" s="10"/>
      <c r="H79" s="10"/>
      <c r="I79" s="10"/>
      <c r="J79" s="2" t="str">
        <f t="shared" si="2"/>
        <v>NO</v>
      </c>
      <c r="K79" s="2" t="str">
        <f t="shared" si="3"/>
        <v> </v>
      </c>
    </row>
    <row r="80" ht="21.75" customHeight="1" spans="1:11" x14ac:dyDescent="0.25">
      <c r="A80" s="8">
        <f>IF(E80="","",SUBTOTAL(103,$E$3:E80))</f>
      </c>
      <c r="B80" s="9"/>
      <c r="C80" s="9"/>
      <c r="D80" s="9"/>
      <c r="E80" s="10"/>
      <c r="F80" s="10"/>
      <c r="G80" s="10"/>
      <c r="H80" s="10"/>
      <c r="I80" s="10"/>
      <c r="J80" s="2" t="str">
        <f t="shared" si="2"/>
        <v>NO</v>
      </c>
      <c r="K80" s="2" t="str">
        <f t="shared" si="3"/>
        <v> </v>
      </c>
    </row>
    <row r="81" ht="21.75" customHeight="1" spans="1:11" x14ac:dyDescent="0.25">
      <c r="A81" s="8">
        <f>IF(E81="","",SUBTOTAL(103,$E$3:E81))</f>
      </c>
      <c r="B81" s="9"/>
      <c r="C81" s="9"/>
      <c r="D81" s="9"/>
      <c r="E81" s="10"/>
      <c r="F81" s="10"/>
      <c r="G81" s="10"/>
      <c r="H81" s="10"/>
      <c r="I81" s="10"/>
      <c r="J81" s="2" t="str">
        <f t="shared" si="2"/>
        <v>NO</v>
      </c>
      <c r="K81" s="2" t="str">
        <f t="shared" si="3"/>
        <v> </v>
      </c>
    </row>
    <row r="82" ht="21.75" customHeight="1" spans="1:11" x14ac:dyDescent="0.25">
      <c r="A82" s="8">
        <f>IF(E82="","",SUBTOTAL(103,$E$3:E82))</f>
      </c>
      <c r="B82" s="9"/>
      <c r="C82" s="9"/>
      <c r="D82" s="9"/>
      <c r="E82" s="10"/>
      <c r="F82" s="10"/>
      <c r="G82" s="10"/>
      <c r="H82" s="10"/>
      <c r="I82" s="10"/>
      <c r="J82" s="2" t="str">
        <f t="shared" si="2"/>
        <v>NO</v>
      </c>
      <c r="K82" s="2" t="str">
        <f t="shared" si="3"/>
        <v> </v>
      </c>
    </row>
    <row r="83" ht="21.75" customHeight="1" spans="1:11" x14ac:dyDescent="0.25">
      <c r="A83" s="8">
        <f>IF(E83="","",SUBTOTAL(103,$E$3:E83))</f>
      </c>
      <c r="B83" s="9"/>
      <c r="C83" s="9"/>
      <c r="D83" s="9"/>
      <c r="E83" s="10"/>
      <c r="F83" s="10"/>
      <c r="G83" s="10"/>
      <c r="H83" s="10"/>
      <c r="I83" s="10"/>
      <c r="J83" s="2" t="str">
        <f t="shared" si="2"/>
        <v>NO</v>
      </c>
      <c r="K83" s="2" t="str">
        <f t="shared" si="3"/>
        <v> </v>
      </c>
    </row>
    <row r="84" ht="21.75" customHeight="1" spans="1:11" x14ac:dyDescent="0.25">
      <c r="A84" s="8">
        <f>IF(E84="","",SUBTOTAL(103,$E$3:E84))</f>
      </c>
      <c r="B84" s="9"/>
      <c r="C84" s="9"/>
      <c r="D84" s="9"/>
      <c r="E84" s="10"/>
      <c r="F84" s="10"/>
      <c r="G84" s="10"/>
      <c r="H84" s="10"/>
      <c r="I84" s="10"/>
      <c r="J84" s="2" t="str">
        <f t="shared" si="2"/>
        <v>NO</v>
      </c>
      <c r="K84" s="2" t="str">
        <f t="shared" si="3"/>
        <v> </v>
      </c>
    </row>
    <row r="85" ht="21.75" customHeight="1" spans="1:11" x14ac:dyDescent="0.25">
      <c r="A85" s="8">
        <f>IF(E85="","",SUBTOTAL(103,$E$3:E85))</f>
      </c>
      <c r="B85" s="9"/>
      <c r="C85" s="9"/>
      <c r="D85" s="9"/>
      <c r="E85" s="10"/>
      <c r="F85" s="10"/>
      <c r="G85" s="10"/>
      <c r="H85" s="10"/>
      <c r="I85" s="10"/>
      <c r="J85" s="2" t="str">
        <f t="shared" si="2"/>
        <v>NO</v>
      </c>
      <c r="K85" s="2" t="str">
        <f t="shared" si="3"/>
        <v> </v>
      </c>
    </row>
    <row r="86" ht="21.75" customHeight="1" spans="1:11" x14ac:dyDescent="0.25">
      <c r="A86" s="8">
        <f>IF(E86="","",SUBTOTAL(103,$E$3:E86))</f>
      </c>
      <c r="B86" s="9"/>
      <c r="C86" s="9"/>
      <c r="D86" s="9"/>
      <c r="E86" s="10"/>
      <c r="F86" s="10"/>
      <c r="G86" s="10"/>
      <c r="H86" s="10"/>
      <c r="I86" s="10"/>
      <c r="J86" s="2" t="str">
        <f t="shared" si="2"/>
        <v>NO</v>
      </c>
      <c r="K86" s="2" t="str">
        <f t="shared" si="3"/>
        <v> </v>
      </c>
    </row>
    <row r="87" ht="21.75" customHeight="1" spans="1:11" x14ac:dyDescent="0.25">
      <c r="A87" s="8">
        <f>IF(E87="","",SUBTOTAL(103,$E$3:E87))</f>
      </c>
      <c r="B87" s="9"/>
      <c r="C87" s="9"/>
      <c r="D87" s="9"/>
      <c r="E87" s="10"/>
      <c r="F87" s="10"/>
      <c r="G87" s="10"/>
      <c r="H87" s="10"/>
      <c r="I87" s="10"/>
      <c r="J87" s="2" t="str">
        <f t="shared" si="2"/>
        <v>NO</v>
      </c>
      <c r="K87" s="2" t="str">
        <f t="shared" si="3"/>
        <v> </v>
      </c>
    </row>
    <row r="88" ht="21.75" customHeight="1" spans="1:11" x14ac:dyDescent="0.25">
      <c r="A88" s="8">
        <f>IF(E88="","",SUBTOTAL(103,$E$3:E88))</f>
      </c>
      <c r="B88" s="9"/>
      <c r="C88" s="9"/>
      <c r="D88" s="9"/>
      <c r="E88" s="10"/>
      <c r="F88" s="10"/>
      <c r="G88" s="10"/>
      <c r="H88" s="10"/>
      <c r="I88" s="10"/>
      <c r="J88" s="2" t="str">
        <f t="shared" si="2"/>
        <v>NO</v>
      </c>
      <c r="K88" s="2" t="str">
        <f t="shared" si="3"/>
        <v> </v>
      </c>
    </row>
    <row r="89" ht="21.75" customHeight="1" spans="1:11" x14ac:dyDescent="0.25">
      <c r="A89" s="8">
        <f>IF(E89="","",SUBTOTAL(103,$E$3:E89))</f>
      </c>
      <c r="B89" s="9"/>
      <c r="C89" s="9"/>
      <c r="D89" s="9"/>
      <c r="E89" s="10"/>
      <c r="F89" s="10"/>
      <c r="G89" s="10"/>
      <c r="H89" s="10"/>
      <c r="I89" s="10"/>
      <c r="J89" s="2" t="str">
        <f t="shared" si="2"/>
        <v>NO</v>
      </c>
      <c r="K89" s="2" t="str">
        <f t="shared" si="3"/>
        <v> </v>
      </c>
    </row>
    <row r="90" ht="21.75" customHeight="1" spans="1:11" x14ac:dyDescent="0.25">
      <c r="A90" s="8">
        <f>IF(E90="","",SUBTOTAL(103,$E$3:E90))</f>
      </c>
      <c r="B90" s="9"/>
      <c r="C90" s="9"/>
      <c r="D90" s="9"/>
      <c r="E90" s="10"/>
      <c r="F90" s="10"/>
      <c r="G90" s="10"/>
      <c r="H90" s="10"/>
      <c r="I90" s="10"/>
      <c r="J90" s="2" t="str">
        <f t="shared" si="2"/>
        <v>NO</v>
      </c>
      <c r="K90" s="2" t="str">
        <f t="shared" si="3"/>
        <v> </v>
      </c>
    </row>
    <row r="91" ht="21.75" customHeight="1" spans="1:11" x14ac:dyDescent="0.25">
      <c r="A91" s="8">
        <f>IF(E91="","",SUBTOTAL(103,$E$3:E91))</f>
      </c>
      <c r="B91" s="9"/>
      <c r="C91" s="9"/>
      <c r="D91" s="9"/>
      <c r="E91" s="10"/>
      <c r="F91" s="10"/>
      <c r="G91" s="10"/>
      <c r="H91" s="10"/>
      <c r="I91" s="10"/>
      <c r="J91" s="2" t="str">
        <f t="shared" si="2"/>
        <v>NO</v>
      </c>
      <c r="K91" s="2" t="str">
        <f t="shared" si="3"/>
        <v> </v>
      </c>
    </row>
    <row r="92" ht="21.75" customHeight="1" spans="1:11" x14ac:dyDescent="0.25">
      <c r="A92" s="8">
        <f>IF(E92="","",SUBTOTAL(103,$E$3:E92))</f>
      </c>
      <c r="B92" s="9"/>
      <c r="C92" s="9"/>
      <c r="D92" s="9"/>
      <c r="E92" s="10"/>
      <c r="F92" s="10"/>
      <c r="G92" s="10"/>
      <c r="H92" s="10"/>
      <c r="I92" s="10"/>
      <c r="J92" s="2" t="str">
        <f t="shared" si="2"/>
        <v>NO</v>
      </c>
      <c r="K92" s="2" t="str">
        <f t="shared" si="3"/>
        <v> </v>
      </c>
    </row>
    <row r="93" ht="21.75" customHeight="1" spans="1:11" x14ac:dyDescent="0.25">
      <c r="A93" s="8">
        <f>IF(E93="","",SUBTOTAL(103,$E$3:E93))</f>
      </c>
      <c r="B93" s="9"/>
      <c r="C93" s="9"/>
      <c r="D93" s="9"/>
      <c r="E93" s="10"/>
      <c r="F93" s="10"/>
      <c r="G93" s="10"/>
      <c r="H93" s="10"/>
      <c r="I93" s="10"/>
      <c r="J93" s="2" t="str">
        <f t="shared" si="2"/>
        <v>NO</v>
      </c>
      <c r="K93" s="2" t="str">
        <f t="shared" si="3"/>
        <v> </v>
      </c>
    </row>
    <row r="94" ht="21.75" customHeight="1" spans="1:11" x14ac:dyDescent="0.25">
      <c r="A94" s="8">
        <f>IF(E94="","",SUBTOTAL(103,$E$3:E94))</f>
      </c>
      <c r="B94" s="9"/>
      <c r="C94" s="9"/>
      <c r="D94" s="9"/>
      <c r="E94" s="10"/>
      <c r="F94" s="10"/>
      <c r="G94" s="10"/>
      <c r="H94" s="10"/>
      <c r="I94" s="10"/>
      <c r="J94" s="2" t="str">
        <f t="shared" si="2"/>
        <v>NO</v>
      </c>
      <c r="K94" s="2" t="str">
        <f t="shared" si="3"/>
        <v> </v>
      </c>
    </row>
    <row r="95" ht="21.75" customHeight="1" spans="1:11" x14ac:dyDescent="0.25">
      <c r="A95" s="8">
        <f>IF(E95="","",SUBTOTAL(103,$E$3:E95))</f>
      </c>
      <c r="B95" s="9"/>
      <c r="C95" s="9"/>
      <c r="D95" s="9"/>
      <c r="E95" s="10"/>
      <c r="F95" s="10"/>
      <c r="G95" s="10"/>
      <c r="H95" s="10"/>
      <c r="I95" s="10"/>
      <c r="J95" s="2" t="str">
        <f t="shared" si="2"/>
        <v>NO</v>
      </c>
      <c r="K95" s="2" t="str">
        <f t="shared" si="3"/>
        <v> </v>
      </c>
    </row>
    <row r="96" ht="21.75" customHeight="1" spans="1:11" x14ac:dyDescent="0.25">
      <c r="A96" s="8">
        <f>IF(E96="","",SUBTOTAL(103,$E$3:E96))</f>
      </c>
      <c r="B96" s="9"/>
      <c r="C96" s="9"/>
      <c r="D96" s="9"/>
      <c r="E96" s="10"/>
      <c r="F96" s="10"/>
      <c r="G96" s="10"/>
      <c r="H96" s="10"/>
      <c r="I96" s="10"/>
      <c r="J96" s="2" t="str">
        <f t="shared" si="2"/>
        <v>NO</v>
      </c>
      <c r="K96" s="2" t="str">
        <f t="shared" si="3"/>
        <v> </v>
      </c>
    </row>
    <row r="97" ht="21.75" customHeight="1" spans="1:11" x14ac:dyDescent="0.25">
      <c r="A97" s="8">
        <f>IF(E97="","",SUBTOTAL(103,$E$3:E97))</f>
      </c>
      <c r="B97" s="9"/>
      <c r="C97" s="9"/>
      <c r="D97" s="9"/>
      <c r="E97" s="10"/>
      <c r="F97" s="10"/>
      <c r="G97" s="10"/>
      <c r="H97" s="10"/>
      <c r="I97" s="10"/>
      <c r="J97" s="2" t="str">
        <f t="shared" si="2"/>
        <v>NO</v>
      </c>
      <c r="K97" s="2" t="str">
        <f t="shared" si="3"/>
        <v> </v>
      </c>
    </row>
    <row r="98" ht="21.75" customHeight="1" spans="1:11" x14ac:dyDescent="0.25">
      <c r="A98" s="8">
        <f>IF(E98="","",SUBTOTAL(103,$E$3:E98))</f>
      </c>
      <c r="B98" s="9"/>
      <c r="C98" s="9"/>
      <c r="D98" s="9"/>
      <c r="E98" s="10"/>
      <c r="F98" s="10"/>
      <c r="G98" s="10"/>
      <c r="H98" s="10"/>
      <c r="I98" s="10"/>
      <c r="J98" s="2" t="str">
        <f t="shared" si="2"/>
        <v>NO</v>
      </c>
      <c r="K98" s="2" t="str">
        <f t="shared" si="3"/>
        <v> </v>
      </c>
    </row>
    <row r="99" ht="21.75" customHeight="1" spans="1:11" x14ac:dyDescent="0.25">
      <c r="A99" s="8">
        <f>IF(E99="","",SUBTOTAL(103,$E$3:E99))</f>
      </c>
      <c r="B99" s="9"/>
      <c r="C99" s="9"/>
      <c r="D99" s="9"/>
      <c r="E99" s="10"/>
      <c r="F99" s="10"/>
      <c r="G99" s="10"/>
      <c r="H99" s="10"/>
      <c r="I99" s="10"/>
      <c r="J99" s="2" t="str">
        <f t="shared" si="2"/>
        <v>NO</v>
      </c>
      <c r="K99" s="2" t="str">
        <f t="shared" si="3"/>
        <v> </v>
      </c>
    </row>
    <row r="100" ht="21.75" customHeight="1" spans="1:11" x14ac:dyDescent="0.25">
      <c r="A100" s="8">
        <f>IF(E100="","",SUBTOTAL(103,$E$3:E100))</f>
      </c>
      <c r="B100" s="9"/>
      <c r="C100" s="9"/>
      <c r="D100" s="9"/>
      <c r="E100" s="10"/>
      <c r="F100" s="10"/>
      <c r="G100" s="10"/>
      <c r="H100" s="10"/>
      <c r="I100" s="10"/>
      <c r="J100" s="2" t="str">
        <f t="shared" si="2"/>
        <v>NO</v>
      </c>
      <c r="K100" s="2" t="str">
        <f t="shared" si="3"/>
        <v> </v>
      </c>
    </row>
    <row r="101" ht="21.75" customHeight="1" spans="1:11" x14ac:dyDescent="0.25">
      <c r="A101" s="8">
        <f>IF(E101="","",SUBTOTAL(103,$E$3:E101))</f>
      </c>
      <c r="B101" s="9"/>
      <c r="C101" s="9"/>
      <c r="D101" s="9"/>
      <c r="E101" s="10"/>
      <c r="F101" s="10"/>
      <c r="G101" s="10"/>
      <c r="H101" s="10"/>
      <c r="I101" s="10"/>
      <c r="J101" s="2" t="str">
        <f t="shared" si="2"/>
        <v>NO</v>
      </c>
      <c r="K101" s="2" t="str">
        <f t="shared" si="3"/>
        <v> </v>
      </c>
    </row>
    <row r="102" ht="21.75" customHeight="1" spans="1:11" x14ac:dyDescent="0.25">
      <c r="A102" s="8">
        <f>IF(E102="","",SUBTOTAL(103,$E$3:E102))</f>
      </c>
      <c r="B102" s="9"/>
      <c r="C102" s="9"/>
      <c r="D102" s="9"/>
      <c r="E102" s="10"/>
      <c r="F102" s="10"/>
      <c r="G102" s="10"/>
      <c r="H102" s="10"/>
      <c r="I102" s="10"/>
      <c r="J102" s="2" t="str">
        <f t="shared" si="2"/>
        <v>NO</v>
      </c>
      <c r="K102" s="2" t="str">
        <f t="shared" si="3"/>
        <v> </v>
      </c>
    </row>
    <row r="103" ht="21.75" customHeight="1" spans="1:11" x14ac:dyDescent="0.25">
      <c r="A103" s="8">
        <f>IF(E103="","",SUBTOTAL(103,$E$3:E103))</f>
      </c>
      <c r="B103" s="9"/>
      <c r="C103" s="9"/>
      <c r="D103" s="9"/>
      <c r="E103" s="10"/>
      <c r="F103" s="10"/>
      <c r="G103" s="10"/>
      <c r="H103" s="10"/>
      <c r="I103" s="10"/>
      <c r="J103" s="2" t="str">
        <f t="shared" si="2"/>
        <v>NO</v>
      </c>
      <c r="K103" s="2" t="str">
        <f t="shared" si="3"/>
        <v> </v>
      </c>
    </row>
    <row r="104" ht="21.75" customHeight="1" spans="1:11" x14ac:dyDescent="0.25">
      <c r="A104" s="8">
        <f>IF(E104="","",SUBTOTAL(103,$E$3:E104))</f>
      </c>
      <c r="B104" s="9"/>
      <c r="C104" s="9"/>
      <c r="D104" s="9"/>
      <c r="E104" s="10"/>
      <c r="F104" s="10"/>
      <c r="G104" s="10"/>
      <c r="H104" s="10"/>
      <c r="I104" s="10"/>
      <c r="J104" s="2" t="str">
        <f t="shared" si="2"/>
        <v>NO</v>
      </c>
      <c r="K104" s="2" t="str">
        <f t="shared" si="3"/>
        <v> </v>
      </c>
    </row>
    <row r="105" ht="21.75" customHeight="1" spans="1:11" x14ac:dyDescent="0.25">
      <c r="A105" s="8">
        <f>IF(E105="","",SUBTOTAL(103,$E$3:E105))</f>
      </c>
      <c r="B105" s="9"/>
      <c r="C105" s="9"/>
      <c r="D105" s="9"/>
      <c r="E105" s="10"/>
      <c r="F105" s="10"/>
      <c r="G105" s="10"/>
      <c r="H105" s="10"/>
      <c r="I105" s="10"/>
      <c r="J105" s="2" t="str">
        <f t="shared" si="2"/>
        <v>NO</v>
      </c>
      <c r="K105" s="2" t="str">
        <f t="shared" si="3"/>
        <v> </v>
      </c>
    </row>
    <row r="106" ht="21.75" customHeight="1" spans="1:11" x14ac:dyDescent="0.25">
      <c r="A106" s="8">
        <f>IF(E106="","",SUBTOTAL(103,$E$3:E106))</f>
      </c>
      <c r="B106" s="9"/>
      <c r="C106" s="9"/>
      <c r="D106" s="9"/>
      <c r="E106" s="10"/>
      <c r="F106" s="10"/>
      <c r="G106" s="10"/>
      <c r="H106" s="10"/>
      <c r="I106" s="10"/>
      <c r="J106" s="2" t="str">
        <f t="shared" si="2"/>
        <v>NO</v>
      </c>
      <c r="K106" s="2" t="str">
        <f t="shared" si="3"/>
        <v> </v>
      </c>
    </row>
    <row r="107" ht="21.75" customHeight="1" spans="1:11" x14ac:dyDescent="0.25">
      <c r="A107" s="8">
        <f>IF(E107="","",SUBTOTAL(103,$E$3:E107))</f>
      </c>
      <c r="B107" s="9"/>
      <c r="C107" s="9"/>
      <c r="D107" s="9"/>
      <c r="E107" s="10"/>
      <c r="F107" s="10"/>
      <c r="G107" s="10"/>
      <c r="H107" s="10"/>
      <c r="I107" s="10"/>
      <c r="J107" s="2" t="str">
        <f t="shared" si="2"/>
        <v>NO</v>
      </c>
      <c r="K107" s="2" t="str">
        <f t="shared" si="3"/>
        <v> </v>
      </c>
    </row>
    <row r="108" ht="21.75" customHeight="1" spans="1:11" x14ac:dyDescent="0.25">
      <c r="A108" s="8">
        <f>IF(E108="","",SUBTOTAL(103,$E$3:E108))</f>
      </c>
      <c r="B108" s="9"/>
      <c r="C108" s="9"/>
      <c r="D108" s="9"/>
      <c r="E108" s="10"/>
      <c r="F108" s="10"/>
      <c r="G108" s="10"/>
      <c r="H108" s="10"/>
      <c r="I108" s="10"/>
      <c r="J108" s="2" t="str">
        <f t="shared" si="2"/>
        <v>NO</v>
      </c>
      <c r="K108" s="2" t="str">
        <f t="shared" si="3"/>
        <v> </v>
      </c>
    </row>
    <row r="109" ht="21.75" customHeight="1" spans="1:11" x14ac:dyDescent="0.25">
      <c r="A109" s="8">
        <f>IF(E109="","",SUBTOTAL(103,$E$3:E109))</f>
      </c>
      <c r="B109" s="9"/>
      <c r="C109" s="9"/>
      <c r="D109" s="9"/>
      <c r="E109" s="10"/>
      <c r="F109" s="10"/>
      <c r="G109" s="10"/>
      <c r="H109" s="10"/>
      <c r="I109" s="10"/>
      <c r="J109" s="2" t="str">
        <f t="shared" si="2"/>
        <v>NO</v>
      </c>
      <c r="K109" s="2" t="str">
        <f t="shared" si="3"/>
        <v> </v>
      </c>
    </row>
    <row r="110" ht="21.75" customHeight="1" spans="1:11" x14ac:dyDescent="0.25">
      <c r="A110" s="8">
        <f>IF(E110="","",SUBTOTAL(103,$E$3:E110))</f>
      </c>
      <c r="B110" s="9"/>
      <c r="C110" s="9"/>
      <c r="D110" s="9"/>
      <c r="E110" s="10"/>
      <c r="F110" s="10"/>
      <c r="G110" s="10"/>
      <c r="H110" s="10"/>
      <c r="I110" s="10"/>
      <c r="J110" s="2" t="str">
        <f t="shared" si="2"/>
        <v>NO</v>
      </c>
      <c r="K110" s="2" t="str">
        <f t="shared" si="3"/>
        <v> </v>
      </c>
    </row>
    <row r="111" ht="21.75" customHeight="1" spans="1:11" x14ac:dyDescent="0.25">
      <c r="A111" s="8">
        <f>IF(E111="","",SUBTOTAL(103,$E$3:E111))</f>
      </c>
      <c r="B111" s="9"/>
      <c r="C111" s="9"/>
      <c r="D111" s="9"/>
      <c r="E111" s="10"/>
      <c r="F111" s="10"/>
      <c r="G111" s="10"/>
      <c r="H111" s="10"/>
      <c r="I111" s="10"/>
      <c r="J111" s="2" t="str">
        <f t="shared" si="2"/>
        <v>NO</v>
      </c>
      <c r="K111" s="2" t="str">
        <f t="shared" si="3"/>
        <v> </v>
      </c>
    </row>
    <row r="112" ht="21.75" customHeight="1" spans="1:11" x14ac:dyDescent="0.25">
      <c r="A112" s="8">
        <f>IF(E112="","",SUBTOTAL(103,$E$3:E112))</f>
      </c>
      <c r="B112" s="9"/>
      <c r="C112" s="9"/>
      <c r="D112" s="9"/>
      <c r="E112" s="10"/>
      <c r="F112" s="10"/>
      <c r="G112" s="10"/>
      <c r="H112" s="10"/>
      <c r="I112" s="10"/>
      <c r="J112" s="2" t="str">
        <f t="shared" si="2"/>
        <v>NO</v>
      </c>
      <c r="K112" s="2" t="str">
        <f t="shared" si="3"/>
        <v> </v>
      </c>
    </row>
    <row r="113" ht="21.75" customHeight="1" spans="1:11" x14ac:dyDescent="0.25">
      <c r="A113" s="8">
        <f>IF(E113="","",SUBTOTAL(103,$E$3:E113))</f>
      </c>
      <c r="B113" s="9"/>
      <c r="C113" s="9"/>
      <c r="D113" s="9"/>
      <c r="E113" s="10"/>
      <c r="F113" s="10"/>
      <c r="G113" s="10"/>
      <c r="H113" s="10"/>
      <c r="I113" s="10"/>
      <c r="J113" s="2" t="str">
        <f t="shared" si="2"/>
        <v>NO</v>
      </c>
      <c r="K113" s="2" t="str">
        <f t="shared" si="3"/>
        <v> </v>
      </c>
    </row>
    <row r="114" ht="21.75" customHeight="1" spans="1:11" x14ac:dyDescent="0.25">
      <c r="A114" s="8">
        <f>IF(E114="","",SUBTOTAL(103,$E$3:E114))</f>
      </c>
      <c r="B114" s="9"/>
      <c r="C114" s="9"/>
      <c r="D114" s="9"/>
      <c r="E114" s="10"/>
      <c r="F114" s="10"/>
      <c r="G114" s="10"/>
      <c r="H114" s="10"/>
      <c r="I114" s="10"/>
      <c r="J114" s="2" t="str">
        <f t="shared" si="2"/>
        <v>NO</v>
      </c>
      <c r="K114" s="2" t="str">
        <f t="shared" si="3"/>
        <v> </v>
      </c>
    </row>
    <row r="115" ht="21.75" customHeight="1" spans="1:11" x14ac:dyDescent="0.25">
      <c r="A115" s="8">
        <f>IF(E115="","",SUBTOTAL(103,$E$3:E115))</f>
      </c>
      <c r="B115" s="9"/>
      <c r="C115" s="9"/>
      <c r="D115" s="9"/>
      <c r="E115" s="10"/>
      <c r="F115" s="10"/>
      <c r="G115" s="10"/>
      <c r="H115" s="10"/>
      <c r="I115" s="10"/>
      <c r="J115" s="2" t="str">
        <f t="shared" si="2"/>
        <v>NO</v>
      </c>
      <c r="K115" s="2" t="str">
        <f t="shared" si="3"/>
        <v> </v>
      </c>
    </row>
    <row r="116" ht="21.75" customHeight="1" spans="1:11" x14ac:dyDescent="0.25">
      <c r="A116" s="8">
        <f>IF(E116="","",SUBTOTAL(103,$E$3:E116))</f>
      </c>
      <c r="B116" s="9"/>
      <c r="C116" s="9"/>
      <c r="D116" s="9"/>
      <c r="E116" s="10"/>
      <c r="F116" s="10"/>
      <c r="G116" s="10"/>
      <c r="H116" s="10"/>
      <c r="I116" s="10"/>
      <c r="J116" s="2" t="str">
        <f t="shared" si="2"/>
        <v>NO</v>
      </c>
      <c r="K116" s="2" t="str">
        <f t="shared" si="3"/>
        <v> </v>
      </c>
    </row>
    <row r="117" ht="21.75" customHeight="1" spans="1:11" x14ac:dyDescent="0.25">
      <c r="A117" s="8">
        <f>IF(E117="","",SUBTOTAL(103,$E$3:E117))</f>
      </c>
      <c r="B117" s="9"/>
      <c r="C117" s="9"/>
      <c r="D117" s="9"/>
      <c r="E117" s="10"/>
      <c r="F117" s="10"/>
      <c r="G117" s="10"/>
      <c r="H117" s="10"/>
      <c r="I117" s="10"/>
      <c r="J117" s="2" t="str">
        <f t="shared" si="2"/>
        <v>NO</v>
      </c>
      <c r="K117" s="2" t="str">
        <f t="shared" si="3"/>
        <v> </v>
      </c>
    </row>
    <row r="118" ht="21.75" customHeight="1" spans="1:11" x14ac:dyDescent="0.25">
      <c r="A118" s="8">
        <f>IF(E118="","",SUBTOTAL(103,$E$3:E118))</f>
      </c>
      <c r="B118" s="9"/>
      <c r="C118" s="9"/>
      <c r="D118" s="9"/>
      <c r="E118" s="10"/>
      <c r="F118" s="10"/>
      <c r="G118" s="10"/>
      <c r="H118" s="10"/>
      <c r="I118" s="10"/>
      <c r="J118" s="2" t="str">
        <f t="shared" si="2"/>
        <v>NO</v>
      </c>
      <c r="K118" s="2" t="str">
        <f t="shared" si="3"/>
        <v> </v>
      </c>
    </row>
    <row r="119" ht="21.75" customHeight="1" spans="1:11" x14ac:dyDescent="0.25">
      <c r="A119" s="8">
        <f>IF(E119="","",SUBTOTAL(103,$E$3:E119))</f>
      </c>
      <c r="B119" s="9"/>
      <c r="C119" s="9"/>
      <c r="D119" s="9"/>
      <c r="E119" s="10"/>
      <c r="F119" s="10"/>
      <c r="G119" s="10"/>
      <c r="H119" s="10"/>
      <c r="I119" s="10"/>
      <c r="J119" s="2" t="str">
        <f t="shared" si="2"/>
        <v>NO</v>
      </c>
      <c r="K119" s="2" t="str">
        <f t="shared" si="3"/>
        <v> </v>
      </c>
    </row>
    <row r="120" ht="21.75" customHeight="1" spans="1:11" x14ac:dyDescent="0.25">
      <c r="A120" s="8">
        <f>IF(E120="","",SUBTOTAL(103,$E$3:E120))</f>
      </c>
      <c r="B120" s="9"/>
      <c r="C120" s="9"/>
      <c r="D120" s="9"/>
      <c r="E120" s="10"/>
      <c r="F120" s="10"/>
      <c r="G120" s="10"/>
      <c r="H120" s="10"/>
      <c r="I120" s="10"/>
      <c r="J120" s="2" t="str">
        <f t="shared" si="2"/>
        <v>NO</v>
      </c>
      <c r="K120" s="2" t="str">
        <f t="shared" si="3"/>
        <v> </v>
      </c>
    </row>
    <row r="121" ht="21.75" customHeight="1" spans="1:11" x14ac:dyDescent="0.25">
      <c r="A121" s="8">
        <f>IF(E121="","",SUBTOTAL(103,$E$3:E121))</f>
      </c>
      <c r="B121" s="9"/>
      <c r="C121" s="9"/>
      <c r="D121" s="9"/>
      <c r="E121" s="10"/>
      <c r="F121" s="10"/>
      <c r="G121" s="10"/>
      <c r="H121" s="10"/>
      <c r="I121" s="10"/>
      <c r="J121" s="2" t="str">
        <f t="shared" si="2"/>
        <v>NO</v>
      </c>
      <c r="K121" s="2" t="str">
        <f t="shared" si="3"/>
        <v> </v>
      </c>
    </row>
    <row r="122" ht="21.75" customHeight="1" spans="1:11" x14ac:dyDescent="0.25">
      <c r="A122" s="8">
        <f>IF(E122="","",SUBTOTAL(103,$E$3:E122))</f>
      </c>
      <c r="B122" s="9"/>
      <c r="C122" s="9"/>
      <c r="D122" s="9"/>
      <c r="E122" s="10"/>
      <c r="F122" s="10"/>
      <c r="G122" s="10"/>
      <c r="H122" s="10"/>
      <c r="I122" s="10"/>
      <c r="J122" s="2" t="str">
        <f t="shared" si="2"/>
        <v>NO</v>
      </c>
      <c r="K122" s="2" t="str">
        <f t="shared" si="3"/>
        <v> </v>
      </c>
    </row>
    <row r="123" ht="21.75" customHeight="1" spans="1:11" x14ac:dyDescent="0.25">
      <c r="A123" s="8">
        <f>IF(E123="","",SUBTOTAL(103,$E$3:E123))</f>
      </c>
      <c r="B123" s="9"/>
      <c r="C123" s="9"/>
      <c r="D123" s="9"/>
      <c r="E123" s="10"/>
      <c r="F123" s="10"/>
      <c r="G123" s="10"/>
      <c r="H123" s="10"/>
      <c r="I123" s="10"/>
      <c r="J123" s="2" t="str">
        <f t="shared" si="2"/>
        <v>NO</v>
      </c>
      <c r="K123" s="2" t="str">
        <f t="shared" si="3"/>
        <v> </v>
      </c>
    </row>
    <row r="124" ht="21.75" customHeight="1" spans="1:11" x14ac:dyDescent="0.25">
      <c r="A124" s="8">
        <f>IF(E124="","",SUBTOTAL(103,$E$3:E124))</f>
      </c>
      <c r="B124" s="9"/>
      <c r="C124" s="9"/>
      <c r="D124" s="9"/>
      <c r="E124" s="10"/>
      <c r="F124" s="10"/>
      <c r="G124" s="10"/>
      <c r="H124" s="10"/>
      <c r="I124" s="10"/>
      <c r="J124" s="2" t="str">
        <f t="shared" si="2"/>
        <v>NO</v>
      </c>
      <c r="K124" s="2" t="str">
        <f t="shared" si="3"/>
        <v> </v>
      </c>
    </row>
    <row r="125" ht="21.75" customHeight="1" spans="1:11" x14ac:dyDescent="0.25">
      <c r="A125" s="8">
        <f>IF(E125="","",SUBTOTAL(103,$E$3:E125))</f>
      </c>
      <c r="B125" s="9"/>
      <c r="C125" s="9"/>
      <c r="D125" s="9"/>
      <c r="E125" s="10"/>
      <c r="F125" s="10"/>
      <c r="G125" s="10"/>
      <c r="H125" s="10"/>
      <c r="I125" s="10"/>
      <c r="J125" s="2" t="str">
        <f t="shared" si="2"/>
        <v>NO</v>
      </c>
      <c r="K125" s="2" t="str">
        <f t="shared" si="3"/>
        <v> </v>
      </c>
    </row>
    <row r="126" ht="21.75" customHeight="1" spans="1:11" x14ac:dyDescent="0.25">
      <c r="A126" s="8">
        <f>IF(E126="","",SUBTOTAL(103,$E$3:E126))</f>
      </c>
      <c r="B126" s="9"/>
      <c r="C126" s="9"/>
      <c r="D126" s="9"/>
      <c r="E126" s="10"/>
      <c r="F126" s="10"/>
      <c r="G126" s="10"/>
      <c r="H126" s="10"/>
      <c r="I126" s="10"/>
      <c r="J126" s="2" t="str">
        <f t="shared" si="2"/>
        <v>NO</v>
      </c>
      <c r="K126" s="2" t="str">
        <f t="shared" si="3"/>
        <v> </v>
      </c>
    </row>
    <row r="127" ht="21.75" customHeight="1" spans="1:11" x14ac:dyDescent="0.25">
      <c r="A127" s="8">
        <f>IF(E127="","",SUBTOTAL(103,$E$3:E127))</f>
      </c>
      <c r="B127" s="9"/>
      <c r="C127" s="9"/>
      <c r="D127" s="9"/>
      <c r="E127" s="10"/>
      <c r="F127" s="10"/>
      <c r="G127" s="10"/>
      <c r="H127" s="10"/>
      <c r="I127" s="10"/>
      <c r="J127" s="2" t="str">
        <f t="shared" si="2"/>
        <v>NO</v>
      </c>
      <c r="K127" s="2" t="str">
        <f t="shared" si="3"/>
        <v> </v>
      </c>
    </row>
    <row r="128" ht="21.75" customHeight="1" spans="1:11" x14ac:dyDescent="0.25">
      <c r="A128" s="8">
        <f>IF(E128="","",SUBTOTAL(103,$E$3:E128))</f>
      </c>
      <c r="B128" s="9"/>
      <c r="C128" s="9"/>
      <c r="D128" s="9"/>
      <c r="E128" s="10"/>
      <c r="F128" s="10"/>
      <c r="G128" s="10"/>
      <c r="H128" s="10"/>
      <c r="I128" s="10"/>
      <c r="J128" s="2" t="str">
        <f t="shared" si="2"/>
        <v>NO</v>
      </c>
      <c r="K128" s="2" t="str">
        <f t="shared" si="3"/>
        <v> </v>
      </c>
    </row>
    <row r="129" ht="21.75" customHeight="1" spans="1:11" x14ac:dyDescent="0.25">
      <c r="A129" s="8">
        <f>IF(E129="","",SUBTOTAL(103,$E$3:E129))</f>
      </c>
      <c r="B129" s="9"/>
      <c r="C129" s="9"/>
      <c r="D129" s="9"/>
      <c r="E129" s="10"/>
      <c r="F129" s="10"/>
      <c r="G129" s="10"/>
      <c r="H129" s="10"/>
      <c r="I129" s="10"/>
      <c r="J129" s="2" t="str">
        <f t="shared" si="2"/>
        <v>NO</v>
      </c>
      <c r="K129" s="2" t="str">
        <f t="shared" si="3"/>
        <v> </v>
      </c>
    </row>
    <row r="130" ht="21.75" customHeight="1" spans="1:11" x14ac:dyDescent="0.25">
      <c r="A130" s="8">
        <f>IF(E130="","",SUBTOTAL(103,$E$3:E130))</f>
      </c>
      <c r="B130" s="9"/>
      <c r="C130" s="9"/>
      <c r="D130" s="9"/>
      <c r="E130" s="10"/>
      <c r="F130" s="10"/>
      <c r="G130" s="10"/>
      <c r="H130" s="10"/>
      <c r="I130" s="10"/>
      <c r="J130" s="2" t="str">
        <f t="shared" si="2"/>
        <v>NO</v>
      </c>
      <c r="K130" s="2" t="str">
        <f t="shared" si="3"/>
        <v> </v>
      </c>
    </row>
    <row r="131" ht="21.75" customHeight="1" spans="1:11" x14ac:dyDescent="0.25">
      <c r="A131" s="8">
        <f>IF(E131="","",SUBTOTAL(103,$E$3:E131))</f>
      </c>
      <c r="B131" s="9"/>
      <c r="C131" s="9"/>
      <c r="D131" s="9"/>
      <c r="E131" s="10"/>
      <c r="F131" s="10"/>
      <c r="G131" s="10"/>
      <c r="H131" s="10"/>
      <c r="I131" s="10"/>
      <c r="J131" s="2" t="str">
        <f t="shared" ref="J131:J194" si="4">IF(ISERROR(SEARCH("热处理", E131))=FALSE, "XLN", IF(ISERROR(SEARCH("114", E131))=FALSE, "XLN", IF(ISERROR(SEARCH("OM", E131))=FALSE, "NO", IF(ISERROR(SEARCH("试棒毛坯", E131))=FALSE, "XLN", IF(ISERROR(SEARCH("M35", F131))=FALSE, "NO", IF(OR(LEFT(F131, 2)="DN", LEFT(F131, 3)="NPS", ISERROR(SEARCH("LADISH", E131))=FALSE), "XLN", "NO"))))))</f>
        <v>NO</v>
      </c>
      <c r="K131" s="2" t="str">
        <f t="shared" si="3"/>
        <v> </v>
      </c>
    </row>
    <row r="132" ht="21.75" customHeight="1" spans="1:11" x14ac:dyDescent="0.25">
      <c r="A132" s="8">
        <f>IF(E132="","",SUBTOTAL(103,$E$3:E132))</f>
      </c>
      <c r="B132" s="9"/>
      <c r="C132" s="9"/>
      <c r="D132" s="9"/>
      <c r="E132" s="10"/>
      <c r="F132" s="10"/>
      <c r="G132" s="10"/>
      <c r="H132" s="10"/>
      <c r="I132" s="10"/>
      <c r="J132" s="2" t="str">
        <f t="shared" si="4"/>
        <v>NO</v>
      </c>
      <c r="K132" s="2" t="str">
        <f t="shared" ref="K132:K195" si="5">IF(ISERROR(FIND("304",F132))=FALSE,304,IF(ISERROR(FIND("316",F132))=FALSE,316,IF(ISERROR(FIND("CF8M",F132))=FALSE,316,IF(ISERROR(SEARCH("wcb",F132))=FALSE,"WCB",IF(ISERROR(SEARCH("cd3mn",F132))=FALSE,"CD3MN",IF(ISERROR(SEARCH("CN7M",F132))=FALSE,"CN7M",IF(ISERROR(SEARCH("M35",F132))=FALSE,"M35",IF(ISERROR(SEARCH("CF3M",F132))=FALSE,"CF3M",IF(ISERROR(SEARCH("CD3MWCuN",F132))=FALSE, "CD3MWCuN",  IF(ISERROR(SEARCH("CW12MW",F132))=FALSE, "CW12MW", IF(ISERROR(SEARCH("CF8",F132))=FALSE, 304," ")))))))))))</f>
        <v> </v>
      </c>
    </row>
    <row r="133" ht="21.75" customHeight="1" spans="1:11" x14ac:dyDescent="0.25">
      <c r="A133" s="8">
        <f>IF(E133="","",SUBTOTAL(103,$E$3:E133))</f>
      </c>
      <c r="B133" s="9"/>
      <c r="C133" s="9"/>
      <c r="D133" s="9"/>
      <c r="E133" s="10"/>
      <c r="F133" s="10"/>
      <c r="G133" s="10"/>
      <c r="H133" s="10"/>
      <c r="I133" s="10"/>
      <c r="J133" s="2" t="str">
        <f t="shared" si="4"/>
        <v>NO</v>
      </c>
      <c r="K133" s="2" t="str">
        <f t="shared" si="5"/>
        <v> </v>
      </c>
    </row>
    <row r="134" ht="21.75" customHeight="1" spans="1:11" x14ac:dyDescent="0.25">
      <c r="A134" s="8">
        <f>IF(E134="","",SUBTOTAL(103,$E$3:E134))</f>
      </c>
      <c r="B134" s="9"/>
      <c r="C134" s="9"/>
      <c r="D134" s="9"/>
      <c r="E134" s="10"/>
      <c r="F134" s="10"/>
      <c r="G134" s="10"/>
      <c r="H134" s="10"/>
      <c r="I134" s="10"/>
      <c r="J134" s="2" t="str">
        <f t="shared" si="4"/>
        <v>NO</v>
      </c>
      <c r="K134" s="2" t="str">
        <f t="shared" si="5"/>
        <v> </v>
      </c>
    </row>
    <row r="135" ht="21.75" customHeight="1" spans="1:11" x14ac:dyDescent="0.25">
      <c r="A135" s="8">
        <f>IF(E135="","",SUBTOTAL(103,$E$3:E135))</f>
      </c>
      <c r="B135" s="9"/>
      <c r="C135" s="9"/>
      <c r="D135" s="9"/>
      <c r="E135" s="10"/>
      <c r="F135" s="10"/>
      <c r="G135" s="10"/>
      <c r="H135" s="10"/>
      <c r="I135" s="10"/>
      <c r="J135" s="2" t="str">
        <f t="shared" si="4"/>
        <v>NO</v>
      </c>
      <c r="K135" s="2" t="str">
        <f t="shared" si="5"/>
        <v> </v>
      </c>
    </row>
    <row r="136" ht="21.75" customHeight="1" spans="1:11" x14ac:dyDescent="0.25">
      <c r="A136" s="8">
        <f>IF(E136="","",SUBTOTAL(103,$E$3:E136))</f>
      </c>
      <c r="B136" s="9"/>
      <c r="C136" s="9"/>
      <c r="D136" s="9"/>
      <c r="E136" s="10"/>
      <c r="F136" s="10"/>
      <c r="G136" s="10"/>
      <c r="H136" s="10"/>
      <c r="I136" s="10"/>
      <c r="J136" s="2" t="str">
        <f t="shared" si="4"/>
        <v>NO</v>
      </c>
      <c r="K136" s="2" t="str">
        <f t="shared" si="5"/>
        <v> </v>
      </c>
    </row>
    <row r="137" ht="21.75" customHeight="1" spans="1:11" x14ac:dyDescent="0.25">
      <c r="A137" s="8">
        <f>IF(E137="","",SUBTOTAL(103,$E$3:E137))</f>
      </c>
      <c r="B137" s="9"/>
      <c r="C137" s="9"/>
      <c r="D137" s="9"/>
      <c r="E137" s="10"/>
      <c r="F137" s="10"/>
      <c r="G137" s="10"/>
      <c r="H137" s="10"/>
      <c r="I137" s="10"/>
      <c r="J137" s="2" t="str">
        <f t="shared" si="4"/>
        <v>NO</v>
      </c>
      <c r="K137" s="2" t="str">
        <f t="shared" si="5"/>
        <v> </v>
      </c>
    </row>
    <row r="138" ht="21.75" customHeight="1" spans="1:11" x14ac:dyDescent="0.25">
      <c r="A138" s="8">
        <f>IF(E138="","",SUBTOTAL(103,$E$3:E138))</f>
      </c>
      <c r="B138" s="9"/>
      <c r="C138" s="9"/>
      <c r="D138" s="9"/>
      <c r="E138" s="10"/>
      <c r="F138" s="10"/>
      <c r="G138" s="10"/>
      <c r="H138" s="10"/>
      <c r="I138" s="10"/>
      <c r="J138" s="2" t="str">
        <f t="shared" si="4"/>
        <v>NO</v>
      </c>
      <c r="K138" s="2" t="str">
        <f t="shared" si="5"/>
        <v> </v>
      </c>
    </row>
    <row r="139" ht="21.75" customHeight="1" spans="1:11" x14ac:dyDescent="0.25">
      <c r="A139" s="8">
        <f>IF(E139="","",SUBTOTAL(103,$E$3:E139))</f>
      </c>
      <c r="B139" s="9"/>
      <c r="C139" s="9"/>
      <c r="D139" s="9"/>
      <c r="E139" s="10"/>
      <c r="F139" s="10"/>
      <c r="G139" s="10"/>
      <c r="H139" s="10"/>
      <c r="I139" s="10"/>
      <c r="J139" s="2" t="str">
        <f t="shared" si="4"/>
        <v>NO</v>
      </c>
      <c r="K139" s="2" t="str">
        <f t="shared" si="5"/>
        <v> </v>
      </c>
    </row>
    <row r="140" ht="21.75" customHeight="1" spans="1:11" x14ac:dyDescent="0.25">
      <c r="A140" s="8">
        <f>IF(E140="","",SUBTOTAL(103,$E$3:E140))</f>
      </c>
      <c r="B140" s="9"/>
      <c r="C140" s="9"/>
      <c r="D140" s="9"/>
      <c r="E140" s="10"/>
      <c r="F140" s="10"/>
      <c r="G140" s="10"/>
      <c r="H140" s="10"/>
      <c r="I140" s="10"/>
      <c r="J140" s="2" t="str">
        <f t="shared" si="4"/>
        <v>NO</v>
      </c>
      <c r="K140" s="2" t="str">
        <f t="shared" si="5"/>
        <v> </v>
      </c>
    </row>
    <row r="141" ht="21.75" customHeight="1" spans="1:11" x14ac:dyDescent="0.25">
      <c r="A141" s="8">
        <f>IF(E141="","",SUBTOTAL(103,$E$3:E141))</f>
      </c>
      <c r="B141" s="9"/>
      <c r="C141" s="9"/>
      <c r="D141" s="9"/>
      <c r="E141" s="10"/>
      <c r="F141" s="10"/>
      <c r="G141" s="10"/>
      <c r="H141" s="10"/>
      <c r="I141" s="10"/>
      <c r="J141" s="2" t="str">
        <f t="shared" si="4"/>
        <v>NO</v>
      </c>
      <c r="K141" s="2" t="str">
        <f t="shared" si="5"/>
        <v> </v>
      </c>
    </row>
    <row r="142" ht="21.75" customHeight="1" spans="1:11" x14ac:dyDescent="0.25">
      <c r="A142" s="8">
        <f>IF(E142="","",SUBTOTAL(103,$E$3:E142))</f>
      </c>
      <c r="B142" s="9"/>
      <c r="C142" s="9"/>
      <c r="D142" s="9"/>
      <c r="E142" s="10"/>
      <c r="F142" s="10"/>
      <c r="G142" s="10"/>
      <c r="H142" s="10"/>
      <c r="I142" s="10"/>
      <c r="J142" s="2" t="str">
        <f t="shared" si="4"/>
        <v>NO</v>
      </c>
      <c r="K142" s="2" t="str">
        <f t="shared" si="5"/>
        <v> </v>
      </c>
    </row>
    <row r="143" ht="21.75" customHeight="1" spans="1:11" x14ac:dyDescent="0.25">
      <c r="A143" s="8">
        <f>IF(E143="","",SUBTOTAL(103,$E$3:E143))</f>
      </c>
      <c r="B143" s="9"/>
      <c r="C143" s="9"/>
      <c r="D143" s="9"/>
      <c r="E143" s="10"/>
      <c r="F143" s="10"/>
      <c r="G143" s="10"/>
      <c r="H143" s="10"/>
      <c r="I143" s="10"/>
      <c r="J143" s="2" t="str">
        <f t="shared" si="4"/>
        <v>NO</v>
      </c>
      <c r="K143" s="2" t="str">
        <f t="shared" si="5"/>
        <v> </v>
      </c>
    </row>
    <row r="144" ht="21.75" customHeight="1" spans="1:11" x14ac:dyDescent="0.25">
      <c r="A144" s="8">
        <f>IF(E144="","",SUBTOTAL(103,$E$3:E144))</f>
      </c>
      <c r="B144" s="9"/>
      <c r="C144" s="9"/>
      <c r="D144" s="9"/>
      <c r="E144" s="10"/>
      <c r="F144" s="10"/>
      <c r="G144" s="10"/>
      <c r="H144" s="10"/>
      <c r="I144" s="10"/>
      <c r="J144" s="2" t="str">
        <f t="shared" si="4"/>
        <v>NO</v>
      </c>
      <c r="K144" s="2" t="str">
        <f t="shared" si="5"/>
        <v> </v>
      </c>
    </row>
    <row r="145" ht="21.75" customHeight="1" spans="1:11" x14ac:dyDescent="0.25">
      <c r="A145" s="8">
        <f>IF(E145="","",SUBTOTAL(103,$E$3:E145))</f>
      </c>
      <c r="B145" s="9"/>
      <c r="C145" s="9"/>
      <c r="D145" s="9"/>
      <c r="E145" s="10"/>
      <c r="F145" s="10"/>
      <c r="G145" s="10"/>
      <c r="H145" s="10"/>
      <c r="I145" s="10"/>
      <c r="J145" s="2" t="str">
        <f t="shared" si="4"/>
        <v>NO</v>
      </c>
      <c r="K145" s="2" t="str">
        <f t="shared" si="5"/>
        <v> </v>
      </c>
    </row>
    <row r="146" ht="21.75" customHeight="1" spans="1:11" x14ac:dyDescent="0.25">
      <c r="A146" s="8">
        <f>IF(E146="","",SUBTOTAL(103,$E$3:E146))</f>
      </c>
      <c r="B146" s="9"/>
      <c r="C146" s="9"/>
      <c r="D146" s="9"/>
      <c r="E146" s="10"/>
      <c r="F146" s="10"/>
      <c r="G146" s="10"/>
      <c r="H146" s="10"/>
      <c r="I146" s="10"/>
      <c r="J146" s="2" t="str">
        <f t="shared" si="4"/>
        <v>NO</v>
      </c>
      <c r="K146" s="2" t="str">
        <f t="shared" si="5"/>
        <v> </v>
      </c>
    </row>
    <row r="147" ht="21.75" customHeight="1" spans="1:11" x14ac:dyDescent="0.25">
      <c r="A147" s="8">
        <f>IF(E147="","",SUBTOTAL(103,$E$3:E147))</f>
      </c>
      <c r="B147" s="9"/>
      <c r="C147" s="9"/>
      <c r="D147" s="9"/>
      <c r="E147" s="10"/>
      <c r="F147" s="10"/>
      <c r="G147" s="10"/>
      <c r="H147" s="10"/>
      <c r="I147" s="10"/>
      <c r="J147" s="2" t="str">
        <f t="shared" si="4"/>
        <v>NO</v>
      </c>
      <c r="K147" s="2" t="str">
        <f t="shared" si="5"/>
        <v> </v>
      </c>
    </row>
    <row r="148" ht="21.75" customHeight="1" spans="1:11" x14ac:dyDescent="0.25">
      <c r="A148" s="8">
        <f>IF(E148="","",SUBTOTAL(103,$E$3:E148))</f>
      </c>
      <c r="B148" s="9"/>
      <c r="C148" s="9"/>
      <c r="D148" s="9"/>
      <c r="E148" s="10"/>
      <c r="F148" s="10"/>
      <c r="G148" s="10"/>
      <c r="H148" s="10"/>
      <c r="I148" s="10"/>
      <c r="J148" s="2" t="str">
        <f t="shared" si="4"/>
        <v>NO</v>
      </c>
      <c r="K148" s="2" t="str">
        <f t="shared" si="5"/>
        <v> </v>
      </c>
    </row>
    <row r="149" ht="21.75" customHeight="1" spans="1:11" x14ac:dyDescent="0.25">
      <c r="A149" s="8">
        <f>IF(E149="","",SUBTOTAL(103,$E$3:E149))</f>
      </c>
      <c r="B149" s="9"/>
      <c r="C149" s="9"/>
      <c r="D149" s="9"/>
      <c r="E149" s="10"/>
      <c r="F149" s="10"/>
      <c r="G149" s="10"/>
      <c r="H149" s="10"/>
      <c r="I149" s="10"/>
      <c r="J149" s="2" t="str">
        <f t="shared" si="4"/>
        <v>NO</v>
      </c>
      <c r="K149" s="2" t="str">
        <f t="shared" si="5"/>
        <v> </v>
      </c>
    </row>
    <row r="150" ht="21.75" customHeight="1" spans="1:11" x14ac:dyDescent="0.25">
      <c r="A150" s="8">
        <f>IF(E150="","",SUBTOTAL(103,$E$3:E150))</f>
      </c>
      <c r="B150" s="9"/>
      <c r="C150" s="9"/>
      <c r="D150" s="9"/>
      <c r="E150" s="10"/>
      <c r="F150" s="10"/>
      <c r="G150" s="10"/>
      <c r="H150" s="10"/>
      <c r="I150" s="10"/>
      <c r="J150" s="2" t="str">
        <f t="shared" si="4"/>
        <v>NO</v>
      </c>
      <c r="K150" s="2" t="str">
        <f t="shared" si="5"/>
        <v> </v>
      </c>
    </row>
    <row r="151" ht="21.75" customHeight="1" spans="1:11" x14ac:dyDescent="0.25">
      <c r="A151" s="8">
        <f>IF(E151="","",SUBTOTAL(103,$E$3:E151))</f>
      </c>
      <c r="B151" s="9"/>
      <c r="C151" s="9"/>
      <c r="D151" s="9"/>
      <c r="E151" s="10"/>
      <c r="F151" s="10"/>
      <c r="G151" s="10"/>
      <c r="H151" s="10"/>
      <c r="I151" s="10"/>
      <c r="J151" s="2" t="str">
        <f t="shared" si="4"/>
        <v>NO</v>
      </c>
      <c r="K151" s="2" t="str">
        <f t="shared" si="5"/>
        <v> </v>
      </c>
    </row>
    <row r="152" ht="21.75" customHeight="1" spans="1:11" x14ac:dyDescent="0.25">
      <c r="A152" s="8">
        <f>IF(E152="","",SUBTOTAL(103,$E$3:E152))</f>
      </c>
      <c r="B152" s="9"/>
      <c r="C152" s="9"/>
      <c r="D152" s="9"/>
      <c r="E152" s="10"/>
      <c r="F152" s="10"/>
      <c r="G152" s="10"/>
      <c r="H152" s="10"/>
      <c r="I152" s="10"/>
      <c r="J152" s="2" t="str">
        <f t="shared" si="4"/>
        <v>NO</v>
      </c>
      <c r="K152" s="2" t="str">
        <f t="shared" si="5"/>
        <v> </v>
      </c>
    </row>
    <row r="153" ht="21.75" customHeight="1" spans="1:11" x14ac:dyDescent="0.25">
      <c r="A153" s="8">
        <f>IF(E153="","",SUBTOTAL(103,$E$3:E153))</f>
      </c>
      <c r="B153" s="9"/>
      <c r="C153" s="9"/>
      <c r="D153" s="9"/>
      <c r="E153" s="10"/>
      <c r="F153" s="10"/>
      <c r="G153" s="10"/>
      <c r="H153" s="10"/>
      <c r="I153" s="10"/>
      <c r="J153" s="2" t="str">
        <f t="shared" si="4"/>
        <v>NO</v>
      </c>
      <c r="K153" s="2" t="str">
        <f t="shared" si="5"/>
        <v> </v>
      </c>
    </row>
    <row r="154" ht="21.75" customHeight="1" spans="1:11" x14ac:dyDescent="0.25">
      <c r="A154" s="8">
        <f>IF(E154="","",SUBTOTAL(103,$E$3:E154))</f>
      </c>
      <c r="B154" s="9"/>
      <c r="C154" s="9"/>
      <c r="D154" s="9"/>
      <c r="E154" s="10"/>
      <c r="F154" s="10"/>
      <c r="G154" s="10"/>
      <c r="H154" s="10"/>
      <c r="I154" s="10"/>
      <c r="J154" s="2" t="str">
        <f t="shared" si="4"/>
        <v>NO</v>
      </c>
      <c r="K154" s="2" t="str">
        <f t="shared" si="5"/>
        <v> </v>
      </c>
    </row>
    <row r="155" ht="21.75" customHeight="1" spans="1:11" x14ac:dyDescent="0.25">
      <c r="A155" s="8">
        <f>IF(E155="","",SUBTOTAL(103,$E$3:E155))</f>
      </c>
      <c r="B155" s="9"/>
      <c r="C155" s="9"/>
      <c r="D155" s="9"/>
      <c r="E155" s="10"/>
      <c r="F155" s="10"/>
      <c r="G155" s="10"/>
      <c r="H155" s="10"/>
      <c r="I155" s="10"/>
      <c r="J155" s="2" t="str">
        <f t="shared" si="4"/>
        <v>NO</v>
      </c>
      <c r="K155" s="2" t="str">
        <f t="shared" si="5"/>
        <v> </v>
      </c>
    </row>
    <row r="156" ht="21.75" customHeight="1" spans="1:11" x14ac:dyDescent="0.25">
      <c r="A156" s="8">
        <f>IF(E156="","",SUBTOTAL(103,$E$3:E156))</f>
      </c>
      <c r="B156" s="9"/>
      <c r="C156" s="9"/>
      <c r="D156" s="9"/>
      <c r="E156" s="10"/>
      <c r="F156" s="10"/>
      <c r="G156" s="10"/>
      <c r="H156" s="10"/>
      <c r="I156" s="10"/>
      <c r="J156" s="2" t="str">
        <f t="shared" si="4"/>
        <v>NO</v>
      </c>
      <c r="K156" s="2" t="str">
        <f t="shared" si="5"/>
        <v> </v>
      </c>
    </row>
    <row r="157" ht="21.75" customHeight="1" spans="1:11" x14ac:dyDescent="0.25">
      <c r="A157" s="8">
        <f>IF(E157="","",SUBTOTAL(103,$E$3:E157))</f>
      </c>
      <c r="B157" s="9"/>
      <c r="C157" s="9"/>
      <c r="D157" s="9"/>
      <c r="E157" s="10"/>
      <c r="F157" s="10"/>
      <c r="G157" s="10"/>
      <c r="H157" s="10"/>
      <c r="I157" s="10"/>
      <c r="J157" s="2" t="str">
        <f t="shared" si="4"/>
        <v>NO</v>
      </c>
      <c r="K157" s="2" t="str">
        <f t="shared" si="5"/>
        <v> </v>
      </c>
    </row>
    <row r="158" ht="21.75" customHeight="1" spans="1:11" x14ac:dyDescent="0.25">
      <c r="A158" s="8">
        <f>IF(E158="","",SUBTOTAL(103,$E$3:E158))</f>
      </c>
      <c r="B158" s="9"/>
      <c r="C158" s="9"/>
      <c r="D158" s="9"/>
      <c r="E158" s="10"/>
      <c r="F158" s="10"/>
      <c r="G158" s="10"/>
      <c r="H158" s="10"/>
      <c r="I158" s="10"/>
      <c r="J158" s="2" t="str">
        <f t="shared" si="4"/>
        <v>NO</v>
      </c>
      <c r="K158" s="2" t="str">
        <f t="shared" si="5"/>
        <v> </v>
      </c>
    </row>
    <row r="159" ht="21.75" customHeight="1" spans="1:11" x14ac:dyDescent="0.25">
      <c r="A159" s="8">
        <f>IF(E159="","",SUBTOTAL(103,$E$3:E159))</f>
      </c>
      <c r="B159" s="9"/>
      <c r="C159" s="9"/>
      <c r="D159" s="9"/>
      <c r="E159" s="10"/>
      <c r="F159" s="10"/>
      <c r="G159" s="10"/>
      <c r="H159" s="10"/>
      <c r="I159" s="10"/>
      <c r="J159" s="2" t="str">
        <f t="shared" si="4"/>
        <v>NO</v>
      </c>
      <c r="K159" s="2" t="str">
        <f t="shared" si="5"/>
        <v> </v>
      </c>
    </row>
    <row r="160" ht="21.75" customHeight="1" spans="1:11" x14ac:dyDescent="0.25">
      <c r="A160" s="8">
        <f>IF(E160="","",SUBTOTAL(103,$E$3:E160))</f>
      </c>
      <c r="B160" s="9"/>
      <c r="C160" s="9"/>
      <c r="D160" s="9"/>
      <c r="E160" s="10"/>
      <c r="F160" s="10"/>
      <c r="G160" s="10"/>
      <c r="H160" s="10"/>
      <c r="I160" s="10"/>
      <c r="J160" s="2" t="str">
        <f t="shared" si="4"/>
        <v>NO</v>
      </c>
      <c r="K160" s="2" t="str">
        <f t="shared" si="5"/>
        <v> </v>
      </c>
    </row>
    <row r="161" ht="21.75" customHeight="1" spans="1:11" x14ac:dyDescent="0.25">
      <c r="A161" s="8">
        <f>IF(E161="","",SUBTOTAL(103,$E$3:E161))</f>
      </c>
      <c r="B161" s="9"/>
      <c r="C161" s="9"/>
      <c r="D161" s="9"/>
      <c r="E161" s="10"/>
      <c r="F161" s="10"/>
      <c r="G161" s="10"/>
      <c r="H161" s="10"/>
      <c r="I161" s="10"/>
      <c r="J161" s="2" t="str">
        <f t="shared" si="4"/>
        <v>NO</v>
      </c>
      <c r="K161" s="2" t="str">
        <f t="shared" si="5"/>
        <v> </v>
      </c>
    </row>
    <row r="162" ht="21.75" customHeight="1" spans="1:11" x14ac:dyDescent="0.25">
      <c r="A162" s="8">
        <f>IF(E162="","",SUBTOTAL(103,$E$3:E162))</f>
      </c>
      <c r="B162" s="9"/>
      <c r="C162" s="9"/>
      <c r="D162" s="9"/>
      <c r="E162" s="10"/>
      <c r="F162" s="10"/>
      <c r="G162" s="10"/>
      <c r="H162" s="10"/>
      <c r="I162" s="10"/>
      <c r="J162" s="2" t="str">
        <f t="shared" si="4"/>
        <v>NO</v>
      </c>
      <c r="K162" s="2" t="str">
        <f t="shared" si="5"/>
        <v> </v>
      </c>
    </row>
    <row r="163" ht="21.75" customHeight="1" spans="1:11" x14ac:dyDescent="0.25">
      <c r="A163" s="8">
        <f>IF(E163="","",SUBTOTAL(103,$E$3:E163))</f>
      </c>
      <c r="B163" s="9"/>
      <c r="C163" s="9"/>
      <c r="D163" s="9"/>
      <c r="E163" s="10"/>
      <c r="F163" s="10"/>
      <c r="G163" s="10"/>
      <c r="H163" s="10"/>
      <c r="I163" s="10"/>
      <c r="J163" s="2" t="str">
        <f t="shared" si="4"/>
        <v>NO</v>
      </c>
      <c r="K163" s="2" t="str">
        <f t="shared" si="5"/>
        <v> </v>
      </c>
    </row>
    <row r="164" ht="21.75" customHeight="1" spans="1:11" x14ac:dyDescent="0.25">
      <c r="A164" s="8">
        <f>IF(E164="","",SUBTOTAL(103,$E$3:E164))</f>
      </c>
      <c r="B164" s="9"/>
      <c r="C164" s="9"/>
      <c r="D164" s="9"/>
      <c r="E164" s="10"/>
      <c r="F164" s="10"/>
      <c r="G164" s="10"/>
      <c r="H164" s="10"/>
      <c r="I164" s="10"/>
      <c r="J164" s="2" t="str">
        <f t="shared" si="4"/>
        <v>NO</v>
      </c>
      <c r="K164" s="2" t="str">
        <f t="shared" si="5"/>
        <v> </v>
      </c>
    </row>
    <row r="165" ht="21.75" customHeight="1" spans="1:11" x14ac:dyDescent="0.25">
      <c r="A165" s="8">
        <f>IF(E165="","",SUBTOTAL(103,$E$3:E165))</f>
      </c>
      <c r="B165" s="9"/>
      <c r="C165" s="9"/>
      <c r="D165" s="9"/>
      <c r="E165" s="10"/>
      <c r="F165" s="10"/>
      <c r="G165" s="10"/>
      <c r="H165" s="10"/>
      <c r="I165" s="10"/>
      <c r="J165" s="2" t="str">
        <f t="shared" si="4"/>
        <v>NO</v>
      </c>
      <c r="K165" s="2" t="str">
        <f t="shared" si="5"/>
        <v> </v>
      </c>
    </row>
    <row r="166" ht="21.75" customHeight="1" spans="1:11" x14ac:dyDescent="0.25">
      <c r="A166" s="8">
        <f>IF(E166="","",SUBTOTAL(103,$E$3:E166))</f>
      </c>
      <c r="B166" s="9"/>
      <c r="C166" s="9"/>
      <c r="D166" s="9"/>
      <c r="E166" s="10"/>
      <c r="F166" s="10"/>
      <c r="G166" s="10"/>
      <c r="H166" s="10"/>
      <c r="I166" s="10"/>
      <c r="J166" s="2" t="str">
        <f t="shared" si="4"/>
        <v>NO</v>
      </c>
      <c r="K166" s="2" t="str">
        <f t="shared" si="5"/>
        <v> </v>
      </c>
    </row>
    <row r="167" ht="21.75" customHeight="1" spans="1:11" x14ac:dyDescent="0.25">
      <c r="A167" s="8">
        <f>IF(E167="","",SUBTOTAL(103,$E$3:E167))</f>
      </c>
      <c r="B167" s="9"/>
      <c r="C167" s="9"/>
      <c r="D167" s="9"/>
      <c r="E167" s="10"/>
      <c r="F167" s="10"/>
      <c r="G167" s="10"/>
      <c r="H167" s="10"/>
      <c r="I167" s="10"/>
      <c r="J167" s="2" t="str">
        <f t="shared" si="4"/>
        <v>NO</v>
      </c>
      <c r="K167" s="2" t="str">
        <f t="shared" si="5"/>
        <v> </v>
      </c>
    </row>
    <row r="168" ht="21.75" customHeight="1" spans="1:11" x14ac:dyDescent="0.25">
      <c r="A168" s="8">
        <f>IF(E168="","",SUBTOTAL(103,$E$3:E168))</f>
      </c>
      <c r="B168" s="9"/>
      <c r="C168" s="9"/>
      <c r="D168" s="9"/>
      <c r="E168" s="10"/>
      <c r="F168" s="10"/>
      <c r="G168" s="10"/>
      <c r="H168" s="10"/>
      <c r="I168" s="10"/>
      <c r="J168" s="2" t="str">
        <f t="shared" si="4"/>
        <v>NO</v>
      </c>
      <c r="K168" s="2" t="str">
        <f t="shared" si="5"/>
        <v> </v>
      </c>
    </row>
    <row r="169" ht="21.75" customHeight="1" spans="1:11" x14ac:dyDescent="0.25">
      <c r="A169" s="8">
        <f>IF(E169="","",SUBTOTAL(103,$E$3:E169))</f>
      </c>
      <c r="B169" s="9"/>
      <c r="C169" s="9"/>
      <c r="D169" s="9"/>
      <c r="E169" s="10"/>
      <c r="F169" s="10"/>
      <c r="G169" s="10"/>
      <c r="H169" s="10"/>
      <c r="I169" s="10"/>
      <c r="J169" s="2" t="str">
        <f t="shared" si="4"/>
        <v>NO</v>
      </c>
      <c r="K169" s="2" t="str">
        <f t="shared" si="5"/>
        <v> </v>
      </c>
    </row>
    <row r="170" ht="21.75" customHeight="1" spans="1:11" x14ac:dyDescent="0.25">
      <c r="A170" s="8">
        <f>IF(E170="","",SUBTOTAL(103,$E$3:E170))</f>
      </c>
      <c r="B170" s="9"/>
      <c r="C170" s="9"/>
      <c r="D170" s="9"/>
      <c r="E170" s="10"/>
      <c r="F170" s="10"/>
      <c r="G170" s="10"/>
      <c r="H170" s="10"/>
      <c r="I170" s="10"/>
      <c r="J170" s="2" t="str">
        <f t="shared" si="4"/>
        <v>NO</v>
      </c>
      <c r="K170" s="2" t="str">
        <f t="shared" si="5"/>
        <v> </v>
      </c>
    </row>
    <row r="171" ht="21.75" customHeight="1" spans="1:11" x14ac:dyDescent="0.25">
      <c r="A171" s="8">
        <f>IF(E171="","",SUBTOTAL(103,$E$3:E171))</f>
      </c>
      <c r="B171" s="9"/>
      <c r="C171" s="9"/>
      <c r="D171" s="9"/>
      <c r="E171" s="10"/>
      <c r="F171" s="10"/>
      <c r="G171" s="10"/>
      <c r="H171" s="10"/>
      <c r="I171" s="10"/>
      <c r="J171" s="2" t="str">
        <f t="shared" si="4"/>
        <v>NO</v>
      </c>
      <c r="K171" s="2" t="str">
        <f t="shared" si="5"/>
        <v> </v>
      </c>
    </row>
    <row r="172" ht="21.75" customHeight="1" spans="1:11" x14ac:dyDescent="0.25">
      <c r="A172" s="8">
        <f>IF(E172="","",SUBTOTAL(103,$E$3:E172))</f>
      </c>
      <c r="B172" s="9"/>
      <c r="C172" s="9"/>
      <c r="D172" s="9"/>
      <c r="E172" s="10"/>
      <c r="F172" s="10"/>
      <c r="G172" s="10"/>
      <c r="H172" s="10"/>
      <c r="I172" s="10"/>
      <c r="J172" s="2" t="str">
        <f t="shared" si="4"/>
        <v>NO</v>
      </c>
      <c r="K172" s="2" t="str">
        <f t="shared" si="5"/>
        <v> </v>
      </c>
    </row>
    <row r="173" ht="21.75" customHeight="1" spans="1:11" x14ac:dyDescent="0.25">
      <c r="A173" s="8">
        <f>IF(E173="","",SUBTOTAL(103,$E$3:E173))</f>
      </c>
      <c r="B173" s="9"/>
      <c r="C173" s="9"/>
      <c r="D173" s="9"/>
      <c r="E173" s="10"/>
      <c r="F173" s="10"/>
      <c r="G173" s="10"/>
      <c r="H173" s="10"/>
      <c r="I173" s="10"/>
      <c r="J173" s="2" t="str">
        <f t="shared" si="4"/>
        <v>NO</v>
      </c>
      <c r="K173" s="2" t="str">
        <f t="shared" si="5"/>
        <v> </v>
      </c>
    </row>
    <row r="174" ht="21.75" customHeight="1" spans="1:11" x14ac:dyDescent="0.25">
      <c r="A174" s="8">
        <f>IF(E174="","",SUBTOTAL(103,$E$3:E174))</f>
      </c>
      <c r="B174" s="9"/>
      <c r="C174" s="9"/>
      <c r="D174" s="9"/>
      <c r="E174" s="10"/>
      <c r="F174" s="10"/>
      <c r="G174" s="10"/>
      <c r="H174" s="10"/>
      <c r="I174" s="10"/>
      <c r="J174" s="2" t="str">
        <f t="shared" si="4"/>
        <v>NO</v>
      </c>
      <c r="K174" s="2" t="str">
        <f t="shared" si="5"/>
        <v> </v>
      </c>
    </row>
    <row r="175" ht="21.75" customHeight="1" spans="1:11" x14ac:dyDescent="0.25">
      <c r="A175" s="8">
        <f>IF(E175="","",SUBTOTAL(103,$E$3:E175))</f>
      </c>
      <c r="B175" s="9"/>
      <c r="C175" s="9"/>
      <c r="D175" s="9"/>
      <c r="E175" s="10"/>
      <c r="F175" s="10"/>
      <c r="G175" s="10"/>
      <c r="H175" s="10"/>
      <c r="I175" s="10"/>
      <c r="J175" s="2" t="str">
        <f t="shared" si="4"/>
        <v>NO</v>
      </c>
      <c r="K175" s="2" t="str">
        <f t="shared" si="5"/>
        <v> </v>
      </c>
    </row>
    <row r="176" ht="21.75" customHeight="1" spans="1:11" x14ac:dyDescent="0.25">
      <c r="A176" s="8">
        <f>IF(E176="","",SUBTOTAL(103,$E$3:E176))</f>
      </c>
      <c r="B176" s="9"/>
      <c r="C176" s="9"/>
      <c r="D176" s="9"/>
      <c r="E176" s="10"/>
      <c r="F176" s="10"/>
      <c r="G176" s="10"/>
      <c r="H176" s="10"/>
      <c r="I176" s="10"/>
      <c r="J176" s="2" t="str">
        <f t="shared" si="4"/>
        <v>NO</v>
      </c>
      <c r="K176" s="2" t="str">
        <f t="shared" si="5"/>
        <v> </v>
      </c>
    </row>
    <row r="177" ht="21.75" customHeight="1" spans="1:11" x14ac:dyDescent="0.25">
      <c r="A177" s="8">
        <f>IF(E177="","",SUBTOTAL(103,$E$3:E177))</f>
      </c>
      <c r="B177" s="9"/>
      <c r="C177" s="9"/>
      <c r="D177" s="9"/>
      <c r="E177" s="10"/>
      <c r="F177" s="10"/>
      <c r="G177" s="10"/>
      <c r="H177" s="10"/>
      <c r="I177" s="10"/>
      <c r="J177" s="2" t="str">
        <f t="shared" si="4"/>
        <v>NO</v>
      </c>
      <c r="K177" s="2" t="str">
        <f t="shared" si="5"/>
        <v> </v>
      </c>
    </row>
    <row r="178" ht="21.75" customHeight="1" spans="1:11" x14ac:dyDescent="0.25">
      <c r="A178" s="8">
        <f>IF(E178="","",SUBTOTAL(103,$E$3:E178))</f>
      </c>
      <c r="B178" s="9"/>
      <c r="C178" s="9"/>
      <c r="D178" s="9"/>
      <c r="E178" s="10"/>
      <c r="F178" s="10"/>
      <c r="G178" s="10"/>
      <c r="H178" s="10"/>
      <c r="I178" s="10"/>
      <c r="J178" s="2" t="str">
        <f t="shared" si="4"/>
        <v>NO</v>
      </c>
      <c r="K178" s="2" t="str">
        <f t="shared" si="5"/>
        <v> </v>
      </c>
    </row>
    <row r="179" ht="21.75" customHeight="1" spans="1:11" x14ac:dyDescent="0.25">
      <c r="A179" s="8">
        <f>IF(E179="","",SUBTOTAL(103,$E$3:E179))</f>
      </c>
      <c r="B179" s="9"/>
      <c r="C179" s="9"/>
      <c r="D179" s="9"/>
      <c r="E179" s="10"/>
      <c r="F179" s="10"/>
      <c r="G179" s="10"/>
      <c r="H179" s="10"/>
      <c r="I179" s="10"/>
      <c r="J179" s="2" t="str">
        <f t="shared" si="4"/>
        <v>NO</v>
      </c>
      <c r="K179" s="2" t="str">
        <f t="shared" si="5"/>
        <v> </v>
      </c>
    </row>
    <row r="180" ht="21.75" customHeight="1" spans="1:11" x14ac:dyDescent="0.25">
      <c r="A180" s="8">
        <f>IF(E180="","",SUBTOTAL(103,$E$3:E180))</f>
      </c>
      <c r="B180" s="9"/>
      <c r="C180" s="9"/>
      <c r="D180" s="9"/>
      <c r="E180" s="10"/>
      <c r="F180" s="10"/>
      <c r="G180" s="10"/>
      <c r="H180" s="10"/>
      <c r="I180" s="10"/>
      <c r="J180" s="2" t="str">
        <f t="shared" si="4"/>
        <v>NO</v>
      </c>
      <c r="K180" s="2" t="str">
        <f t="shared" si="5"/>
        <v> </v>
      </c>
    </row>
    <row r="181" ht="21.75" customHeight="1" spans="1:11" x14ac:dyDescent="0.25">
      <c r="A181" s="8">
        <f>IF(E181="","",SUBTOTAL(103,$E$3:E181))</f>
      </c>
      <c r="B181" s="9"/>
      <c r="C181" s="9"/>
      <c r="D181" s="9"/>
      <c r="E181" s="10"/>
      <c r="F181" s="10"/>
      <c r="G181" s="10"/>
      <c r="H181" s="10"/>
      <c r="I181" s="10"/>
      <c r="J181" s="2" t="str">
        <f t="shared" si="4"/>
        <v>NO</v>
      </c>
      <c r="K181" s="2" t="str">
        <f t="shared" si="5"/>
        <v> </v>
      </c>
    </row>
    <row r="182" ht="21.75" customHeight="1" spans="1:11" x14ac:dyDescent="0.25">
      <c r="A182" s="8">
        <f>IF(E182="","",SUBTOTAL(103,$E$3:E182))</f>
      </c>
      <c r="B182" s="9"/>
      <c r="C182" s="9"/>
      <c r="D182" s="9"/>
      <c r="E182" s="10"/>
      <c r="F182" s="10"/>
      <c r="G182" s="10"/>
      <c r="H182" s="10"/>
      <c r="I182" s="10"/>
      <c r="J182" s="2" t="str">
        <f t="shared" si="4"/>
        <v>NO</v>
      </c>
      <c r="K182" s="2" t="str">
        <f t="shared" si="5"/>
        <v> </v>
      </c>
    </row>
    <row r="183" ht="21.75" customHeight="1" spans="1:11" x14ac:dyDescent="0.25">
      <c r="A183" s="8">
        <f>IF(E183="","",SUBTOTAL(103,$E$3:E183))</f>
      </c>
      <c r="B183" s="9"/>
      <c r="C183" s="9"/>
      <c r="D183" s="9"/>
      <c r="E183" s="10"/>
      <c r="F183" s="10"/>
      <c r="G183" s="10"/>
      <c r="H183" s="10"/>
      <c r="I183" s="10"/>
      <c r="J183" s="2" t="str">
        <f t="shared" si="4"/>
        <v>NO</v>
      </c>
      <c r="K183" s="2" t="str">
        <f t="shared" si="5"/>
        <v> </v>
      </c>
    </row>
    <row r="184" ht="21.75" customHeight="1" spans="1:11" x14ac:dyDescent="0.25">
      <c r="A184" s="8">
        <f>IF(E184="","",SUBTOTAL(103,$E$3:E184))</f>
      </c>
      <c r="B184" s="9"/>
      <c r="C184" s="9"/>
      <c r="D184" s="9"/>
      <c r="E184" s="10"/>
      <c r="F184" s="10"/>
      <c r="G184" s="10"/>
      <c r="H184" s="10"/>
      <c r="I184" s="10"/>
      <c r="J184" s="2" t="str">
        <f t="shared" si="4"/>
        <v>NO</v>
      </c>
      <c r="K184" s="2" t="str">
        <f t="shared" si="5"/>
        <v> </v>
      </c>
    </row>
    <row r="185" ht="21.75" customHeight="1" spans="1:11" x14ac:dyDescent="0.25">
      <c r="A185" s="8">
        <f>IF(E185="","",SUBTOTAL(103,$E$3:E185))</f>
      </c>
      <c r="B185" s="9"/>
      <c r="C185" s="9"/>
      <c r="D185" s="9"/>
      <c r="E185" s="10"/>
      <c r="F185" s="10"/>
      <c r="G185" s="10"/>
      <c r="H185" s="10"/>
      <c r="I185" s="10"/>
      <c r="J185" s="2" t="str">
        <f t="shared" si="4"/>
        <v>NO</v>
      </c>
      <c r="K185" s="2" t="str">
        <f t="shared" si="5"/>
        <v> </v>
      </c>
    </row>
    <row r="186" ht="21.75" customHeight="1" spans="1:11" x14ac:dyDescent="0.25">
      <c r="A186" s="8">
        <f>IF(E186="","",SUBTOTAL(103,$E$3:E186))</f>
      </c>
      <c r="B186" s="9"/>
      <c r="C186" s="9"/>
      <c r="D186" s="9"/>
      <c r="E186" s="10"/>
      <c r="F186" s="10"/>
      <c r="G186" s="10"/>
      <c r="H186" s="10"/>
      <c r="I186" s="10"/>
      <c r="J186" s="2" t="str">
        <f t="shared" si="4"/>
        <v>NO</v>
      </c>
      <c r="K186" s="2" t="str">
        <f t="shared" si="5"/>
        <v> </v>
      </c>
    </row>
    <row r="187" ht="21.75" customHeight="1" spans="1:11" x14ac:dyDescent="0.25">
      <c r="A187" s="8">
        <f>IF(E187="","",SUBTOTAL(103,$E$3:E187))</f>
      </c>
      <c r="B187" s="9"/>
      <c r="C187" s="9"/>
      <c r="D187" s="9"/>
      <c r="E187" s="10"/>
      <c r="F187" s="10"/>
      <c r="G187" s="10"/>
      <c r="H187" s="10"/>
      <c r="I187" s="10"/>
      <c r="J187" s="2" t="str">
        <f t="shared" si="4"/>
        <v>NO</v>
      </c>
      <c r="K187" s="2" t="str">
        <f t="shared" si="5"/>
        <v> </v>
      </c>
    </row>
    <row r="188" ht="21.75" customHeight="1" spans="1:11" x14ac:dyDescent="0.25">
      <c r="A188" s="8">
        <f>IF(E188="","",SUBTOTAL(103,$E$3:E188))</f>
      </c>
      <c r="B188" s="9"/>
      <c r="C188" s="9"/>
      <c r="D188" s="9"/>
      <c r="E188" s="10"/>
      <c r="F188" s="10"/>
      <c r="G188" s="10"/>
      <c r="H188" s="10"/>
      <c r="I188" s="10"/>
      <c r="J188" s="2" t="str">
        <f t="shared" si="4"/>
        <v>NO</v>
      </c>
      <c r="K188" s="2" t="str">
        <f t="shared" si="5"/>
        <v> </v>
      </c>
    </row>
    <row r="189" ht="21.75" customHeight="1" spans="1:11" x14ac:dyDescent="0.25">
      <c r="A189" s="8">
        <f>IF(E189="","",SUBTOTAL(103,$E$3:E189))</f>
      </c>
      <c r="B189" s="9"/>
      <c r="C189" s="9"/>
      <c r="D189" s="9"/>
      <c r="E189" s="10"/>
      <c r="F189" s="10"/>
      <c r="G189" s="10"/>
      <c r="H189" s="10"/>
      <c r="I189" s="10"/>
      <c r="J189" s="2" t="str">
        <f t="shared" si="4"/>
        <v>NO</v>
      </c>
      <c r="K189" s="2" t="str">
        <f t="shared" si="5"/>
        <v> </v>
      </c>
    </row>
    <row r="190" ht="21.75" customHeight="1" spans="1:11" x14ac:dyDescent="0.25">
      <c r="A190" s="8">
        <f>IF(E190="","",SUBTOTAL(103,$E$3:E190))</f>
      </c>
      <c r="B190" s="9"/>
      <c r="C190" s="9"/>
      <c r="D190" s="9"/>
      <c r="E190" s="10"/>
      <c r="F190" s="10"/>
      <c r="G190" s="10"/>
      <c r="H190" s="10"/>
      <c r="I190" s="10"/>
      <c r="J190" s="2" t="str">
        <f t="shared" si="4"/>
        <v>NO</v>
      </c>
      <c r="K190" s="2" t="str">
        <f t="shared" si="5"/>
        <v> </v>
      </c>
    </row>
    <row r="191" ht="21.75" customHeight="1" spans="1:11" x14ac:dyDescent="0.25">
      <c r="A191" s="8">
        <f>IF(E191="","",SUBTOTAL(103,$E$3:E191))</f>
      </c>
      <c r="B191" s="9"/>
      <c r="C191" s="9"/>
      <c r="D191" s="9"/>
      <c r="E191" s="10"/>
      <c r="F191" s="10"/>
      <c r="G191" s="10"/>
      <c r="H191" s="10"/>
      <c r="I191" s="10"/>
      <c r="J191" s="2" t="str">
        <f t="shared" si="4"/>
        <v>NO</v>
      </c>
      <c r="K191" s="2" t="str">
        <f t="shared" si="5"/>
        <v> </v>
      </c>
    </row>
    <row r="192" ht="21.75" customHeight="1" spans="1:11" x14ac:dyDescent="0.25">
      <c r="A192" s="8">
        <f>IF(E192="","",SUBTOTAL(103,$E$3:E192))</f>
      </c>
      <c r="B192" s="9"/>
      <c r="C192" s="9"/>
      <c r="D192" s="9"/>
      <c r="E192" s="10"/>
      <c r="F192" s="10"/>
      <c r="G192" s="10"/>
      <c r="H192" s="10"/>
      <c r="I192" s="10"/>
      <c r="J192" s="2" t="str">
        <f t="shared" si="4"/>
        <v>NO</v>
      </c>
      <c r="K192" s="2" t="str">
        <f t="shared" si="5"/>
        <v> </v>
      </c>
    </row>
    <row r="193" ht="21.75" customHeight="1" spans="1:11" x14ac:dyDescent="0.25">
      <c r="A193" s="8">
        <f>IF(E193="","",SUBTOTAL(103,$E$3:E193))</f>
      </c>
      <c r="B193" s="9"/>
      <c r="C193" s="9"/>
      <c r="D193" s="9"/>
      <c r="E193" s="10"/>
      <c r="F193" s="10"/>
      <c r="G193" s="10"/>
      <c r="H193" s="10"/>
      <c r="I193" s="10"/>
      <c r="J193" s="2" t="str">
        <f t="shared" si="4"/>
        <v>NO</v>
      </c>
      <c r="K193" s="2" t="str">
        <f t="shared" si="5"/>
        <v> </v>
      </c>
    </row>
    <row r="194" ht="21.75" customHeight="1" spans="1:11" x14ac:dyDescent="0.25">
      <c r="A194" s="8">
        <f>IF(E194="","",SUBTOTAL(103,$E$3:E194))</f>
      </c>
      <c r="B194" s="9"/>
      <c r="C194" s="9"/>
      <c r="D194" s="9"/>
      <c r="E194" s="10"/>
      <c r="F194" s="10"/>
      <c r="G194" s="10"/>
      <c r="H194" s="10"/>
      <c r="I194" s="10"/>
      <c r="J194" s="2" t="str">
        <f t="shared" si="4"/>
        <v>NO</v>
      </c>
      <c r="K194" s="2" t="str">
        <f t="shared" si="5"/>
        <v> </v>
      </c>
    </row>
    <row r="195" ht="21.75" customHeight="1" spans="1:11" x14ac:dyDescent="0.25">
      <c r="A195" s="8">
        <f>IF(E195="","",SUBTOTAL(103,$E$3:E195))</f>
      </c>
      <c r="B195" s="9"/>
      <c r="C195" s="9"/>
      <c r="D195" s="9"/>
      <c r="E195" s="10"/>
      <c r="F195" s="10"/>
      <c r="G195" s="10"/>
      <c r="H195" s="10"/>
      <c r="I195" s="10"/>
      <c r="J195" s="2" t="str">
        <f t="shared" ref="J195:J234" si="6">IF(ISERROR(SEARCH("热处理", E195))=FALSE, "XLN", IF(ISERROR(SEARCH("114", E195))=FALSE, "XLN", IF(ISERROR(SEARCH("OM", E195))=FALSE, "NO", IF(ISERROR(SEARCH("试棒毛坯", E195))=FALSE, "XLN", IF(ISERROR(SEARCH("M35", F195))=FALSE, "NO", IF(OR(LEFT(F195, 2)="DN", LEFT(F195, 3)="NPS", ISERROR(SEARCH("LADISH", E195))=FALSE), "XLN", "NO"))))))</f>
        <v>NO</v>
      </c>
      <c r="K195" s="2" t="str">
        <f t="shared" si="5"/>
        <v> </v>
      </c>
    </row>
    <row r="196" ht="21.75" customHeight="1" spans="1:11" x14ac:dyDescent="0.25">
      <c r="A196" s="8">
        <f>IF(E196="","",SUBTOTAL(103,$E$3:E196))</f>
      </c>
      <c r="B196" s="9"/>
      <c r="C196" s="9"/>
      <c r="D196" s="9"/>
      <c r="E196" s="10"/>
      <c r="F196" s="10"/>
      <c r="G196" s="10"/>
      <c r="H196" s="10"/>
      <c r="I196" s="10"/>
      <c r="J196" s="2" t="str">
        <f t="shared" si="6"/>
        <v>NO</v>
      </c>
      <c r="K196" s="2" t="str">
        <f t="shared" ref="K196:K234" si="7">IF(ISERROR(FIND("304",F196))=FALSE,304,IF(ISERROR(FIND("316",F196))=FALSE,316,IF(ISERROR(FIND("CF8M",F196))=FALSE,316,IF(ISERROR(SEARCH("wcb",F196))=FALSE,"WCB",IF(ISERROR(SEARCH("cd3mn",F196))=FALSE,"CD3MN",IF(ISERROR(SEARCH("CN7M",F196))=FALSE,"CN7M",IF(ISERROR(SEARCH("M35",F196))=FALSE,"M35",IF(ISERROR(SEARCH("CF3M",F196))=FALSE,"CF3M",IF(ISERROR(SEARCH("CD3MWCuN",F196))=FALSE, "CD3MWCuN",  IF(ISERROR(SEARCH("CW12MW",F196))=FALSE, "CW12MW", IF(ISERROR(SEARCH("CF8",F196))=FALSE, 304," ")))))))))))</f>
        <v> </v>
      </c>
    </row>
    <row r="197" ht="21.75" customHeight="1" spans="1:11" x14ac:dyDescent="0.25">
      <c r="A197" s="8">
        <f>IF(E197="","",SUBTOTAL(103,$E$3:E197))</f>
      </c>
      <c r="B197" s="9"/>
      <c r="C197" s="9"/>
      <c r="D197" s="9"/>
      <c r="E197" s="10"/>
      <c r="F197" s="10"/>
      <c r="G197" s="10"/>
      <c r="H197" s="10"/>
      <c r="I197" s="10"/>
      <c r="J197" s="2" t="str">
        <f t="shared" si="6"/>
        <v>NO</v>
      </c>
      <c r="K197" s="2" t="str">
        <f t="shared" si="7"/>
        <v> </v>
      </c>
    </row>
    <row r="198" ht="21.75" customHeight="1" spans="1:11" x14ac:dyDescent="0.25">
      <c r="A198" s="8">
        <f>IF(E198="","",SUBTOTAL(103,$E$3:E198))</f>
      </c>
      <c r="B198" s="9"/>
      <c r="C198" s="9"/>
      <c r="D198" s="9"/>
      <c r="E198" s="10"/>
      <c r="F198" s="10"/>
      <c r="G198" s="10"/>
      <c r="H198" s="10"/>
      <c r="I198" s="10"/>
      <c r="J198" s="2" t="str">
        <f t="shared" si="6"/>
        <v>NO</v>
      </c>
      <c r="K198" s="2" t="str">
        <f t="shared" si="7"/>
        <v> </v>
      </c>
    </row>
    <row r="199" ht="21.75" customHeight="1" spans="1:11" x14ac:dyDescent="0.25">
      <c r="A199" s="8">
        <f>IF(E199="","",SUBTOTAL(103,$E$3:E199))</f>
      </c>
      <c r="B199" s="9"/>
      <c r="C199" s="9"/>
      <c r="D199" s="9"/>
      <c r="E199" s="10"/>
      <c r="F199" s="10"/>
      <c r="G199" s="10"/>
      <c r="H199" s="10"/>
      <c r="I199" s="10"/>
      <c r="J199" s="2" t="str">
        <f t="shared" si="6"/>
        <v>NO</v>
      </c>
      <c r="K199" s="2" t="str">
        <f t="shared" si="7"/>
        <v> </v>
      </c>
    </row>
    <row r="200" ht="21.75" customHeight="1" spans="1:11" x14ac:dyDescent="0.25">
      <c r="A200" s="8">
        <f>IF(E200="","",SUBTOTAL(103,$E$3:E200))</f>
      </c>
      <c r="B200" s="9"/>
      <c r="C200" s="9"/>
      <c r="D200" s="9"/>
      <c r="E200" s="10"/>
      <c r="F200" s="10"/>
      <c r="G200" s="10"/>
      <c r="H200" s="10"/>
      <c r="I200" s="10"/>
      <c r="J200" s="2" t="str">
        <f t="shared" si="6"/>
        <v>NO</v>
      </c>
      <c r="K200" s="2" t="str">
        <f t="shared" si="7"/>
        <v> </v>
      </c>
    </row>
    <row r="201" ht="21.75" customHeight="1" spans="1:11" x14ac:dyDescent="0.25">
      <c r="A201" s="8">
        <f>IF(E201="","",SUBTOTAL(103,$E$3:E201))</f>
      </c>
      <c r="B201" s="9"/>
      <c r="C201" s="9"/>
      <c r="D201" s="9"/>
      <c r="E201" s="10"/>
      <c r="F201" s="10"/>
      <c r="G201" s="10"/>
      <c r="H201" s="10"/>
      <c r="I201" s="10"/>
      <c r="J201" s="2" t="str">
        <f t="shared" si="6"/>
        <v>NO</v>
      </c>
      <c r="K201" s="2" t="str">
        <f t="shared" si="7"/>
        <v> </v>
      </c>
    </row>
    <row r="202" ht="21.75" customHeight="1" spans="1:11" x14ac:dyDescent="0.25">
      <c r="A202" s="8">
        <f>IF(E202="","",SUBTOTAL(103,$E$3:E202))</f>
      </c>
      <c r="B202" s="9"/>
      <c r="C202" s="9"/>
      <c r="D202" s="9"/>
      <c r="E202" s="10"/>
      <c r="F202" s="10"/>
      <c r="G202" s="10"/>
      <c r="H202" s="10"/>
      <c r="I202" s="10"/>
      <c r="J202" s="2" t="str">
        <f t="shared" si="6"/>
        <v>NO</v>
      </c>
      <c r="K202" s="2" t="str">
        <f t="shared" si="7"/>
        <v> </v>
      </c>
    </row>
    <row r="203" ht="21.75" customHeight="1" spans="1:11" x14ac:dyDescent="0.25">
      <c r="A203" s="8">
        <f>IF(E203="","",SUBTOTAL(103,$E$3:E203))</f>
      </c>
      <c r="B203" s="9"/>
      <c r="C203" s="9"/>
      <c r="D203" s="9"/>
      <c r="E203" s="10"/>
      <c r="F203" s="10"/>
      <c r="G203" s="10"/>
      <c r="H203" s="10"/>
      <c r="I203" s="10"/>
      <c r="J203" s="2" t="str">
        <f t="shared" si="6"/>
        <v>NO</v>
      </c>
      <c r="K203" s="2" t="str">
        <f t="shared" si="7"/>
        <v> </v>
      </c>
    </row>
    <row r="204" ht="21.75" customHeight="1" spans="1:11" x14ac:dyDescent="0.25">
      <c r="A204" s="8">
        <f>IF(E204="","",SUBTOTAL(103,$E$3:E204))</f>
      </c>
      <c r="B204" s="9"/>
      <c r="C204" s="9"/>
      <c r="D204" s="9"/>
      <c r="E204" s="10"/>
      <c r="F204" s="10"/>
      <c r="G204" s="10"/>
      <c r="H204" s="10"/>
      <c r="I204" s="10"/>
      <c r="J204" s="2" t="str">
        <f t="shared" si="6"/>
        <v>NO</v>
      </c>
      <c r="K204" s="2" t="str">
        <f t="shared" si="7"/>
        <v> </v>
      </c>
    </row>
    <row r="205" ht="21.75" customHeight="1" spans="1:11" x14ac:dyDescent="0.25">
      <c r="A205" s="8">
        <f>IF(E205="","",SUBTOTAL(103,$E$3:E205))</f>
      </c>
      <c r="B205" s="9"/>
      <c r="C205" s="9"/>
      <c r="D205" s="9"/>
      <c r="E205" s="10"/>
      <c r="F205" s="10"/>
      <c r="G205" s="10"/>
      <c r="H205" s="10"/>
      <c r="I205" s="10"/>
      <c r="J205" s="2" t="str">
        <f t="shared" si="6"/>
        <v>NO</v>
      </c>
      <c r="K205" s="2" t="str">
        <f t="shared" si="7"/>
        <v> </v>
      </c>
    </row>
    <row r="206" ht="21.75" customHeight="1" spans="1:11" x14ac:dyDescent="0.25">
      <c r="A206" s="8">
        <f>IF(E206="","",SUBTOTAL(103,$E$3:E206))</f>
      </c>
      <c r="B206" s="9"/>
      <c r="C206" s="9"/>
      <c r="D206" s="9"/>
      <c r="E206" s="10"/>
      <c r="F206" s="10"/>
      <c r="G206" s="10"/>
      <c r="H206" s="10"/>
      <c r="I206" s="10"/>
      <c r="J206" s="2" t="str">
        <f t="shared" si="6"/>
        <v>NO</v>
      </c>
      <c r="K206" s="2" t="str">
        <f t="shared" si="7"/>
        <v> </v>
      </c>
    </row>
    <row r="207" ht="21.75" customHeight="1" spans="1:11" x14ac:dyDescent="0.25">
      <c r="A207" s="8">
        <f>IF(E207="","",SUBTOTAL(103,$E$3:E207))</f>
      </c>
      <c r="B207" s="9"/>
      <c r="C207" s="9"/>
      <c r="D207" s="9"/>
      <c r="E207" s="10"/>
      <c r="F207" s="10"/>
      <c r="G207" s="10"/>
      <c r="H207" s="10"/>
      <c r="I207" s="10"/>
      <c r="J207" s="2" t="str">
        <f t="shared" si="6"/>
        <v>NO</v>
      </c>
      <c r="K207" s="2" t="str">
        <f t="shared" si="7"/>
        <v> </v>
      </c>
    </row>
    <row r="208" ht="21.75" customHeight="1" spans="1:11" x14ac:dyDescent="0.25">
      <c r="A208" s="8">
        <f>IF(E208="","",SUBTOTAL(103,$E$3:E208))</f>
      </c>
      <c r="B208" s="9"/>
      <c r="C208" s="9"/>
      <c r="D208" s="9"/>
      <c r="E208" s="10"/>
      <c r="F208" s="10"/>
      <c r="G208" s="10"/>
      <c r="H208" s="10"/>
      <c r="I208" s="10"/>
      <c r="J208" s="2" t="str">
        <f t="shared" si="6"/>
        <v>NO</v>
      </c>
      <c r="K208" s="2" t="str">
        <f t="shared" si="7"/>
        <v> </v>
      </c>
    </row>
    <row r="209" ht="21.75" customHeight="1" spans="1:11" x14ac:dyDescent="0.25">
      <c r="A209" s="8">
        <f>IF(E209="","",SUBTOTAL(103,$E$3:E209))</f>
      </c>
      <c r="B209" s="9"/>
      <c r="C209" s="9"/>
      <c r="D209" s="9"/>
      <c r="E209" s="10"/>
      <c r="F209" s="10"/>
      <c r="G209" s="10"/>
      <c r="H209" s="10"/>
      <c r="I209" s="10"/>
      <c r="J209" s="2" t="str">
        <f t="shared" si="6"/>
        <v>NO</v>
      </c>
      <c r="K209" s="2" t="str">
        <f t="shared" si="7"/>
        <v> </v>
      </c>
    </row>
    <row r="210" ht="21.75" customHeight="1" spans="1:11" x14ac:dyDescent="0.25">
      <c r="A210" s="8">
        <f>IF(E210="","",SUBTOTAL(103,$E$3:E210))</f>
      </c>
      <c r="B210" s="9"/>
      <c r="C210" s="9"/>
      <c r="D210" s="9"/>
      <c r="E210" s="10"/>
      <c r="F210" s="10"/>
      <c r="G210" s="10"/>
      <c r="H210" s="10"/>
      <c r="I210" s="10"/>
      <c r="J210" s="2" t="str">
        <f t="shared" si="6"/>
        <v>NO</v>
      </c>
      <c r="K210" s="2" t="str">
        <f t="shared" si="7"/>
        <v> </v>
      </c>
    </row>
    <row r="211" ht="21.75" customHeight="1" spans="1:11" x14ac:dyDescent="0.25">
      <c r="A211" s="8">
        <f>IF(E211="","",SUBTOTAL(103,$E$3:E211))</f>
      </c>
      <c r="B211" s="9"/>
      <c r="C211" s="9"/>
      <c r="D211" s="9"/>
      <c r="E211" s="10"/>
      <c r="F211" s="10"/>
      <c r="G211" s="10"/>
      <c r="H211" s="10"/>
      <c r="I211" s="10"/>
      <c r="J211" s="2" t="str">
        <f t="shared" si="6"/>
        <v>NO</v>
      </c>
      <c r="K211" s="2" t="str">
        <f t="shared" si="7"/>
        <v> </v>
      </c>
    </row>
    <row r="212" ht="21.75" customHeight="1" spans="1:11" x14ac:dyDescent="0.25">
      <c r="A212" s="8">
        <f>IF(E212="","",SUBTOTAL(103,$E$3:E212))</f>
      </c>
      <c r="B212" s="9"/>
      <c r="C212" s="9"/>
      <c r="D212" s="9"/>
      <c r="E212" s="10"/>
      <c r="F212" s="10"/>
      <c r="G212" s="10"/>
      <c r="H212" s="10"/>
      <c r="I212" s="10"/>
      <c r="J212" s="2" t="str">
        <f t="shared" si="6"/>
        <v>NO</v>
      </c>
      <c r="K212" s="2" t="str">
        <f t="shared" si="7"/>
        <v> </v>
      </c>
    </row>
    <row r="213" ht="21.75" customHeight="1" spans="1:11" x14ac:dyDescent="0.25">
      <c r="A213" s="8">
        <f>IF(E213="","",SUBTOTAL(103,$E$3:E213))</f>
      </c>
      <c r="B213" s="9"/>
      <c r="C213" s="9"/>
      <c r="D213" s="9"/>
      <c r="E213" s="10"/>
      <c r="F213" s="10"/>
      <c r="G213" s="10"/>
      <c r="H213" s="10"/>
      <c r="I213" s="10"/>
      <c r="J213" s="2" t="str">
        <f t="shared" si="6"/>
        <v>NO</v>
      </c>
      <c r="K213" s="2" t="str">
        <f t="shared" si="7"/>
        <v> </v>
      </c>
    </row>
    <row r="214" ht="21.75" customHeight="1" spans="1:11" x14ac:dyDescent="0.25">
      <c r="A214" s="8">
        <f>IF(E214="","",SUBTOTAL(103,$E$3:E214))</f>
      </c>
      <c r="B214" s="9"/>
      <c r="C214" s="9"/>
      <c r="D214" s="9"/>
      <c r="E214" s="10"/>
      <c r="F214" s="10"/>
      <c r="G214" s="10"/>
      <c r="H214" s="10"/>
      <c r="I214" s="10"/>
      <c r="J214" s="2" t="str">
        <f t="shared" si="6"/>
        <v>NO</v>
      </c>
      <c r="K214" s="2" t="str">
        <f t="shared" si="7"/>
        <v> </v>
      </c>
    </row>
    <row r="215" ht="21.75" customHeight="1" spans="1:11" x14ac:dyDescent="0.25">
      <c r="A215" s="8">
        <f>IF(E215="","",SUBTOTAL(103,$E$3:E215))</f>
      </c>
      <c r="B215" s="9"/>
      <c r="C215" s="9"/>
      <c r="D215" s="9"/>
      <c r="E215" s="10"/>
      <c r="F215" s="10"/>
      <c r="G215" s="10"/>
      <c r="H215" s="10"/>
      <c r="I215" s="10"/>
      <c r="J215" s="2" t="str">
        <f t="shared" si="6"/>
        <v>NO</v>
      </c>
      <c r="K215" s="2" t="str">
        <f t="shared" si="7"/>
        <v> </v>
      </c>
    </row>
    <row r="216" ht="21.75" customHeight="1" spans="1:11" x14ac:dyDescent="0.25">
      <c r="A216" s="8">
        <f>IF(E216="","",SUBTOTAL(103,$E$3:E216))</f>
      </c>
      <c r="B216" s="9"/>
      <c r="C216" s="9"/>
      <c r="D216" s="9"/>
      <c r="E216" s="10"/>
      <c r="F216" s="10"/>
      <c r="G216" s="10"/>
      <c r="H216" s="10"/>
      <c r="I216" s="10"/>
      <c r="J216" s="2" t="str">
        <f t="shared" si="6"/>
        <v>NO</v>
      </c>
      <c r="K216" s="2" t="str">
        <f t="shared" si="7"/>
        <v> </v>
      </c>
    </row>
    <row r="217" ht="21.75" customHeight="1" spans="1:11" x14ac:dyDescent="0.25">
      <c r="A217" s="8">
        <f>IF(E217="","",SUBTOTAL(103,$E$3:E217))</f>
      </c>
      <c r="B217" s="9"/>
      <c r="C217" s="9"/>
      <c r="D217" s="9"/>
      <c r="E217" s="10"/>
      <c r="F217" s="10"/>
      <c r="G217" s="10"/>
      <c r="H217" s="10"/>
      <c r="I217" s="10"/>
      <c r="J217" s="2" t="str">
        <f t="shared" si="6"/>
        <v>NO</v>
      </c>
      <c r="K217" s="2" t="str">
        <f t="shared" si="7"/>
        <v> </v>
      </c>
    </row>
    <row r="218" ht="21.75" customHeight="1" spans="1:11" x14ac:dyDescent="0.25">
      <c r="A218" s="8">
        <f>IF(E218="","",SUBTOTAL(103,$E$3:E218))</f>
      </c>
      <c r="B218" s="9"/>
      <c r="C218" s="9"/>
      <c r="D218" s="9"/>
      <c r="E218" s="10"/>
      <c r="F218" s="10"/>
      <c r="G218" s="10"/>
      <c r="H218" s="10"/>
      <c r="I218" s="10"/>
      <c r="J218" s="2" t="str">
        <f t="shared" si="6"/>
        <v>NO</v>
      </c>
      <c r="K218" s="2" t="str">
        <f t="shared" si="7"/>
        <v> </v>
      </c>
    </row>
    <row r="219" ht="21.75" customHeight="1" spans="1:11" x14ac:dyDescent="0.25">
      <c r="A219" s="8">
        <f>IF(E219="","",SUBTOTAL(103,$E$3:E219))</f>
      </c>
      <c r="B219" s="9"/>
      <c r="C219" s="9"/>
      <c r="D219" s="9"/>
      <c r="E219" s="10"/>
      <c r="F219" s="10"/>
      <c r="G219" s="10"/>
      <c r="H219" s="10"/>
      <c r="I219" s="10"/>
      <c r="J219" s="2" t="str">
        <f t="shared" si="6"/>
        <v>NO</v>
      </c>
      <c r="K219" s="2" t="str">
        <f t="shared" si="7"/>
        <v> </v>
      </c>
    </row>
    <row r="220" ht="21.75" customHeight="1" spans="1:11" x14ac:dyDescent="0.25">
      <c r="A220" s="8">
        <f>IF(E220="","",SUBTOTAL(103,$E$3:E220))</f>
      </c>
      <c r="B220" s="9"/>
      <c r="C220" s="9"/>
      <c r="D220" s="9"/>
      <c r="E220" s="10"/>
      <c r="F220" s="10"/>
      <c r="G220" s="10"/>
      <c r="H220" s="10"/>
      <c r="I220" s="10"/>
      <c r="J220" s="2" t="str">
        <f t="shared" si="6"/>
        <v>NO</v>
      </c>
      <c r="K220" s="2" t="str">
        <f t="shared" si="7"/>
        <v> </v>
      </c>
    </row>
    <row r="221" ht="21.75" customHeight="1" spans="1:11" x14ac:dyDescent="0.25">
      <c r="A221" s="8">
        <f>IF(E221="","",SUBTOTAL(103,$E$3:E221))</f>
      </c>
      <c r="B221" s="9"/>
      <c r="C221" s="9"/>
      <c r="D221" s="9"/>
      <c r="E221" s="10"/>
      <c r="F221" s="10"/>
      <c r="G221" s="10"/>
      <c r="H221" s="10"/>
      <c r="I221" s="10"/>
      <c r="J221" s="2" t="str">
        <f t="shared" si="6"/>
        <v>NO</v>
      </c>
      <c r="K221" s="2" t="str">
        <f t="shared" si="7"/>
        <v> </v>
      </c>
    </row>
    <row r="222" ht="21.75" customHeight="1" spans="1:11" x14ac:dyDescent="0.25">
      <c r="A222" s="8">
        <f>IF(E222="","",SUBTOTAL(103,$E$3:E222))</f>
      </c>
      <c r="B222" s="9"/>
      <c r="C222" s="9"/>
      <c r="D222" s="9"/>
      <c r="E222" s="10"/>
      <c r="F222" s="10"/>
      <c r="G222" s="10"/>
      <c r="H222" s="10"/>
      <c r="I222" s="10"/>
      <c r="J222" s="2" t="str">
        <f t="shared" si="6"/>
        <v>NO</v>
      </c>
      <c r="K222" s="2" t="str">
        <f t="shared" si="7"/>
        <v> </v>
      </c>
    </row>
    <row r="223" ht="21.75" customHeight="1" spans="1:11" x14ac:dyDescent="0.25">
      <c r="A223" s="8">
        <f>IF(E223="","",SUBTOTAL(103,$E$3:E223))</f>
      </c>
      <c r="B223" s="9"/>
      <c r="C223" s="9"/>
      <c r="D223" s="9"/>
      <c r="E223" s="10"/>
      <c r="F223" s="10"/>
      <c r="G223" s="10"/>
      <c r="H223" s="10"/>
      <c r="I223" s="10"/>
      <c r="J223" s="2" t="str">
        <f t="shared" si="6"/>
        <v>NO</v>
      </c>
      <c r="K223" s="2" t="str">
        <f t="shared" si="7"/>
        <v> </v>
      </c>
    </row>
    <row r="224" ht="21.75" customHeight="1" spans="1:11" x14ac:dyDescent="0.25">
      <c r="A224" s="8">
        <f>IF(E224="","",SUBTOTAL(103,$E$3:E224))</f>
      </c>
      <c r="B224" s="9"/>
      <c r="C224" s="9"/>
      <c r="D224" s="9"/>
      <c r="E224" s="10"/>
      <c r="F224" s="10"/>
      <c r="G224" s="10"/>
      <c r="H224" s="10"/>
      <c r="I224" s="10"/>
      <c r="J224" s="2" t="str">
        <f t="shared" si="6"/>
        <v>NO</v>
      </c>
      <c r="K224" s="2" t="str">
        <f t="shared" si="7"/>
        <v> </v>
      </c>
    </row>
    <row r="225" ht="21.75" customHeight="1" spans="1:11" x14ac:dyDescent="0.25">
      <c r="A225" s="8">
        <f>IF(E225="","",SUBTOTAL(103,$E$3:E225))</f>
      </c>
      <c r="B225" s="9"/>
      <c r="C225" s="9"/>
      <c r="D225" s="9"/>
      <c r="E225" s="10"/>
      <c r="F225" s="10"/>
      <c r="G225" s="10"/>
      <c r="H225" s="10"/>
      <c r="I225" s="10"/>
      <c r="J225" s="2" t="str">
        <f t="shared" si="6"/>
        <v>NO</v>
      </c>
      <c r="K225" s="2" t="str">
        <f t="shared" si="7"/>
        <v> </v>
      </c>
    </row>
    <row r="226" ht="21.75" customHeight="1" spans="1:11" x14ac:dyDescent="0.25">
      <c r="A226" s="8">
        <f>IF(E226="","",SUBTOTAL(103,$E$3:E226))</f>
      </c>
      <c r="B226" s="9"/>
      <c r="C226" s="9"/>
      <c r="D226" s="9"/>
      <c r="E226" s="10"/>
      <c r="F226" s="10"/>
      <c r="G226" s="10"/>
      <c r="H226" s="10"/>
      <c r="I226" s="10"/>
      <c r="J226" s="2" t="str">
        <f t="shared" si="6"/>
        <v>NO</v>
      </c>
      <c r="K226" s="2" t="str">
        <f t="shared" si="7"/>
        <v> </v>
      </c>
    </row>
    <row r="227" ht="21.75" customHeight="1" spans="1:11" x14ac:dyDescent="0.25">
      <c r="A227" s="8">
        <f>IF(E227="","",SUBTOTAL(103,$E$3:E227))</f>
      </c>
      <c r="B227" s="9"/>
      <c r="C227" s="9"/>
      <c r="D227" s="9"/>
      <c r="E227" s="10"/>
      <c r="F227" s="10"/>
      <c r="G227" s="10"/>
      <c r="H227" s="10"/>
      <c r="I227" s="10"/>
      <c r="J227" s="2" t="str">
        <f t="shared" si="6"/>
        <v>NO</v>
      </c>
      <c r="K227" s="2" t="str">
        <f t="shared" si="7"/>
        <v> </v>
      </c>
    </row>
    <row r="228" ht="21.75" customHeight="1" spans="1:11" x14ac:dyDescent="0.25">
      <c r="A228" s="8">
        <f>IF(E228="","",SUBTOTAL(103,$E$3:E228))</f>
      </c>
      <c r="B228" s="9"/>
      <c r="C228" s="9"/>
      <c r="D228" s="9"/>
      <c r="E228" s="10"/>
      <c r="F228" s="10"/>
      <c r="G228" s="10"/>
      <c r="H228" s="10"/>
      <c r="I228" s="10"/>
      <c r="J228" s="2" t="str">
        <f t="shared" si="6"/>
        <v>NO</v>
      </c>
      <c r="K228" s="2" t="str">
        <f t="shared" si="7"/>
        <v> </v>
      </c>
    </row>
    <row r="229" ht="21.75" customHeight="1" spans="1:11" x14ac:dyDescent="0.25">
      <c r="A229" s="8">
        <f>IF(E229="","",SUBTOTAL(103,$E$3:E229))</f>
      </c>
      <c r="B229" s="9"/>
      <c r="C229" s="9"/>
      <c r="D229" s="9"/>
      <c r="E229" s="10"/>
      <c r="F229" s="10"/>
      <c r="G229" s="10"/>
      <c r="H229" s="10"/>
      <c r="I229" s="10"/>
      <c r="J229" s="2" t="str">
        <f t="shared" si="6"/>
        <v>NO</v>
      </c>
      <c r="K229" s="2" t="str">
        <f t="shared" si="7"/>
        <v> </v>
      </c>
    </row>
    <row r="230" ht="21.75" customHeight="1" spans="1:11" x14ac:dyDescent="0.25">
      <c r="A230" s="8">
        <f>IF(E230="","",SUBTOTAL(103,$E$3:E230))</f>
      </c>
      <c r="B230" s="9"/>
      <c r="C230" s="9"/>
      <c r="D230" s="9"/>
      <c r="E230" s="10"/>
      <c r="F230" s="10"/>
      <c r="G230" s="10"/>
      <c r="H230" s="10"/>
      <c r="I230" s="10"/>
      <c r="J230" s="2" t="str">
        <f t="shared" si="6"/>
        <v>NO</v>
      </c>
      <c r="K230" s="2" t="str">
        <f t="shared" si="7"/>
        <v> </v>
      </c>
    </row>
    <row r="231" ht="21.75" customHeight="1" spans="1:11" x14ac:dyDescent="0.25">
      <c r="A231" s="8">
        <f>IF(E231="","",SUBTOTAL(103,$E$3:E231))</f>
      </c>
      <c r="B231" s="9"/>
      <c r="C231" s="9"/>
      <c r="D231" s="9"/>
      <c r="E231" s="10"/>
      <c r="F231" s="10"/>
      <c r="G231" s="10"/>
      <c r="H231" s="10"/>
      <c r="I231" s="10"/>
      <c r="J231" s="2" t="str">
        <f t="shared" si="6"/>
        <v>NO</v>
      </c>
      <c r="K231" s="2" t="str">
        <f t="shared" si="7"/>
        <v> </v>
      </c>
    </row>
    <row r="232" ht="21.75" customHeight="1" spans="1:11" x14ac:dyDescent="0.25">
      <c r="A232" s="8">
        <f>IF(E232="","",SUBTOTAL(103,$E$3:E232))</f>
      </c>
      <c r="B232" s="9"/>
      <c r="C232" s="9"/>
      <c r="D232" s="9"/>
      <c r="E232" s="10"/>
      <c r="F232" s="10"/>
      <c r="G232" s="10"/>
      <c r="H232" s="10"/>
      <c r="I232" s="10"/>
      <c r="J232" s="2" t="str">
        <f t="shared" si="6"/>
        <v>NO</v>
      </c>
      <c r="K232" s="2" t="str">
        <f t="shared" si="7"/>
        <v> </v>
      </c>
    </row>
    <row r="233" ht="21.75" customHeight="1" spans="1:11" x14ac:dyDescent="0.25">
      <c r="A233" s="8">
        <f>IF(E233="","",SUBTOTAL(103,$E$3:E233))</f>
      </c>
      <c r="B233" s="9"/>
      <c r="C233" s="9"/>
      <c r="D233" s="9"/>
      <c r="E233" s="10"/>
      <c r="F233" s="10"/>
      <c r="G233" s="10"/>
      <c r="H233" s="10"/>
      <c r="I233" s="10"/>
      <c r="J233" s="2" t="str">
        <f t="shared" si="6"/>
        <v>NO</v>
      </c>
      <c r="K233" s="2" t="str">
        <f t="shared" si="7"/>
        <v> </v>
      </c>
    </row>
    <row r="234" ht="21.75" customHeight="1" spans="1:11" x14ac:dyDescent="0.25">
      <c r="A234" s="8">
        <f>IF(E234="","",SUBTOTAL(103,$E$3:E234))</f>
      </c>
      <c r="B234" s="9"/>
      <c r="C234" s="9"/>
      <c r="D234" s="9"/>
      <c r="E234" s="10"/>
      <c r="F234" s="10"/>
      <c r="G234" s="10"/>
      <c r="H234" s="10"/>
      <c r="I234" s="10"/>
      <c r="J234" s="2" t="str">
        <f t="shared" si="6"/>
        <v>NO</v>
      </c>
      <c r="K234" s="2" t="str">
        <f t="shared" si="7"/>
        <v> </v>
      </c>
    </row>
    <row r="235" ht="33" customHeight="1" spans="1:9" x14ac:dyDescent="0.25">
      <c r="A235" s="11" t="s">
        <v>274</v>
      </c>
      <c r="B235" s="12"/>
      <c r="C235" s="13">
        <f>ROUND(SUMIFS($I$3:$I$234, $J$3:$J$234, "XLN", K3:$K$234, "WCB"), 2)</f>
        <v>0</v>
      </c>
      <c r="D235" s="14"/>
      <c r="E235" s="7" t="s">
        <v>275</v>
      </c>
      <c r="F235" s="15">
        <f>ROUND(IFERROR(H235-C235, "0"), 2)</f>
        <v>0</v>
      </c>
      <c r="G235" s="7" t="s">
        <v>276</v>
      </c>
      <c r="H235" s="16">
        <f>ROUND(SUMIF(J3:J234, "XLN", I3:I234), 2)</f>
        <v>0</v>
      </c>
      <c r="I235" s="16"/>
    </row>
    <row r="237" ht="31.5" customHeight="1" spans="2:9" x14ac:dyDescent="0.25">
      <c r="B237" s="17" t="s">
        <v>277</v>
      </c>
      <c r="E237" s="18" t="s">
        <v>278</v>
      </c>
      <c r="H237" s="19" t="s">
        <v>279</v>
      </c>
      <c r="I237" s="20"/>
    </row>
  </sheetData>
  <autoFilter ref="A2:K235"/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/>
  <pageMargins left="0.28" right="0" top="0.46" bottom="0.52" header="0" footer="0"/>
  <pageSetup paperSize="9" orientation="portrait" horizontalDpi="300" verticalDpi="300" scale="78" fitToWidth="1" fitToHeight="1" firstPageNumber="1" useFirstPageNumber="1" copies="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Hàng xln</vt:lpstr>
      <vt:lpstr>xử lý chất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2013-05-02T05:44:06Z</cp:lastPrinted>
  <dcterms:created xsi:type="dcterms:W3CDTF">1996-12-17T01:32:42Z</dcterms:created>
  <dcterms:modified xsi:type="dcterms:W3CDTF">2026-07-21T15:15:29Z</dcterms:modified>
</cp:coreProperties>
</file>