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s\ProductionStatisticsManager\src\excels\"/>
    </mc:Choice>
  </mc:AlternateContent>
  <xr:revisionPtr revIDLastSave="0" documentId="13_ncr:1_{3EC64EB1-AED1-4C85-8B77-FEC8117903CF}" xr6:coauthVersionLast="36" xr6:coauthVersionMax="47" xr10:uidLastSave="{00000000-0000-0000-0000-000000000000}"/>
  <bookViews>
    <workbookView xWindow="-120" yWindow="-120" windowWidth="29040" windowHeight="15720" xr2:uid="{AE055673-B9B4-44B0-BC2E-F351667F4115}"/>
  </bookViews>
  <sheets>
    <sheet name="产品库 Thư viện SP" sheetId="1" r:id="rId1"/>
  </sheets>
  <definedNames>
    <definedName name="_xlnm._FilterDatabase" localSheetId="0" hidden="1">'产品库 Thư viện SP'!$A$1:$XEZ$2309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310" i="1" l="1"/>
  <c r="L2310" i="1"/>
  <c r="K2310" i="1"/>
  <c r="J2310" i="1"/>
  <c r="M2309" i="1"/>
  <c r="L2309" i="1"/>
  <c r="K2309" i="1"/>
  <c r="J2309" i="1"/>
  <c r="M2308" i="1"/>
  <c r="L2308" i="1"/>
  <c r="K2308" i="1"/>
  <c r="J2308" i="1"/>
  <c r="G2307" i="1"/>
  <c r="A2307" i="1"/>
  <c r="G2306" i="1"/>
  <c r="A2306" i="1"/>
  <c r="G2305" i="1"/>
  <c r="A2305" i="1"/>
  <c r="G2304" i="1"/>
  <c r="A2304" i="1"/>
  <c r="G2303" i="1"/>
  <c r="A2303" i="1"/>
  <c r="G2302" i="1"/>
  <c r="A2302" i="1"/>
  <c r="G2301" i="1"/>
  <c r="A2301" i="1"/>
  <c r="G2300" i="1"/>
  <c r="A2300" i="1"/>
  <c r="G2299" i="1"/>
  <c r="A2299" i="1"/>
  <c r="G2298" i="1"/>
  <c r="A2298" i="1"/>
  <c r="G2297" i="1"/>
  <c r="A2297" i="1"/>
  <c r="G2296" i="1"/>
  <c r="A2296" i="1"/>
  <c r="G2295" i="1"/>
  <c r="A2295" i="1"/>
  <c r="G2294" i="1"/>
  <c r="A2294" i="1"/>
  <c r="G2293" i="1"/>
  <c r="A2293" i="1"/>
  <c r="G2292" i="1"/>
  <c r="A2292" i="1"/>
  <c r="G2291" i="1"/>
  <c r="A2291" i="1"/>
  <c r="G2290" i="1"/>
  <c r="A2290" i="1"/>
  <c r="G2289" i="1"/>
  <c r="A2289" i="1"/>
  <c r="G2288" i="1"/>
  <c r="A2288" i="1"/>
  <c r="G2287" i="1"/>
  <c r="A2287" i="1"/>
  <c r="G2286" i="1"/>
  <c r="A2286" i="1"/>
  <c r="G2285" i="1"/>
  <c r="A2285" i="1"/>
  <c r="G2284" i="1"/>
  <c r="A2284" i="1"/>
  <c r="G2283" i="1"/>
  <c r="A2283" i="1"/>
  <c r="G2282" i="1"/>
  <c r="A2282" i="1"/>
  <c r="G2281" i="1"/>
  <c r="A2281" i="1"/>
  <c r="G2280" i="1"/>
  <c r="A2280" i="1"/>
  <c r="G2279" i="1"/>
  <c r="A2279" i="1"/>
  <c r="G2278" i="1"/>
  <c r="A2278" i="1"/>
  <c r="G2277" i="1"/>
  <c r="A2277" i="1"/>
  <c r="G2276" i="1"/>
  <c r="A2276" i="1"/>
  <c r="G2275" i="1"/>
  <c r="A2275" i="1"/>
  <c r="G2274" i="1"/>
  <c r="A2274" i="1"/>
  <c r="G2273" i="1"/>
  <c r="A2273" i="1"/>
  <c r="G2272" i="1"/>
  <c r="A2272" i="1"/>
  <c r="G2271" i="1"/>
  <c r="A2271" i="1"/>
  <c r="G2270" i="1"/>
  <c r="A2270" i="1"/>
  <c r="G2269" i="1"/>
  <c r="A2269" i="1"/>
  <c r="G2268" i="1"/>
  <c r="A2268" i="1"/>
  <c r="G2267" i="1"/>
  <c r="A2267" i="1"/>
  <c r="G2266" i="1"/>
  <c r="A2266" i="1"/>
  <c r="G2265" i="1"/>
  <c r="A2265" i="1"/>
  <c r="G2264" i="1"/>
  <c r="A2264" i="1"/>
  <c r="G2263" i="1"/>
  <c r="A2263" i="1"/>
  <c r="G2262" i="1"/>
  <c r="A2262" i="1"/>
  <c r="G2261" i="1"/>
  <c r="A2261" i="1"/>
  <c r="G2260" i="1"/>
  <c r="A2260" i="1"/>
  <c r="G2259" i="1"/>
  <c r="A2259" i="1"/>
  <c r="G2258" i="1"/>
  <c r="A2258" i="1"/>
  <c r="G2257" i="1"/>
  <c r="A2257" i="1"/>
  <c r="G2256" i="1"/>
  <c r="A2256" i="1"/>
  <c r="G2255" i="1"/>
  <c r="A2255" i="1"/>
  <c r="G2254" i="1"/>
  <c r="A2254" i="1"/>
  <c r="G2253" i="1"/>
  <c r="A2253" i="1"/>
  <c r="G2252" i="1"/>
  <c r="A2252" i="1"/>
  <c r="G2251" i="1"/>
  <c r="A2251" i="1"/>
  <c r="G2250" i="1"/>
  <c r="A2250" i="1"/>
  <c r="G2249" i="1"/>
  <c r="A2249" i="1"/>
  <c r="G2248" i="1"/>
  <c r="A2248" i="1"/>
  <c r="G2247" i="1"/>
  <c r="A2247" i="1"/>
  <c r="G2246" i="1"/>
  <c r="A2246" i="1"/>
  <c r="G2245" i="1"/>
  <c r="A2245" i="1"/>
  <c r="G2244" i="1"/>
  <c r="A2244" i="1"/>
  <c r="G2243" i="1"/>
  <c r="A2243" i="1"/>
  <c r="G2242" i="1"/>
  <c r="A2242" i="1"/>
  <c r="G2241" i="1"/>
  <c r="A2241" i="1"/>
  <c r="G2240" i="1"/>
  <c r="A2240" i="1"/>
  <c r="G2239" i="1"/>
  <c r="A2239" i="1"/>
  <c r="G2238" i="1"/>
  <c r="A2238" i="1"/>
  <c r="G2237" i="1"/>
  <c r="A2237" i="1"/>
  <c r="G2236" i="1"/>
  <c r="A2236" i="1"/>
  <c r="G2235" i="1"/>
  <c r="A2235" i="1"/>
  <c r="G2234" i="1"/>
  <c r="A2234" i="1"/>
  <c r="G2233" i="1"/>
  <c r="A2233" i="1"/>
  <c r="G2232" i="1"/>
  <c r="A2232" i="1"/>
  <c r="G2231" i="1"/>
  <c r="A2231" i="1"/>
  <c r="G2230" i="1"/>
  <c r="A2230" i="1"/>
  <c r="G2229" i="1"/>
  <c r="A2229" i="1"/>
  <c r="G2228" i="1"/>
  <c r="A2228" i="1"/>
  <c r="G2227" i="1"/>
  <c r="A2227" i="1"/>
  <c r="G2226" i="1"/>
  <c r="A2226" i="1"/>
  <c r="G2225" i="1"/>
  <c r="A2225" i="1"/>
  <c r="G2224" i="1"/>
  <c r="A2224" i="1"/>
  <c r="A2223" i="1"/>
  <c r="G2222" i="1"/>
  <c r="A2222" i="1"/>
  <c r="G2221" i="1"/>
  <c r="A2221" i="1"/>
  <c r="G2220" i="1"/>
  <c r="A2220" i="1"/>
  <c r="G2219" i="1"/>
  <c r="A2219" i="1"/>
  <c r="G2218" i="1"/>
  <c r="A2218" i="1"/>
  <c r="G2217" i="1"/>
  <c r="A2217" i="1"/>
  <c r="G2216" i="1"/>
  <c r="A2216" i="1"/>
  <c r="G2215" i="1"/>
  <c r="A2215" i="1"/>
  <c r="A2214" i="1"/>
  <c r="G2213" i="1"/>
  <c r="A2213" i="1"/>
  <c r="A2212" i="1"/>
  <c r="A2211" i="1"/>
  <c r="A2210" i="1"/>
  <c r="A2209" i="1"/>
  <c r="A2208" i="1"/>
  <c r="G2207" i="1"/>
  <c r="A2207" i="1"/>
  <c r="A2206" i="1"/>
  <c r="A2205" i="1"/>
  <c r="A2204" i="1"/>
  <c r="G2203" i="1"/>
  <c r="A2203" i="1"/>
  <c r="G2202" i="1"/>
  <c r="A2202" i="1"/>
  <c r="G2201" i="1"/>
  <c r="A2201" i="1"/>
  <c r="G2200" i="1"/>
  <c r="A2200" i="1"/>
  <c r="A2199" i="1"/>
  <c r="A2198" i="1"/>
  <c r="A2197" i="1"/>
  <c r="G2196" i="1"/>
  <c r="A2196" i="1"/>
  <c r="G2195" i="1"/>
  <c r="A2195" i="1"/>
  <c r="G2194" i="1"/>
  <c r="A2194" i="1"/>
  <c r="G2193" i="1"/>
  <c r="A2193" i="1"/>
  <c r="G2192" i="1"/>
  <c r="A2192" i="1"/>
  <c r="G2191" i="1"/>
  <c r="A2191" i="1"/>
  <c r="G2190" i="1"/>
  <c r="A2190" i="1"/>
  <c r="G2189" i="1"/>
  <c r="A2189" i="1"/>
  <c r="G2188" i="1"/>
  <c r="A2188" i="1"/>
  <c r="G2187" i="1"/>
  <c r="A2187" i="1"/>
  <c r="G2186" i="1"/>
  <c r="A2186" i="1"/>
  <c r="G2185" i="1"/>
  <c r="A2185" i="1"/>
  <c r="G2184" i="1"/>
  <c r="A2184" i="1"/>
  <c r="G2183" i="1"/>
  <c r="A2183" i="1"/>
  <c r="G2182" i="1"/>
  <c r="A2182" i="1"/>
  <c r="G2181" i="1"/>
  <c r="A2181" i="1"/>
  <c r="G2180" i="1"/>
  <c r="A2180" i="1"/>
  <c r="G2179" i="1"/>
  <c r="A2179" i="1"/>
  <c r="G2178" i="1"/>
  <c r="A2178" i="1"/>
  <c r="G2177" i="1"/>
  <c r="A2177" i="1"/>
  <c r="G2176" i="1"/>
  <c r="A2176" i="1"/>
  <c r="G2175" i="1"/>
  <c r="A2175" i="1"/>
  <c r="G2174" i="1"/>
  <c r="A2174" i="1"/>
  <c r="G2173" i="1"/>
  <c r="A2173" i="1"/>
  <c r="G2172" i="1"/>
  <c r="A2172" i="1"/>
  <c r="G2171" i="1"/>
  <c r="A2171" i="1"/>
  <c r="G2170" i="1"/>
  <c r="A2170" i="1"/>
  <c r="G2169" i="1"/>
  <c r="A2169" i="1"/>
  <c r="G2168" i="1"/>
  <c r="A2168" i="1"/>
  <c r="G2167" i="1"/>
  <c r="A2167" i="1"/>
  <c r="G2166" i="1"/>
  <c r="A2166" i="1"/>
  <c r="G2165" i="1"/>
  <c r="A2165" i="1"/>
  <c r="G2164" i="1"/>
  <c r="A2164" i="1"/>
  <c r="G2163" i="1"/>
  <c r="A2163" i="1"/>
  <c r="G2162" i="1"/>
  <c r="A2162" i="1"/>
  <c r="G2161" i="1"/>
  <c r="A2161" i="1"/>
  <c r="G2160" i="1"/>
  <c r="A2160" i="1"/>
  <c r="G2159" i="1"/>
  <c r="A2159" i="1"/>
  <c r="G2158" i="1"/>
  <c r="A2158" i="1"/>
  <c r="G2157" i="1"/>
  <c r="A2157" i="1"/>
  <c r="G2156" i="1"/>
  <c r="A2156" i="1"/>
  <c r="G2155" i="1"/>
  <c r="A2155" i="1"/>
  <c r="G2154" i="1"/>
  <c r="A2154" i="1"/>
  <c r="G2153" i="1"/>
  <c r="A2153" i="1"/>
  <c r="G2152" i="1"/>
  <c r="A2152" i="1"/>
  <c r="G2151" i="1"/>
  <c r="A2151" i="1"/>
  <c r="G2150" i="1"/>
  <c r="A2150" i="1"/>
  <c r="G2149" i="1"/>
  <c r="A2149" i="1"/>
  <c r="G2148" i="1"/>
  <c r="A2148" i="1"/>
  <c r="G2147" i="1"/>
  <c r="A2147" i="1"/>
  <c r="G2146" i="1"/>
  <c r="A2146" i="1"/>
  <c r="G2145" i="1"/>
  <c r="A2145" i="1"/>
  <c r="G2144" i="1"/>
  <c r="A2144" i="1"/>
  <c r="G2143" i="1"/>
  <c r="A2143" i="1"/>
  <c r="G2142" i="1"/>
  <c r="A2142" i="1"/>
  <c r="G2141" i="1"/>
  <c r="A2141" i="1"/>
  <c r="G2140" i="1"/>
  <c r="A2140" i="1"/>
  <c r="G2139" i="1"/>
  <c r="A2139" i="1"/>
  <c r="G2138" i="1"/>
  <c r="A2138" i="1"/>
  <c r="G2137" i="1"/>
  <c r="A2137" i="1"/>
  <c r="G2136" i="1"/>
  <c r="A2136" i="1"/>
  <c r="G2135" i="1"/>
  <c r="A2135" i="1"/>
  <c r="G2134" i="1"/>
  <c r="A2134" i="1"/>
  <c r="G2133" i="1"/>
  <c r="A2133" i="1"/>
  <c r="G2132" i="1"/>
  <c r="A2132" i="1"/>
  <c r="G2131" i="1"/>
  <c r="A2131" i="1"/>
  <c r="G2130" i="1"/>
  <c r="A2130" i="1"/>
  <c r="G2129" i="1"/>
  <c r="A2129" i="1"/>
  <c r="G2128" i="1"/>
  <c r="A2128" i="1"/>
  <c r="G2127" i="1"/>
  <c r="A2127" i="1"/>
  <c r="G2126" i="1"/>
  <c r="A2126" i="1"/>
  <c r="G2125" i="1"/>
  <c r="A2125" i="1"/>
  <c r="G2124" i="1"/>
  <c r="A2124" i="1"/>
  <c r="G2123" i="1"/>
  <c r="A2123" i="1"/>
  <c r="G2122" i="1"/>
  <c r="A2122" i="1"/>
  <c r="G2121" i="1"/>
  <c r="A2121" i="1"/>
  <c r="G2120" i="1"/>
  <c r="A2120" i="1"/>
  <c r="G2119" i="1"/>
  <c r="A2119" i="1"/>
  <c r="G2118" i="1"/>
  <c r="A2118" i="1"/>
  <c r="G2117" i="1"/>
  <c r="A2117" i="1"/>
  <c r="G2116" i="1"/>
  <c r="A2116" i="1"/>
  <c r="G2115" i="1"/>
  <c r="A2115" i="1"/>
  <c r="G2114" i="1"/>
  <c r="A2114" i="1"/>
  <c r="G2113" i="1"/>
  <c r="A2113" i="1"/>
  <c r="G2112" i="1"/>
  <c r="A2112" i="1"/>
  <c r="G2111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G2083" i="1"/>
  <c r="A2083" i="1"/>
  <c r="A2082" i="1"/>
  <c r="A2081" i="1"/>
  <c r="A2080" i="1"/>
  <c r="A2079" i="1"/>
  <c r="G2078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G2051" i="1"/>
  <c r="A2051" i="1"/>
  <c r="A2050" i="1"/>
  <c r="A2049" i="1"/>
  <c r="A2048" i="1"/>
  <c r="G2047" i="1"/>
  <c r="A2047" i="1"/>
  <c r="A2046" i="1"/>
  <c r="A2045" i="1"/>
  <c r="A2044" i="1"/>
  <c r="A2043" i="1"/>
  <c r="A2042" i="1"/>
  <c r="A2041" i="1"/>
  <c r="A2040" i="1"/>
  <c r="A2039" i="1"/>
  <c r="G2038" i="1"/>
  <c r="A2038" i="1"/>
  <c r="A2037" i="1"/>
  <c r="A2036" i="1"/>
  <c r="G2035" i="1"/>
  <c r="A2035" i="1"/>
  <c r="A2034" i="1"/>
  <c r="A2033" i="1"/>
  <c r="A2032" i="1"/>
  <c r="A2031" i="1"/>
  <c r="G2030" i="1"/>
  <c r="A2030" i="1"/>
  <c r="A2029" i="1"/>
  <c r="A2028" i="1"/>
  <c r="G2027" i="1"/>
  <c r="A2027" i="1"/>
  <c r="A2026" i="1"/>
  <c r="A2025" i="1"/>
  <c r="A2024" i="1"/>
  <c r="A2023" i="1"/>
  <c r="A2022" i="1"/>
  <c r="A2021" i="1"/>
  <c r="A2020" i="1"/>
  <c r="G2019" i="1"/>
  <c r="A2019" i="1"/>
  <c r="A2018" i="1"/>
  <c r="A2017" i="1"/>
  <c r="G2016" i="1"/>
  <c r="A2016" i="1"/>
  <c r="A2015" i="1"/>
  <c r="A2014" i="1"/>
  <c r="G2013" i="1"/>
  <c r="A2013" i="1"/>
  <c r="A2012" i="1"/>
  <c r="A2011" i="1"/>
  <c r="G2010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G1991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G1745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G1705" i="1"/>
  <c r="A1705" i="1"/>
  <c r="A1704" i="1"/>
  <c r="G1703" i="1"/>
  <c r="A1703" i="1"/>
  <c r="A1702" i="1"/>
  <c r="A1701" i="1"/>
  <c r="A1700" i="1"/>
  <c r="A1699" i="1"/>
  <c r="A1698" i="1"/>
  <c r="A1697" i="1"/>
  <c r="A1696" i="1"/>
  <c r="G1695" i="1"/>
  <c r="A1695" i="1"/>
  <c r="A1694" i="1"/>
  <c r="A1693" i="1"/>
  <c r="G1692" i="1"/>
  <c r="A1692" i="1"/>
  <c r="A1691" i="1"/>
  <c r="A1690" i="1"/>
  <c r="G1689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G1625" i="1"/>
  <c r="A1625" i="1"/>
  <c r="A1624" i="1"/>
  <c r="A1623" i="1"/>
  <c r="G1622" i="1"/>
  <c r="A1622" i="1"/>
  <c r="A1621" i="1"/>
  <c r="A1620" i="1"/>
  <c r="A1619" i="1"/>
  <c r="A1618" i="1"/>
  <c r="A1617" i="1"/>
  <c r="A1616" i="1"/>
  <c r="A1615" i="1"/>
  <c r="G1614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G1601" i="1"/>
  <c r="A1601" i="1"/>
  <c r="A1600" i="1"/>
  <c r="A1599" i="1"/>
  <c r="A1598" i="1"/>
  <c r="A1597" i="1"/>
  <c r="G1596" i="1"/>
  <c r="A1596" i="1"/>
  <c r="A1595" i="1"/>
  <c r="A1594" i="1"/>
  <c r="A1593" i="1"/>
  <c r="A1592" i="1"/>
  <c r="A1591" i="1"/>
  <c r="A1590" i="1"/>
  <c r="G1589" i="1"/>
  <c r="A1589" i="1"/>
  <c r="A1588" i="1"/>
  <c r="A1587" i="1"/>
  <c r="G1586" i="1"/>
  <c r="A1586" i="1"/>
  <c r="A1585" i="1"/>
  <c r="A1584" i="1"/>
  <c r="G1583" i="1"/>
  <c r="A1583" i="1"/>
  <c r="A1582" i="1"/>
  <c r="A1581" i="1"/>
  <c r="G1580" i="1"/>
  <c r="A1580" i="1"/>
  <c r="A1579" i="1"/>
  <c r="A1578" i="1"/>
  <c r="A1577" i="1"/>
  <c r="A1576" i="1"/>
  <c r="A1575" i="1"/>
  <c r="A1574" i="1"/>
  <c r="A1573" i="1"/>
  <c r="A1572" i="1"/>
  <c r="A1571" i="1"/>
  <c r="G1570" i="1"/>
  <c r="A1570" i="1"/>
  <c r="A1569" i="1"/>
  <c r="A1568" i="1"/>
  <c r="A1567" i="1"/>
  <c r="A1566" i="1"/>
  <c r="G1565" i="1"/>
  <c r="A1565" i="1"/>
  <c r="A1564" i="1"/>
  <c r="A1563" i="1"/>
  <c r="A1562" i="1"/>
  <c r="A1561" i="1"/>
  <c r="A1560" i="1"/>
  <c r="A1559" i="1"/>
  <c r="A1558" i="1"/>
  <c r="G1557" i="1"/>
  <c r="A1557" i="1"/>
  <c r="A1556" i="1"/>
  <c r="A1555" i="1"/>
  <c r="A1554" i="1"/>
  <c r="A1553" i="1"/>
  <c r="A1552" i="1"/>
  <c r="G1551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G1536" i="1"/>
  <c r="A1536" i="1"/>
  <c r="A1535" i="1"/>
  <c r="A1534" i="1"/>
  <c r="A1533" i="1"/>
  <c r="A1532" i="1"/>
  <c r="A1531" i="1"/>
  <c r="A1530" i="1"/>
  <c r="G1529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G1493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G1407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G1389" i="1"/>
  <c r="A1389" i="1"/>
  <c r="A1388" i="1"/>
  <c r="A1387" i="1"/>
  <c r="G1386" i="1"/>
  <c r="A1386" i="1"/>
  <c r="A1385" i="1"/>
  <c r="A1384" i="1"/>
  <c r="G1383" i="1"/>
  <c r="A1383" i="1"/>
  <c r="A1382" i="1"/>
  <c r="A1381" i="1"/>
  <c r="G1380" i="1"/>
  <c r="A1380" i="1"/>
  <c r="A1379" i="1"/>
  <c r="A1378" i="1"/>
  <c r="A1377" i="1"/>
  <c r="A1376" i="1"/>
  <c r="A1375" i="1"/>
  <c r="A1374" i="1"/>
  <c r="A1373" i="1"/>
  <c r="G1372" i="1"/>
  <c r="A1372" i="1"/>
  <c r="A1371" i="1"/>
  <c r="A1370" i="1"/>
  <c r="A1369" i="1"/>
  <c r="A1368" i="1"/>
  <c r="G1367" i="1"/>
  <c r="A1367" i="1"/>
  <c r="A1366" i="1"/>
  <c r="A1365" i="1"/>
  <c r="A1364" i="1"/>
  <c r="A1363" i="1"/>
  <c r="A1362" i="1"/>
  <c r="A1361" i="1"/>
  <c r="G1360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G1304" i="1"/>
  <c r="A1304" i="1"/>
  <c r="A1303" i="1"/>
  <c r="G1302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G1199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G1184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G1161" i="1"/>
  <c r="A1161" i="1"/>
  <c r="A1160" i="1"/>
  <c r="A1159" i="1"/>
  <c r="A1158" i="1"/>
  <c r="A1157" i="1"/>
  <c r="G1156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G1110" i="1"/>
  <c r="A1110" i="1"/>
  <c r="A1109" i="1"/>
  <c r="A1108" i="1"/>
  <c r="A1107" i="1"/>
  <c r="A1106" i="1"/>
  <c r="A1105" i="1"/>
  <c r="G1104" i="1"/>
  <c r="A1104" i="1"/>
  <c r="A1103" i="1"/>
  <c r="A1102" i="1"/>
  <c r="G1101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G1089" i="1"/>
  <c r="A1089" i="1"/>
  <c r="A1088" i="1"/>
  <c r="A1087" i="1"/>
  <c r="A1086" i="1"/>
  <c r="A1085" i="1"/>
  <c r="A1084" i="1"/>
  <c r="A1083" i="1"/>
  <c r="G1082" i="1"/>
  <c r="A1082" i="1"/>
  <c r="A1081" i="1"/>
  <c r="G1080" i="1"/>
  <c r="A1080" i="1"/>
  <c r="A1079" i="1"/>
  <c r="A1078" i="1"/>
  <c r="A1077" i="1"/>
  <c r="A1076" i="1"/>
  <c r="A1075" i="1"/>
  <c r="A1074" i="1"/>
  <c r="A1073" i="1"/>
  <c r="G1072" i="1"/>
  <c r="A1072" i="1"/>
  <c r="G1071" i="1"/>
  <c r="A1071" i="1"/>
  <c r="A1070" i="1"/>
  <c r="A1069" i="1"/>
  <c r="G1068" i="1"/>
  <c r="A1068" i="1"/>
  <c r="A1067" i="1"/>
  <c r="A1066" i="1"/>
  <c r="G1065" i="1"/>
  <c r="A1065" i="1"/>
  <c r="G1064" i="1"/>
  <c r="A1064" i="1"/>
  <c r="A1063" i="1"/>
  <c r="A1062" i="1"/>
  <c r="G1061" i="1"/>
  <c r="A1061" i="1"/>
  <c r="A1060" i="1"/>
  <c r="G1059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G1046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G1024" i="1"/>
  <c r="A1024" i="1"/>
  <c r="A1023" i="1"/>
  <c r="A1022" i="1"/>
  <c r="A1021" i="1"/>
  <c r="A1020" i="1"/>
  <c r="G1019" i="1"/>
  <c r="A1019" i="1"/>
  <c r="G1018" i="1"/>
  <c r="A1018" i="1"/>
  <c r="G1017" i="1"/>
  <c r="A1017" i="1"/>
  <c r="G1016" i="1"/>
  <c r="A1016" i="1"/>
  <c r="A1015" i="1"/>
  <c r="G1014" i="1"/>
  <c r="A1014" i="1"/>
  <c r="A1013" i="1"/>
  <c r="A1012" i="1"/>
  <c r="G1011" i="1"/>
  <c r="A1011" i="1"/>
  <c r="G1010" i="1"/>
  <c r="A1010" i="1"/>
  <c r="G1009" i="1"/>
  <c r="A1009" i="1"/>
  <c r="G1008" i="1"/>
  <c r="A1008" i="1"/>
  <c r="G1007" i="1"/>
  <c r="A1007" i="1"/>
  <c r="A1006" i="1"/>
  <c r="A1005" i="1"/>
  <c r="A1004" i="1"/>
  <c r="A1003" i="1"/>
  <c r="A1002" i="1"/>
  <c r="G1001" i="1"/>
  <c r="A1001" i="1"/>
  <c r="G1000" i="1"/>
  <c r="A1000" i="1"/>
  <c r="A999" i="1"/>
  <c r="A998" i="1"/>
  <c r="G997" i="1"/>
  <c r="A997" i="1"/>
  <c r="G996" i="1"/>
  <c r="A996" i="1"/>
  <c r="A995" i="1"/>
  <c r="G994" i="1"/>
  <c r="A994" i="1"/>
  <c r="G993" i="1"/>
  <c r="A993" i="1"/>
  <c r="A992" i="1"/>
  <c r="G991" i="1"/>
  <c r="A991" i="1"/>
  <c r="A990" i="1"/>
  <c r="A989" i="1"/>
  <c r="A988" i="1"/>
  <c r="G987" i="1"/>
  <c r="A987" i="1"/>
  <c r="G986" i="1"/>
  <c r="A986" i="1"/>
  <c r="G985" i="1"/>
  <c r="A985" i="1"/>
  <c r="A984" i="1"/>
  <c r="G983" i="1"/>
  <c r="A983" i="1"/>
  <c r="G982" i="1"/>
  <c r="A982" i="1"/>
  <c r="A981" i="1"/>
  <c r="A980" i="1"/>
  <c r="G979" i="1"/>
  <c r="A979" i="1"/>
  <c r="A978" i="1"/>
  <c r="G977" i="1"/>
  <c r="A977" i="1"/>
  <c r="A976" i="1"/>
  <c r="A975" i="1"/>
  <c r="G974" i="1"/>
  <c r="A974" i="1"/>
  <c r="G973" i="1"/>
  <c r="A973" i="1"/>
  <c r="G972" i="1"/>
  <c r="A972" i="1"/>
  <c r="A971" i="1"/>
  <c r="G970" i="1"/>
  <c r="A970" i="1"/>
  <c r="G969" i="1"/>
  <c r="A969" i="1"/>
  <c r="G968" i="1"/>
  <c r="A968" i="1"/>
  <c r="A967" i="1"/>
  <c r="A966" i="1"/>
  <c r="G965" i="1"/>
  <c r="A965" i="1"/>
  <c r="A964" i="1"/>
  <c r="G963" i="1"/>
  <c r="A963" i="1"/>
  <c r="A962" i="1"/>
  <c r="G961" i="1"/>
  <c r="A961" i="1"/>
  <c r="A960" i="1"/>
  <c r="G959" i="1"/>
  <c r="A959" i="1"/>
  <c r="A958" i="1"/>
  <c r="A957" i="1"/>
  <c r="A956" i="1"/>
  <c r="A955" i="1"/>
  <c r="A954" i="1"/>
  <c r="A953" i="1"/>
  <c r="A952" i="1"/>
  <c r="G951" i="1"/>
  <c r="A951" i="1"/>
  <c r="A950" i="1"/>
  <c r="G949" i="1"/>
  <c r="A949" i="1"/>
  <c r="A948" i="1"/>
  <c r="G947" i="1"/>
  <c r="A947" i="1"/>
  <c r="A946" i="1"/>
  <c r="A945" i="1"/>
  <c r="G944" i="1"/>
  <c r="A944" i="1"/>
  <c r="G943" i="1"/>
  <c r="A943" i="1"/>
  <c r="A942" i="1"/>
  <c r="A941" i="1"/>
  <c r="A940" i="1"/>
  <c r="A939" i="1"/>
  <c r="A938" i="1"/>
  <c r="A937" i="1"/>
  <c r="A936" i="1"/>
  <c r="G935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G848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G764" i="1"/>
  <c r="A764" i="1"/>
  <c r="A763" i="1"/>
  <c r="A762" i="1"/>
  <c r="G761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G740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G728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G669" i="1"/>
  <c r="A669" i="1"/>
  <c r="A668" i="1"/>
  <c r="A667" i="1"/>
  <c r="G666" i="1"/>
  <c r="A666" i="1"/>
  <c r="A665" i="1"/>
  <c r="A664" i="1"/>
  <c r="A663" i="1"/>
  <c r="A662" i="1"/>
  <c r="A661" i="1"/>
  <c r="A660" i="1"/>
  <c r="A659" i="1"/>
  <c r="A658" i="1"/>
  <c r="A657" i="1"/>
  <c r="G656" i="1"/>
  <c r="A656" i="1"/>
  <c r="A655" i="1"/>
  <c r="G654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G600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G588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G523" i="1"/>
  <c r="A523" i="1"/>
  <c r="A522" i="1"/>
  <c r="A521" i="1"/>
  <c r="A520" i="1"/>
  <c r="A519" i="1"/>
  <c r="G518" i="1"/>
  <c r="A518" i="1"/>
  <c r="A517" i="1"/>
  <c r="A516" i="1"/>
  <c r="A515" i="1"/>
  <c r="A514" i="1"/>
  <c r="A513" i="1"/>
  <c r="A512" i="1"/>
  <c r="A511" i="1"/>
  <c r="A510" i="1"/>
  <c r="A509" i="1"/>
  <c r="A508" i="1"/>
  <c r="G507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G461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G439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G341" i="1"/>
  <c r="A341" i="1"/>
  <c r="G340" i="1"/>
  <c r="A340" i="1"/>
  <c r="G339" i="1"/>
  <c r="A339" i="1"/>
  <c r="G338" i="1"/>
  <c r="A338" i="1"/>
  <c r="A337" i="1"/>
  <c r="A336" i="1"/>
  <c r="G335" i="1"/>
  <c r="A335" i="1"/>
  <c r="A334" i="1"/>
  <c r="G333" i="1"/>
  <c r="A333" i="1"/>
  <c r="A332" i="1"/>
  <c r="A331" i="1"/>
  <c r="A330" i="1"/>
  <c r="G329" i="1"/>
  <c r="A329" i="1"/>
  <c r="A328" i="1"/>
  <c r="G327" i="1"/>
  <c r="A327" i="1"/>
  <c r="G326" i="1"/>
  <c r="A326" i="1"/>
  <c r="A325" i="1"/>
  <c r="G324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G296" i="1"/>
  <c r="A296" i="1"/>
  <c r="A295" i="1"/>
  <c r="A294" i="1"/>
  <c r="A293" i="1"/>
  <c r="A292" i="1"/>
  <c r="A291" i="1"/>
  <c r="A290" i="1"/>
  <c r="A289" i="1"/>
  <c r="A288" i="1"/>
  <c r="A287" i="1"/>
  <c r="G286" i="1"/>
  <c r="A286" i="1"/>
  <c r="G285" i="1"/>
  <c r="A285" i="1"/>
  <c r="A284" i="1"/>
  <c r="A283" i="1"/>
  <c r="G282" i="1"/>
  <c r="A282" i="1"/>
  <c r="A281" i="1"/>
  <c r="A280" i="1"/>
  <c r="G279" i="1"/>
  <c r="A279" i="1"/>
  <c r="G278" i="1"/>
  <c r="A278" i="1"/>
  <c r="A277" i="1"/>
  <c r="G276" i="1"/>
  <c r="A276" i="1"/>
  <c r="G275" i="1"/>
  <c r="A275" i="1"/>
  <c r="G274" i="1"/>
  <c r="A274" i="1"/>
  <c r="A273" i="1"/>
  <c r="A272" i="1"/>
  <c r="A271" i="1"/>
  <c r="A270" i="1"/>
  <c r="A269" i="1"/>
  <c r="A268" i="1"/>
  <c r="A267" i="1"/>
  <c r="A266" i="1"/>
  <c r="G265" i="1"/>
  <c r="A265" i="1"/>
  <c r="G264" i="1"/>
  <c r="A264" i="1"/>
  <c r="G263" i="1"/>
  <c r="A263" i="1"/>
  <c r="A262" i="1"/>
  <c r="G261" i="1"/>
  <c r="A261" i="1"/>
  <c r="G260" i="1"/>
  <c r="A260" i="1"/>
  <c r="G259" i="1"/>
  <c r="A259" i="1"/>
  <c r="A258" i="1"/>
  <c r="G257" i="1"/>
  <c r="A257" i="1"/>
  <c r="G256" i="1"/>
  <c r="A256" i="1"/>
  <c r="A255" i="1"/>
  <c r="A254" i="1"/>
  <c r="A253" i="1"/>
  <c r="G252" i="1"/>
  <c r="A252" i="1"/>
  <c r="A251" i="1"/>
  <c r="G250" i="1"/>
  <c r="A250" i="1"/>
  <c r="A249" i="1"/>
  <c r="G248" i="1"/>
  <c r="A248" i="1"/>
  <c r="A247" i="1"/>
  <c r="G246" i="1"/>
  <c r="A246" i="1"/>
  <c r="A245" i="1"/>
  <c r="A244" i="1"/>
  <c r="G243" i="1"/>
  <c r="A243" i="1"/>
  <c r="A242" i="1"/>
  <c r="G241" i="1"/>
  <c r="A241" i="1"/>
  <c r="A240" i="1"/>
  <c r="G239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G226" i="1"/>
  <c r="A226" i="1"/>
  <c r="G225" i="1"/>
  <c r="A225" i="1"/>
  <c r="G224" i="1"/>
  <c r="A224" i="1"/>
  <c r="G223" i="1"/>
  <c r="A223" i="1"/>
  <c r="G222" i="1"/>
  <c r="A222" i="1"/>
  <c r="G221" i="1"/>
  <c r="A221" i="1"/>
  <c r="G220" i="1"/>
  <c r="A220" i="1"/>
  <c r="G219" i="1"/>
  <c r="A219" i="1"/>
  <c r="A218" i="1"/>
  <c r="A217" i="1"/>
  <c r="A216" i="1"/>
  <c r="A215" i="1"/>
  <c r="G214" i="1"/>
  <c r="A214" i="1"/>
  <c r="G213" i="1"/>
  <c r="A213" i="1"/>
  <c r="G212" i="1"/>
  <c r="A212" i="1"/>
  <c r="G211" i="1"/>
  <c r="A211" i="1"/>
  <c r="G210" i="1"/>
  <c r="A210" i="1"/>
  <c r="A209" i="1"/>
  <c r="A208" i="1"/>
  <c r="G207" i="1"/>
  <c r="A207" i="1"/>
  <c r="G206" i="1"/>
  <c r="A206" i="1"/>
  <c r="G205" i="1"/>
  <c r="A205" i="1"/>
  <c r="G204" i="1"/>
  <c r="A204" i="1"/>
  <c r="G203" i="1"/>
  <c r="A203" i="1"/>
  <c r="G202" i="1"/>
  <c r="A202" i="1"/>
  <c r="G201" i="1"/>
  <c r="A201" i="1"/>
  <c r="G200" i="1"/>
  <c r="A200" i="1"/>
  <c r="G199" i="1"/>
  <c r="A199" i="1"/>
  <c r="G198" i="1"/>
  <c r="A198" i="1"/>
  <c r="A197" i="1"/>
  <c r="A196" i="1"/>
  <c r="G195" i="1"/>
  <c r="A195" i="1"/>
  <c r="G194" i="1"/>
  <c r="A194" i="1"/>
  <c r="G193" i="1"/>
  <c r="A193" i="1"/>
  <c r="G192" i="1"/>
  <c r="A192" i="1"/>
  <c r="G191" i="1"/>
  <c r="A191" i="1"/>
  <c r="G190" i="1"/>
  <c r="A190" i="1"/>
  <c r="G189" i="1"/>
  <c r="A189" i="1"/>
  <c r="G188" i="1"/>
  <c r="A188" i="1"/>
  <c r="A187" i="1"/>
  <c r="A186" i="1"/>
  <c r="G185" i="1"/>
  <c r="A185" i="1"/>
  <c r="G184" i="1"/>
  <c r="A184" i="1"/>
  <c r="G183" i="1"/>
  <c r="A183" i="1"/>
  <c r="G182" i="1"/>
  <c r="A182" i="1"/>
  <c r="G181" i="1"/>
  <c r="A181" i="1"/>
  <c r="G180" i="1"/>
  <c r="A180" i="1"/>
  <c r="A179" i="1"/>
  <c r="A178" i="1"/>
  <c r="A177" i="1"/>
  <c r="G176" i="1"/>
  <c r="A176" i="1"/>
  <c r="A175" i="1"/>
  <c r="A174" i="1"/>
  <c r="A173" i="1"/>
  <c r="A172" i="1"/>
  <c r="A171" i="1"/>
  <c r="A170" i="1"/>
  <c r="G169" i="1"/>
  <c r="A169" i="1"/>
  <c r="G168" i="1"/>
  <c r="A168" i="1"/>
  <c r="G167" i="1"/>
  <c r="A167" i="1"/>
  <c r="A166" i="1"/>
  <c r="A165" i="1"/>
  <c r="A164" i="1"/>
  <c r="A163" i="1"/>
  <c r="G162" i="1"/>
  <c r="A162" i="1"/>
  <c r="A161" i="1"/>
  <c r="G160" i="1"/>
  <c r="A160" i="1"/>
  <c r="G159" i="1"/>
  <c r="A159" i="1"/>
  <c r="G158" i="1"/>
  <c r="A158" i="1"/>
  <c r="A157" i="1"/>
  <c r="G156" i="1"/>
  <c r="A156" i="1"/>
  <c r="A155" i="1"/>
  <c r="A154" i="1"/>
  <c r="G153" i="1"/>
  <c r="A153" i="1"/>
  <c r="G152" i="1"/>
  <c r="A152" i="1"/>
  <c r="A151" i="1"/>
  <c r="G150" i="1"/>
  <c r="A150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A141" i="1"/>
  <c r="G140" i="1"/>
  <c r="A140" i="1"/>
  <c r="G139" i="1"/>
  <c r="A139" i="1"/>
  <c r="A138" i="1"/>
  <c r="A137" i="1"/>
  <c r="G136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G101" i="1"/>
  <c r="A101" i="1"/>
  <c r="A100" i="1"/>
  <c r="A99" i="1"/>
  <c r="A98" i="1"/>
  <c r="A97" i="1"/>
  <c r="A96" i="1"/>
  <c r="G95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桃氏青贤</author>
  </authors>
  <commentList>
    <comment ref="B2186" authorId="0" shapeId="0" xr:uid="{1BCAC0CE-F44B-4012-A479-EF0E35ACC05A}">
      <text>
        <r>
          <rPr>
            <b/>
            <sz val="9"/>
            <color indexed="81"/>
            <rFont val="Tahoma"/>
            <family val="2"/>
          </rPr>
          <t xml:space="preserve">
ỐNG CÁCH NHIỆT HOẶC TRỤC CÁCH NHIỆT</t>
        </r>
      </text>
    </comment>
  </commentList>
</comments>
</file>

<file path=xl/sharedStrings.xml><?xml version="1.0" encoding="utf-8"?>
<sst xmlns="http://schemas.openxmlformats.org/spreadsheetml/2006/main" count="13220" uniqueCount="6121">
  <si>
    <t>STT 序号</t>
  </si>
  <si>
    <t>Tên hàng 型号</t>
  </si>
  <si>
    <t>Mã số sản phẩm 品号</t>
  </si>
  <si>
    <t>Quy cách 规格</t>
  </si>
  <si>
    <t>Tên sản phẩm 品名</t>
  </si>
  <si>
    <t>Trọng lượng
phôi 毛坯单重</t>
  </si>
  <si>
    <t>Chi tiết xâu 每串件数</t>
  </si>
  <si>
    <t>Rung vỏ 振壳</t>
  </si>
  <si>
    <t>Phun cát lớn 大喷砂</t>
  </si>
  <si>
    <t>Phun đầu khuôn 单独喷模头</t>
  </si>
  <si>
    <t>Phun bánh nắp 浸浆的杯盖是</t>
  </si>
  <si>
    <t>Khoan lỗ 钻孔</t>
  </si>
  <si>
    <t>Cắt 大切</t>
  </si>
  <si>
    <t>Mài 研磨</t>
  </si>
  <si>
    <t>KV K-010体</t>
  </si>
  <si>
    <t>010体1</t>
  </si>
  <si>
    <t>288010201060101</t>
  </si>
  <si>
    <t>FNW KV-010 阀体毛坯</t>
  </si>
  <si>
    <t>NPS1 1000CWP CF8M</t>
  </si>
  <si>
    <t>FNW KV-010 阀体毛坯NPS1 1000CWP CF8M</t>
  </si>
  <si>
    <t>010体1/2</t>
  </si>
  <si>
    <t>288010201065001</t>
  </si>
  <si>
    <t>NPS1/2 1000CWP CF8M</t>
  </si>
  <si>
    <t>FNW KV-010 阀体毛坯NPS1/2 1000CWP CF8M</t>
  </si>
  <si>
    <t>010体1/4</t>
  </si>
  <si>
    <t>288010201068201</t>
  </si>
  <si>
    <t>NPS1/4 1000CWP CF8M</t>
  </si>
  <si>
    <t>FNW KV-010 阀体毛坯NPS1/4 1000CWP CF8M</t>
  </si>
  <si>
    <t>010体11/2</t>
  </si>
  <si>
    <t>288010201065101</t>
  </si>
  <si>
    <t>NPS11/2 1000CWP CF8M</t>
  </si>
  <si>
    <t>FNW KV-010 阀体毛坯NPS11/2 1000CWP CF8M</t>
  </si>
  <si>
    <t>010体11/4</t>
  </si>
  <si>
    <t>288010201068001</t>
  </si>
  <si>
    <t>NPS11/4 1000WOG CF8M</t>
  </si>
  <si>
    <t>FNW KV-010 阀体毛坯NPS11/4 1000WOG CF8M</t>
  </si>
  <si>
    <t>010体2</t>
  </si>
  <si>
    <t>288010201060201</t>
  </si>
  <si>
    <t>NPS2 1000CWP CF8M</t>
  </si>
  <si>
    <t>FNW KV-010 阀体毛坯NPS2 1000CWP CF8M</t>
  </si>
  <si>
    <t>010体3/4</t>
  </si>
  <si>
    <t>288010201068601</t>
  </si>
  <si>
    <t>NPS3/4 1000CWP CF8M</t>
  </si>
  <si>
    <t>FNW KV-010 阀体毛坯NPS3/4 1000CWP CF8M</t>
  </si>
  <si>
    <t>288010201068301</t>
  </si>
  <si>
    <t>NPS3/8 1000WOG CF8M</t>
  </si>
  <si>
    <t>FNW KV-010 阀体毛坯NPS3/8 1000WOG CF8M</t>
  </si>
  <si>
    <t>200010201060102</t>
  </si>
  <si>
    <t>KI KV-010 thân phôi  阀体毛坯</t>
  </si>
  <si>
    <t>NPS1 1000WOG CF8M</t>
  </si>
  <si>
    <t>KI KV-010 thân phôi  阀体毛坯NPS1 1000WOG CF8M</t>
  </si>
  <si>
    <t>200010201065002</t>
  </si>
  <si>
    <t>KI KV-010 thân phôi 阀体毛坯</t>
  </si>
  <si>
    <t>NPS1/2 1000WOG CF8M</t>
  </si>
  <si>
    <t>KI KV-010 thân phôi 阀体毛坯NPS1/2 1000WOG CF8M</t>
  </si>
  <si>
    <t>200010201068202</t>
  </si>
  <si>
    <t>NPS1/4 1000WOG CF8M</t>
  </si>
  <si>
    <t>KI KV-010 thân phôi 阀体毛坯NPS1/4 1000WOG CF8M</t>
  </si>
  <si>
    <t>200010201065102</t>
  </si>
  <si>
    <t>NPS11/2 1000WOG CF8M</t>
  </si>
  <si>
    <t>KI KV-010 thân phôi 阀体毛坯NPS11/2 1000WOG CF8M</t>
  </si>
  <si>
    <t>200010201068001</t>
  </si>
  <si>
    <t>KI KV-010 thân phôi 阀体毛坯NPS11/4 1000WOG CF8M</t>
  </si>
  <si>
    <t>200010201060201</t>
  </si>
  <si>
    <t>NPS2 1000WOG CF8M</t>
  </si>
  <si>
    <t>KI KV-010 thân phôi 阀体毛坯NPS2 1000WOG CF8M</t>
  </si>
  <si>
    <t>200010201068602</t>
  </si>
  <si>
    <t>NPS3/4 1000WOG CF8M</t>
  </si>
  <si>
    <t>KI KV-010 thân phôi 阀体毛坯NPS3/4 1000WOG CF8M</t>
  </si>
  <si>
    <t>010体3/8</t>
  </si>
  <si>
    <t>200010201068301</t>
  </si>
  <si>
    <t>KI KV-010 thân phôi 阀体毛坯NPS3/8 1000WOG CF8M</t>
  </si>
  <si>
    <t>KV K-020伸</t>
  </si>
  <si>
    <t>020伸1/4</t>
  </si>
  <si>
    <t>288020224048201</t>
  </si>
  <si>
    <t>FNW KV-020 延伸支架毛坯 (KV-030)</t>
  </si>
  <si>
    <t>NPS1/4 1000WOG CF8</t>
  </si>
  <si>
    <t>FNW KV-020 延伸支架毛坯 (KV-030)NPS1/4 1000WOG CF8</t>
  </si>
  <si>
    <t>020伸1</t>
  </si>
  <si>
    <t>288020224040101</t>
  </si>
  <si>
    <t>FNW KV-020 延伸支架毛坯</t>
  </si>
  <si>
    <t>NPS1 1000WOG CF8</t>
  </si>
  <si>
    <t>FNW KV-020 延伸支架毛坯NPS1 1000WOG CF8</t>
  </si>
  <si>
    <t>020伸11/2</t>
  </si>
  <si>
    <t>288020224045101</t>
  </si>
  <si>
    <t>NPS11/2 1000WOG CF8</t>
  </si>
  <si>
    <t>FNW KV-020 延伸支架毛坯NPS11/2 1000WOG CF8</t>
  </si>
  <si>
    <t>KV K-020体</t>
  </si>
  <si>
    <t>020体1</t>
  </si>
  <si>
    <t>288020201060101</t>
  </si>
  <si>
    <t>FNW KV-020 阀体毛坯</t>
  </si>
  <si>
    <t>FNW KV-020 阀体毛坯NPS1 1000CWP CF8M</t>
  </si>
  <si>
    <t>020体1/2</t>
  </si>
  <si>
    <t>288020201065001</t>
  </si>
  <si>
    <t>FNW KV-020 阀体毛坯NPS1/2 1000CWP CF8M</t>
  </si>
  <si>
    <t>020体3/4</t>
  </si>
  <si>
    <t>288020224048601</t>
  </si>
  <si>
    <t>NPS3/4 1000WOG CF8</t>
  </si>
  <si>
    <t>FNW KV-020 延伸支架毛坯NPS3/4 1000WOG CF8</t>
  </si>
  <si>
    <t>NPS1/2 1000CWP ASTM A351-CF8M</t>
  </si>
  <si>
    <t>FNW KV-020 阀体毛坯NPS1/2 1000CWP ASTM A351-CF8M</t>
  </si>
  <si>
    <t>020体1/4</t>
  </si>
  <si>
    <t>288020201068201</t>
  </si>
  <si>
    <t>FNW KV-020 阀体毛坯NPS1/4 1000WOG CF8M</t>
  </si>
  <si>
    <t>020体11/2</t>
  </si>
  <si>
    <t>288020201065101</t>
  </si>
  <si>
    <t>FNW KV-020 阀体毛坯NPS11/2 1000CWP CF8M</t>
  </si>
  <si>
    <t>020体11/4</t>
  </si>
  <si>
    <t>288020201068001</t>
  </si>
  <si>
    <t>NPS11/4 1000CWP CF8M</t>
  </si>
  <si>
    <t>FNW KV-020 阀体毛坯NPS11/4 1000CWP CF8M</t>
  </si>
  <si>
    <t>020体2</t>
  </si>
  <si>
    <t>288020201060201</t>
  </si>
  <si>
    <t>FNW KV-020 阀体毛坯NPS2 1000CWP CF8M</t>
  </si>
  <si>
    <t>288020201068601</t>
  </si>
  <si>
    <t>FNW KV-020 阀体毛坯NPS3/4 1000WOG CF8M</t>
  </si>
  <si>
    <t>NPS3/4 1000CWP ASTM A351-CF8M</t>
  </si>
  <si>
    <t>FNW KV-020 阀体毛坯NPS3/4 1000CWP ASTM A351-CF8M</t>
  </si>
  <si>
    <t>020体3/8</t>
  </si>
  <si>
    <t>288020201068301</t>
  </si>
  <si>
    <t>NPS3/8 1000CWP CF8M</t>
  </si>
  <si>
    <t>FNW KV-020 阀体毛坯NPS3/8 1000CWP CF8M</t>
  </si>
  <si>
    <t>KV K-020H体</t>
  </si>
  <si>
    <t>020H体1/4</t>
  </si>
  <si>
    <t>288025201068201</t>
  </si>
  <si>
    <t>FNW KV-020H 阀体毛坯 (模具借FNW 020H 3/8)</t>
  </si>
  <si>
    <t>NPS1/4 2000CWP CF8M</t>
  </si>
  <si>
    <t>FNW KV-020H 阀体毛坯 (模具借FNW 020H 3/8)NPS1/4 2000CWP CF8M</t>
  </si>
  <si>
    <t>288025201098201</t>
  </si>
  <si>
    <t>NPS1/4 2000CWP WCB</t>
  </si>
  <si>
    <t>FNW KV-020H 阀体毛坯 (模具借FNW 020H 3/8)NPS1/4 2000CWP WCB</t>
  </si>
  <si>
    <t>020H体1</t>
  </si>
  <si>
    <t>288025201060101</t>
  </si>
  <si>
    <t>FNW KV-020H 阀体毛坯 Thân phôi</t>
  </si>
  <si>
    <t>NPS1 2000CWP CF8M</t>
  </si>
  <si>
    <t>FNW KV-020H 阀体毛坯 Thân phôiNPS1 2000CWP CF8M</t>
  </si>
  <si>
    <t>NPS1 2000CWP ASTM A351-CF8M</t>
  </si>
  <si>
    <t>FNW KV-020H 阀体毛坯 Thân phôiNPS1 2000CWP ASTM A351-CF8M</t>
  </si>
  <si>
    <t>288025201090101</t>
  </si>
  <si>
    <t>FNW KV-020H 阀体毛坯</t>
  </si>
  <si>
    <t>NPS1 2000CWP WCB</t>
  </si>
  <si>
    <t>FNW KV-020H 阀体毛坯NPS1 2000CWP WCB</t>
  </si>
  <si>
    <t>NPS1 2000CWP ASTM A216-WCB</t>
  </si>
  <si>
    <t>FNW KV-020H 阀体毛坯NPS1 2000CWP ASTM A216-WCB</t>
  </si>
  <si>
    <t>020H体1/2</t>
  </si>
  <si>
    <t>288025201095001</t>
  </si>
  <si>
    <t>NPS1/2 2000CWP WCB</t>
  </si>
  <si>
    <t>FNW KV-020H 阀体毛坯NPS1/2 2000CWP WCB</t>
  </si>
  <si>
    <t>NPS1/2 2000CWP ASTM A216-WCB</t>
  </si>
  <si>
    <t>FNW KV-020H 阀体毛坯NPS1/2 2000CWP ASTM A216-WCB</t>
  </si>
  <si>
    <t>288025201065001</t>
  </si>
  <si>
    <t>NPS1/2 2000WOG CF8M</t>
  </si>
  <si>
    <t>FNW KV-020H 阀体毛坯NPS1/2 2000WOG CF8M</t>
  </si>
  <si>
    <t>020H体11/2</t>
  </si>
  <si>
    <t>288025201065101</t>
  </si>
  <si>
    <t>NPS11/2 1500CWP CF8M</t>
  </si>
  <si>
    <t>FNW KV-020H 阀体毛坯NPS11/2 1500CWP CF8M</t>
  </si>
  <si>
    <t>288025201095101</t>
  </si>
  <si>
    <t>NPS11/2 1500CWP WCB</t>
  </si>
  <si>
    <t>FNW KV-020H 阀体毛坯NPS11/2 1500CWP WCB</t>
  </si>
  <si>
    <t>020H体11/4</t>
  </si>
  <si>
    <t>288025201068001</t>
  </si>
  <si>
    <t>NPS11/4 1500CWP CF8M</t>
  </si>
  <si>
    <t>FNW KV-020H 阀体毛坯NPS11/4 1500CWP CF8M</t>
  </si>
  <si>
    <t>288025201098001</t>
  </si>
  <si>
    <t>NPS11/4 1500CWP WCB</t>
  </si>
  <si>
    <t>FNW KV-020H 阀体毛坯NPS11/4 1500CWP WCB</t>
  </si>
  <si>
    <t>020H体2</t>
  </si>
  <si>
    <t>288025201060201</t>
  </si>
  <si>
    <t>NPS2 1500CWP CF8M</t>
  </si>
  <si>
    <t>FNW KV-020H 阀体毛坯NPS2 1500CWP CF8M</t>
  </si>
  <si>
    <t>288025201090201</t>
  </si>
  <si>
    <t>NPS2 1500CWP WCB</t>
  </si>
  <si>
    <t>FNW KV-020H 阀体毛坯NPS2 1500CWP WCB</t>
  </si>
  <si>
    <t>020H体21/2</t>
  </si>
  <si>
    <t>288025201065201</t>
  </si>
  <si>
    <t>NPS21/2 1000CWP CF8M</t>
  </si>
  <si>
    <t>FNW KV-020H 阀体毛坯NPS21/2 1000CWP CF8M</t>
  </si>
  <si>
    <t>288025201095201</t>
  </si>
  <si>
    <t>NPS21/2 1000CWP WCB</t>
  </si>
  <si>
    <t>FNW KV-020H 阀体毛坯NPS21/2 1000CWP WCB</t>
  </si>
  <si>
    <t>020H体3</t>
  </si>
  <si>
    <t>288025201060301</t>
  </si>
  <si>
    <t>NPS3 1000WOG CF8M</t>
  </si>
  <si>
    <t>FNW KV-020H 阀体毛坯NPS3 1000WOG CF8M</t>
  </si>
  <si>
    <t>288025201090301</t>
  </si>
  <si>
    <t>NPS3 1000WOG WCB</t>
  </si>
  <si>
    <t>FNW KV-020H 阀体毛坯NPS3 1000WOG WCB</t>
  </si>
  <si>
    <t>020H体3/4</t>
  </si>
  <si>
    <t>288025201068601</t>
  </si>
  <si>
    <t>NPS3/4 2000CWP CF8M</t>
  </si>
  <si>
    <t>FNW KV-020H 阀体毛坯NPS3/4 2000CWP CF8M</t>
  </si>
  <si>
    <t>288025201098601</t>
  </si>
  <si>
    <t>NPS3/4 2000CWP WCB</t>
  </si>
  <si>
    <t>FNW KV-020H 阀体毛坯NPS3/4 2000CWP WCB</t>
  </si>
  <si>
    <t>020H体3/8</t>
  </si>
  <si>
    <t>288025201068301</t>
  </si>
  <si>
    <t>NPS3/8 2000CWP CF8M</t>
  </si>
  <si>
    <t>FNW KV-020H 阀体毛坯NPS3/8 2000CWP CF8M</t>
  </si>
  <si>
    <t>288025201098301</t>
  </si>
  <si>
    <t>NPS3/8 2000CWP WCB</t>
  </si>
  <si>
    <t>FNW KV-020H 阀体毛坯NPS3/8 2000CWP WCB</t>
  </si>
  <si>
    <t>KV K-020H盖</t>
  </si>
  <si>
    <t>020H盖1/4</t>
  </si>
  <si>
    <t>288025202068201</t>
  </si>
  <si>
    <t>FNW KV-020H 阀盖毛坯 (模具借FNW 020H 3/8)</t>
  </si>
  <si>
    <t>FNW KV-020H 阀盖毛坯 (模具借FNW 020H 3/8)NPS1/4 2000CWP CF8M</t>
  </si>
  <si>
    <t>288025202098201</t>
  </si>
  <si>
    <t>FNW KV-020H 阀盖毛坯 (模具借FNW 020H 3/8)NPS1/4 2000CWP WCB</t>
  </si>
  <si>
    <t>020H盖1</t>
  </si>
  <si>
    <t>288025202060101</t>
  </si>
  <si>
    <t>FNW KV-020H 阀盖毛坯 Nắp phôi</t>
  </si>
  <si>
    <t>FNW KV-020H 阀盖毛坯 Nắp phôiNPS1 2000CWP CF8M</t>
  </si>
  <si>
    <t>288025202090101</t>
  </si>
  <si>
    <t>FNW KV-020H 阀盖毛坯</t>
  </si>
  <si>
    <t>FNW KV-020H 阀盖毛坯NPS1 2000CWP WCB</t>
  </si>
  <si>
    <t>020H盖1/2</t>
  </si>
  <si>
    <t>288025202095001</t>
  </si>
  <si>
    <t>FNW KV-020H 阀盖毛坯NPS1/2 2000CWP WCB</t>
  </si>
  <si>
    <t>288025202065001</t>
  </si>
  <si>
    <t>FNW KV-020H 阀盖毛坯NPS1/2 2000WOG CF8M</t>
  </si>
  <si>
    <t>020H盖11/2</t>
  </si>
  <si>
    <t>288025202065101</t>
  </si>
  <si>
    <t>FNW KV-020H 阀盖毛坯NPS11/2 1500CWP CF8M</t>
  </si>
  <si>
    <t>288025202095101</t>
  </si>
  <si>
    <t>FNW KV-020H 阀盖毛坯NPS11/2 1500CWP WCB</t>
  </si>
  <si>
    <t>020H盖11/4</t>
  </si>
  <si>
    <t>288025202068001</t>
  </si>
  <si>
    <t>FNW KV-020H 阀盖毛坯NPS11/4 1500CWP CF8M</t>
  </si>
  <si>
    <t>288025202098001</t>
  </si>
  <si>
    <t>FNW KV-020H 阀盖毛坯NPS11/4 1500CWP WCB</t>
  </si>
  <si>
    <t>020H盖2</t>
  </si>
  <si>
    <t>288025202060201</t>
  </si>
  <si>
    <t>FNW KV-020H 阀盖毛坯NPS2 1500CWP CF8M</t>
  </si>
  <si>
    <t>288025202090201</t>
  </si>
  <si>
    <t>FNW KV-020H 阀盖毛坯NPS2 1500CWP WCB</t>
  </si>
  <si>
    <t>020H盖3/4</t>
  </si>
  <si>
    <t>288025202098601</t>
  </si>
  <si>
    <t>FNW KV-020H 阀盖毛坯NPS3/4 2000CWP WCB</t>
  </si>
  <si>
    <t>288025202068601</t>
  </si>
  <si>
    <t>NPS3/4 2000CWPCF8M</t>
  </si>
  <si>
    <t>FNW KV-020H 阀盖毛坯NPS3/4 2000CWPCF8M</t>
  </si>
  <si>
    <t>020H盖3/8</t>
  </si>
  <si>
    <t>288025202068301</t>
  </si>
  <si>
    <t>FNW KV-020H 阀盖毛坯NPS3/8 2000CWP CF8M</t>
  </si>
  <si>
    <t>288025202098301</t>
  </si>
  <si>
    <t>FNW KV-020H 阀盖毛坯NPS3/8 2000CWP WCB</t>
  </si>
  <si>
    <t>KV K-020盖</t>
  </si>
  <si>
    <t>020盖3</t>
  </si>
  <si>
    <t>200020202060301</t>
  </si>
  <si>
    <t>KI KV-020 nắp phôi  阀盖毛坯</t>
  </si>
  <si>
    <t>KI KV-020 nắp phôi  阀盖毛坯NPS3 1000WOG CF8M</t>
  </si>
  <si>
    <t>020盖1</t>
  </si>
  <si>
    <t>200020202060101</t>
  </si>
  <si>
    <t>KI KV-020 nắp phôi 阀盖毛坯</t>
  </si>
  <si>
    <t>KI KV-020 nắp phôi 阀盖毛坯NPS1 1000WOG CF8M</t>
  </si>
  <si>
    <t>020盖1/2</t>
  </si>
  <si>
    <t>200020202065001</t>
  </si>
  <si>
    <t>KI KV-020 nắp phôi 阀盖毛坯NPS1/2 1000WOG CF8M</t>
  </si>
  <si>
    <t>020盖1/4</t>
  </si>
  <si>
    <t>200020202068201</t>
  </si>
  <si>
    <t>KI KV-020 nắp phôi 阀盖毛坯NPS1/4 1000WOG CF8M</t>
  </si>
  <si>
    <t>020盖11/2</t>
  </si>
  <si>
    <t>200020202065101</t>
  </si>
  <si>
    <t>KI KV-020 nắp phôi 阀盖毛坯NPS11/2 1000WOG CF8M</t>
  </si>
  <si>
    <t>020盖11/4</t>
  </si>
  <si>
    <t>200020202068001</t>
  </si>
  <si>
    <t>KI KV-020 nắp phôi 阀盖毛坯NPS11/4 1000WOG CF8M</t>
  </si>
  <si>
    <t>020盖2</t>
  </si>
  <si>
    <t>200020202060201</t>
  </si>
  <si>
    <t>KI KV-020 nắp phôi 阀盖毛坯NPS2 1000WOG CF8M</t>
  </si>
  <si>
    <t>020盖21/2</t>
  </si>
  <si>
    <t>200020202065201</t>
  </si>
  <si>
    <t>NPS21/2 1000WOG CF8M</t>
  </si>
  <si>
    <t>KI KV-020 nắp phôi 阀盖毛坯NPS21/2 1000WOG CF8M</t>
  </si>
  <si>
    <t>020盖3/4</t>
  </si>
  <si>
    <t>200020202068601</t>
  </si>
  <si>
    <t>KI KV-020 nắp phôi 阀盖毛坯NPS3/4 1000WOG CF8M</t>
  </si>
  <si>
    <t>020盖3/8</t>
  </si>
  <si>
    <t>200020202068301</t>
  </si>
  <si>
    <t>KI KV-020 nắp phôi 阀盖毛坯NPS3/8 1000WOG CF8M</t>
  </si>
  <si>
    <t>200020201060101</t>
  </si>
  <si>
    <t>KI KV-020 thân phôi 阀体毛坯</t>
  </si>
  <si>
    <t>KI KV-020 thân phôi 阀体毛坯NPS1 1000WOG CF8M</t>
  </si>
  <si>
    <t>200020201065001</t>
  </si>
  <si>
    <t>KI KV-020 thân phôi 阀体毛坯NPS1/2 1000WOG CF8M</t>
  </si>
  <si>
    <t>200020201068201</t>
  </si>
  <si>
    <t>KI KV-020 thân phôi 阀体毛坯NPS1/4 1000WOG CF8M</t>
  </si>
  <si>
    <t>200020201065101</t>
  </si>
  <si>
    <t>KI KV-020 thân phôi 阀体毛坯NPS11/2 1000WOG CF8M</t>
  </si>
  <si>
    <t>200020201068001</t>
  </si>
  <si>
    <t>KI KV-020 thân phôi 阀体毛坯NPS11/4 1000WOG CF8M</t>
  </si>
  <si>
    <t>200020201060201</t>
  </si>
  <si>
    <t>KI KV-020 thân phôi 阀体毛坯NPS2 1000WOG CF8M</t>
  </si>
  <si>
    <t>020体21/2</t>
  </si>
  <si>
    <t>200020201065201</t>
  </si>
  <si>
    <t>KI KV-020 thân phôi 阀体毛坯NPS21/2 1000WOG CF8M</t>
  </si>
  <si>
    <t>020体3</t>
  </si>
  <si>
    <t>200020201060301</t>
  </si>
  <si>
    <t>KI KV-020 thân phôi 阀体毛坯NPS3 1000WOG CF8M</t>
  </si>
  <si>
    <t>200020201068601</t>
  </si>
  <si>
    <t>KI KV-020 thân phôi 阀体毛坯NPS3/4 1000WOG CF8M</t>
  </si>
  <si>
    <t>200020201068301</t>
  </si>
  <si>
    <t>KI KV-020 thân phôi 阀体毛坯NPS3/8 1000WOG CF8M</t>
  </si>
  <si>
    <t>200020202095201</t>
  </si>
  <si>
    <t>KI KV-020 阀盖毛坯</t>
  </si>
  <si>
    <t>NPS21/2 1000WOG WCB</t>
  </si>
  <si>
    <t>KI KV-020 阀盖毛坯NPS21/2 1000WOG WCB</t>
  </si>
  <si>
    <t>200020202090301</t>
  </si>
  <si>
    <t>KI KV-020 阀盖毛坯NPS3 1000WOG WCB</t>
  </si>
  <si>
    <t>KV K-020H伸</t>
  </si>
  <si>
    <t>020H伸1/4</t>
  </si>
  <si>
    <t>200025224048201</t>
  </si>
  <si>
    <t>KI KV-020H 延伸支架毛坯</t>
  </si>
  <si>
    <t>NPS1/4 2000WOG CF8</t>
  </si>
  <si>
    <t>KI KV-020H 延伸支架毛坯NPS1/4 2000WOG CF8</t>
  </si>
  <si>
    <t>020H伸1</t>
  </si>
  <si>
    <t>288025224040101</t>
  </si>
  <si>
    <t>FNW KV-020H 延伸支架毛坯</t>
  </si>
  <si>
    <t>NPS1 CF8</t>
  </si>
  <si>
    <t>KV K-030体</t>
  </si>
  <si>
    <t>030体1</t>
  </si>
  <si>
    <t>288030201060101</t>
  </si>
  <si>
    <t>FNW KV-030 阀体毛坯</t>
  </si>
  <si>
    <t>FNW KV-030 阀体毛坯NPS1 1000CWP CF8M</t>
  </si>
  <si>
    <t>288030201090101</t>
  </si>
  <si>
    <t>NPS1 1000CWP WCB</t>
  </si>
  <si>
    <t>FNW KV-030 阀体毛坯NPS1 1000CWP WCB</t>
  </si>
  <si>
    <t>030体1/2</t>
  </si>
  <si>
    <t>288030201065001</t>
  </si>
  <si>
    <t>FNW KV-030 阀体毛坯NPS1/2 1000CWP CF8M</t>
  </si>
  <si>
    <t>288030201095001</t>
  </si>
  <si>
    <t>NPS1/2 1000CWP WCB</t>
  </si>
  <si>
    <t>FNW KV-030 阀体毛坯NPS1/2 1000CWP WCB</t>
  </si>
  <si>
    <t>030体1/4</t>
  </si>
  <si>
    <t>288030201068201</t>
  </si>
  <si>
    <t>FNW KV-030 阀体毛坯NPS1/4 1000CWP CF8M</t>
  </si>
  <si>
    <t>288030201098201</t>
  </si>
  <si>
    <t>NPS1/4 1000CWP ASTM A216-WCB</t>
  </si>
  <si>
    <t>030体11/2</t>
  </si>
  <si>
    <t>288030201065101</t>
  </si>
  <si>
    <t>FNW KV-030 阀体毛坯NPS11/2 1000CWP CF8M</t>
  </si>
  <si>
    <t>288030201095101</t>
  </si>
  <si>
    <t>NPS11/2 1000CWP WCB</t>
  </si>
  <si>
    <t>FNW KV-030 阀体毛坯NPS11/2 1000CWP WCB</t>
  </si>
  <si>
    <t>030体11/4</t>
  </si>
  <si>
    <t>288030201068001</t>
  </si>
  <si>
    <t>FNW KV-030 阀体毛坯NPS11/4 1000CWP CF8M</t>
  </si>
  <si>
    <t>288030201098001</t>
  </si>
  <si>
    <t>NPS11/4 1000WOG WCB</t>
  </si>
  <si>
    <t>FNW KV-030 阀体毛坯NPS11/4 1000WOG WCB</t>
  </si>
  <si>
    <t>030体2</t>
  </si>
  <si>
    <t>288030201060201</t>
  </si>
  <si>
    <t>FNW KV-030 阀体毛坯NPS2 1000CWP CF8M</t>
  </si>
  <si>
    <t>288030201090201</t>
  </si>
  <si>
    <t>NPS2 1000CWP WCB</t>
  </si>
  <si>
    <t>FNW KV-030 阀体毛坯NPS2 1000CWP WCB</t>
  </si>
  <si>
    <t>030体21/2</t>
  </si>
  <si>
    <t>288030201065201</t>
  </si>
  <si>
    <t>FNW KV-030 阀体毛坯NPS21/2 1000CWP CF8M</t>
  </si>
  <si>
    <t>288030201095201</t>
  </si>
  <si>
    <t>FNW KV-030 阀体毛坯NPS21/2 1000CWP WCB</t>
  </si>
  <si>
    <t>030体3</t>
  </si>
  <si>
    <t>288030201060301</t>
  </si>
  <si>
    <t>NPS3 1000CWP CF8M</t>
  </si>
  <si>
    <t>FNW KV-030 阀体毛坯NPS3 1000CWP CF8M</t>
  </si>
  <si>
    <t>288030201090301</t>
  </si>
  <si>
    <t>NPS3 1000CWP WCB</t>
  </si>
  <si>
    <t>FNW KV-030 阀体毛坯NPS3 1000CWP WCB</t>
  </si>
  <si>
    <t>030体3/4</t>
  </si>
  <si>
    <t>288030201068601</t>
  </si>
  <si>
    <t>FNW KV-030 阀体毛坯NPS3/4 1000CWP CF8M</t>
  </si>
  <si>
    <t>288030201098601</t>
  </si>
  <si>
    <t>NPS3/4 1000CWP WCB</t>
  </si>
  <si>
    <t>FNW KV-030 阀体毛坯NPS3/4 1000CWP WCB</t>
  </si>
  <si>
    <t>030体3/8</t>
  </si>
  <si>
    <t>288030201068301</t>
  </si>
  <si>
    <t>FNW KV-030 阀体毛坯NPS3/8 1000WOG CF8M</t>
  </si>
  <si>
    <t>KV K-030盖</t>
  </si>
  <si>
    <t>030盖1/2</t>
  </si>
  <si>
    <t>200030202065001</t>
  </si>
  <si>
    <t>KI KV-030 nắp phôi  阀盖毛坯</t>
  </si>
  <si>
    <t>KI KV-030 nắp phôi  阀盖毛坯NPS1/2 1000WOG CF8M</t>
  </si>
  <si>
    <t>200030201060101</t>
  </si>
  <si>
    <t>KI KV-030 thân phôi 阀体毛坯</t>
  </si>
  <si>
    <t>KI KV-030 thân phôi 阀体毛坯NPS1 1000WOG CF8M</t>
  </si>
  <si>
    <t>200030201065001</t>
  </si>
  <si>
    <t>KI KV-030 thân phôi 阀体毛坯NPS1/2 1000WOG CF8M</t>
  </si>
  <si>
    <t>200030201068201</t>
  </si>
  <si>
    <t>KI KV-030 thân phôi 阀体毛坯NPS1/4 1000WOG CF8M</t>
  </si>
  <si>
    <t>200030201065101</t>
  </si>
  <si>
    <t>KI KV-030 thân phôi 阀体毛坯NPS11/2 1000WOG CF8M</t>
  </si>
  <si>
    <t>200030201068001</t>
  </si>
  <si>
    <t>KI KV-030 thân phôi 阀体毛坯NPS11/4 1000WOG CF8M</t>
  </si>
  <si>
    <t>200030201060201</t>
  </si>
  <si>
    <t>KI KV-030 thân phôi 阀体毛坯NPS2 1000WOG CF8M</t>
  </si>
  <si>
    <t>200030201065201</t>
  </si>
  <si>
    <t>KI KV-030 thân phôi 阀体毛坯NPS21/2 1000WOG CF8M</t>
  </si>
  <si>
    <t>200030201060301</t>
  </si>
  <si>
    <t>KI KV-030 thân phôi 阀体毛坯NPS3 1000WOG CF8M</t>
  </si>
  <si>
    <t>200030201068601</t>
  </si>
  <si>
    <t>KI KV-030 thân phôi 阀体毛坯NPS3/4 1000WOG CF8M</t>
  </si>
  <si>
    <t>200030201068301</t>
  </si>
  <si>
    <t>KI KV-030 thân phôi 阀体毛坯NPS3/8 1000WOG CF8M</t>
  </si>
  <si>
    <t>200030202095001</t>
  </si>
  <si>
    <t>KI KV-030 阀盖毛坯</t>
  </si>
  <si>
    <t>NPS1/2 1000WOG WCB</t>
  </si>
  <si>
    <t>KI KV-030 阀盖毛坯NPS1/2 1000WOG WCB</t>
  </si>
  <si>
    <t>030盖1</t>
  </si>
  <si>
    <t>200000202060101</t>
  </si>
  <si>
    <t>KI KV-M30 nắp phôi 阀盖毛坯 (KV-M30/KV-030/KV-L30)</t>
  </si>
  <si>
    <t>KI KV-M30 nắp phôi 阀盖毛坯 (KV-M30/KV-030/KV-L30)NPS1 1000WOG CF8M</t>
  </si>
  <si>
    <t>030盖11/2</t>
  </si>
  <si>
    <t>200000202065101</t>
  </si>
  <si>
    <t>KI KV-M30 nắp phôi 阀盖毛坯 (KV-M30/KV-030/KV-L30)NPS11/2 1000WOG CF8M</t>
  </si>
  <si>
    <t>030盖11/4</t>
  </si>
  <si>
    <t>200000202068001</t>
  </si>
  <si>
    <t>KI KV-M30 nắp phôi 阀盖毛坯 (KV-M30/KV-030/KV-L30)NPS11/4 1000WOG CF8M</t>
  </si>
  <si>
    <t>030盖3/4</t>
  </si>
  <si>
    <t>200000202068601</t>
  </si>
  <si>
    <t>KI KV-M30 nắp phôi 阀盖毛坯 (KV-M30/KV-030/KV-L30)NPS3/4 1000WOG CF8M</t>
  </si>
  <si>
    <t>200000202090101</t>
  </si>
  <si>
    <t>KI KV-M30 阀盖毛坯 (KV-M30/KV-030/KV-L30)</t>
  </si>
  <si>
    <t>NPS1 1000WOG WCB</t>
  </si>
  <si>
    <t>KI KV-M30 阀盖毛坯 (KV-M30/KV-030/KV-L30)NPS1 1000WOG WCB</t>
  </si>
  <si>
    <t>200000202095101</t>
  </si>
  <si>
    <t>NPS11/2 1000WOG WCB</t>
  </si>
  <si>
    <t>KI KV-M30 阀盖毛坯 (KV-M30/KV-030/KV-L30)NPS11/2 1000WOG WCB</t>
  </si>
  <si>
    <t>200000202098001</t>
  </si>
  <si>
    <t>KI KV-M30 阀盖毛坯 (KV-M30/KV-030/KV-L30)NPS11/4 1000WOG WCB</t>
  </si>
  <si>
    <t>200000202098601</t>
  </si>
  <si>
    <t>NPS3/4 1000WOG WCB</t>
  </si>
  <si>
    <t>KI KV-M30 阀盖毛坯 (KV-M30/KV-030/KV-L30)NPS3/4 1000WOG WCB</t>
  </si>
  <si>
    <t>KV K-041盖</t>
  </si>
  <si>
    <t>041盖1</t>
  </si>
  <si>
    <t>288041202060101</t>
  </si>
  <si>
    <t>FNW KV-041 阀盖毛坯 (NACE)</t>
  </si>
  <si>
    <t>NPS1 CL150 CF8M</t>
  </si>
  <si>
    <t>FNW KV-041 阀盖毛坯 (NACE)NPS1 CL150 CF8M</t>
  </si>
  <si>
    <t>200041202060101</t>
  </si>
  <si>
    <t>KI KV-041 阀盖毛坯</t>
  </si>
  <si>
    <t>288041202090101</t>
  </si>
  <si>
    <t>NPS1 CL150 WCB</t>
  </si>
  <si>
    <t>FNW KV-041 阀盖毛坯 (NACE)NPS1 CL150 WCB</t>
  </si>
  <si>
    <t>041盖1/2</t>
  </si>
  <si>
    <t>288041202065001</t>
  </si>
  <si>
    <t>NPS1/2 CL150 CF8M</t>
  </si>
  <si>
    <t>FNW KV-041 阀盖毛坯 (NACE)NPS1/2 CL150 CF8M</t>
  </si>
  <si>
    <t>200041202065001</t>
  </si>
  <si>
    <t>288041202095001</t>
  </si>
  <si>
    <t>NPS1/2 CL150 WCB</t>
  </si>
  <si>
    <t>041盖11/2</t>
  </si>
  <si>
    <t>288041202065101</t>
  </si>
  <si>
    <t>NPS11/2 CL150 CF8M</t>
  </si>
  <si>
    <t>FNW KV-041 阀盖毛坯 (NACE)NPS11/2 CL150 CF8M</t>
  </si>
  <si>
    <t>200041202065101</t>
  </si>
  <si>
    <t>041盖11/4</t>
  </si>
  <si>
    <t>200041202068001</t>
  </si>
  <si>
    <t>NPS11/4 CL150 CF8M</t>
  </si>
  <si>
    <t>242041202065101</t>
  </si>
  <si>
    <t>SVF KV-041 阀盖毛坯</t>
  </si>
  <si>
    <t>288041202095101</t>
  </si>
  <si>
    <t>NPS11/2 CL150 WCB</t>
  </si>
  <si>
    <t>041盖2</t>
  </si>
  <si>
    <t>288041202060201</t>
  </si>
  <si>
    <t>NPS2 CL150 CF8M</t>
  </si>
  <si>
    <t>FNW KV-041 阀盖毛坯 (NACE)NPS2 CL150 CF8M</t>
  </si>
  <si>
    <t>200041202060201</t>
  </si>
  <si>
    <t>242041202060201</t>
  </si>
  <si>
    <t>288041202090201</t>
  </si>
  <si>
    <t>NPS2 CL150 WCB</t>
  </si>
  <si>
    <t>FNW KV-041 阀盖毛坯 (NACE)NPS2 CL150 WCB</t>
  </si>
  <si>
    <t>242041202090201</t>
  </si>
  <si>
    <t>041盖21/2</t>
  </si>
  <si>
    <t>288041202065201</t>
  </si>
  <si>
    <t>NPS21/2 CL150 CF8M</t>
  </si>
  <si>
    <t>FNW KV-041 阀盖毛坯 (NACE)NPS21/2 CL150 CF8M</t>
  </si>
  <si>
    <t>242041202065201</t>
  </si>
  <si>
    <t>200041202065201</t>
  </si>
  <si>
    <t>288041202095201</t>
  </si>
  <si>
    <t>NPS21/2 CL150 WCB</t>
  </si>
  <si>
    <t>FNW KV-041 阀盖毛坯 (NACE)NPS21/2 CL150 WCB</t>
  </si>
  <si>
    <t>041盖3</t>
  </si>
  <si>
    <t>288041202060301</t>
  </si>
  <si>
    <t>NPS3 CL150 CF8M</t>
  </si>
  <si>
    <t>FNW KV-041 阀盖毛坯 (NACE)NPS3 CL150 CF8M</t>
  </si>
  <si>
    <t>242041202060301</t>
  </si>
  <si>
    <t>SVF KV-041 阀盖毛坯 (NACE MR 0175)</t>
  </si>
  <si>
    <t>288041202090301</t>
  </si>
  <si>
    <t>NPS3 CL150 WCB</t>
  </si>
  <si>
    <t>FNW KV-041 阀盖毛坯 (NACE)NPS3 CL150 WCB</t>
  </si>
  <si>
    <t>242041202090301</t>
  </si>
  <si>
    <t>SVF KV-041 阀盖毛坯 (NACE)</t>
  </si>
  <si>
    <t>KV K-L61体</t>
  </si>
  <si>
    <t>242161201090301</t>
  </si>
  <si>
    <t>SVF KV-L61-V 阀体毛坯 (增加流向,NACE MR 0175)</t>
  </si>
  <si>
    <t>041盖3/4</t>
  </si>
  <si>
    <t>288041202098601</t>
  </si>
  <si>
    <t>NPS3/4 CL150 WCB</t>
  </si>
  <si>
    <t>288041202068601</t>
  </si>
  <si>
    <t>NPS3/4 CL150 CF8M</t>
  </si>
  <si>
    <t>FNW KV-041 阀盖毛坯 (NACE)NPS3/4 CL150 CF8M</t>
  </si>
  <si>
    <t>200041202068601</t>
  </si>
  <si>
    <t>041盖4</t>
  </si>
  <si>
    <t>288041202060401</t>
  </si>
  <si>
    <t>NPS4 CL150 CF8M</t>
  </si>
  <si>
    <t>FNW KV-041 阀盖毛坯 (NACE)NPS4 CL150 CF8M</t>
  </si>
  <si>
    <t>200041202060401</t>
  </si>
  <si>
    <t>KI KV-041 阀盖毛坯NPS4 CL150 CF8M</t>
  </si>
  <si>
    <t>288041202090401</t>
  </si>
  <si>
    <t>NPS4 CL150 WCB</t>
  </si>
  <si>
    <t>FNW KV-041 阀盖毛坯 (NACE)NPS4 CL150 WCB</t>
  </si>
  <si>
    <t>200041202060301</t>
  </si>
  <si>
    <t>KI KV-041 阀盖毛坯NPS3 CL150 CF8M</t>
  </si>
  <si>
    <t>041盖6</t>
  </si>
  <si>
    <t>288141202060601</t>
  </si>
  <si>
    <t>FNW KV-L41 阀盖毛坯 (NACE)</t>
  </si>
  <si>
    <t>NPS6 CL150 CF8M</t>
  </si>
  <si>
    <t>200141202090601</t>
  </si>
  <si>
    <t>KI KV-L41 阀盖毛坯</t>
  </si>
  <si>
    <t>NPS6 CL150 WCB</t>
  </si>
  <si>
    <t>288141202090601</t>
  </si>
  <si>
    <t>KV K-080伸</t>
  </si>
  <si>
    <t>080伸1</t>
  </si>
  <si>
    <t>288080224040101</t>
  </si>
  <si>
    <t>FNW KV-080 延伸支架毛坯</t>
  </si>
  <si>
    <t>FNW KV-080 延伸支架毛坯NPS1 CF8</t>
  </si>
  <si>
    <t>080伸1/4</t>
  </si>
  <si>
    <t>288080224048201</t>
  </si>
  <si>
    <t>FNW KV-080 延伸支架毛坯NPS1/4 1000WOG CF8</t>
  </si>
  <si>
    <t>080伸11/2</t>
  </si>
  <si>
    <t>288080224045101</t>
  </si>
  <si>
    <t>FNW KV-080 延伸支架毛坯NPS11/2 1000WOG CF8</t>
  </si>
  <si>
    <t>KV K-080支架</t>
  </si>
  <si>
    <t>080支架1</t>
  </si>
  <si>
    <t>200180224040101</t>
  </si>
  <si>
    <t>KI K-080-ND 保温支架毛坯TRỤC CÁCH NHIỆT</t>
  </si>
  <si>
    <t>NPS1 CL800 ASTM A351-CF8</t>
  </si>
  <si>
    <t>KI K-080-ND 保温支架毛坯TRỤC CÁCH NHIỆTNPS1 CL800 ASTM A351-CF8</t>
  </si>
  <si>
    <t>080支架1/2</t>
  </si>
  <si>
    <t>200180224045001</t>
  </si>
  <si>
    <t>NPS1/2 CL800 ASTM A351-CF8</t>
  </si>
  <si>
    <t>KI K-080-ND 保温支架毛坯TRỤC CÁCH NHIỆTNPS1/2 CL800 ASTM A351-CF8</t>
  </si>
  <si>
    <t>080支架11/2</t>
  </si>
  <si>
    <t>200180224045101</t>
  </si>
  <si>
    <t>NPS11/2 CL600 ASTM A351-CF8</t>
  </si>
  <si>
    <t>KI K-080-ND 保温支架毛坯TRỤC CÁCH NHIỆTNPS11/2 CL600 ASTM A351-CF8</t>
  </si>
  <si>
    <t>KV K-080体</t>
  </si>
  <si>
    <t>080体3/8</t>
  </si>
  <si>
    <t>288080201068301</t>
  </si>
  <si>
    <t>FNW KV-080 阀体毛坯 (借KV-080 NPS1/4换字块)</t>
  </si>
  <si>
    <t>NPS3/8 2000CWP ASTM A351-CF8M</t>
  </si>
  <si>
    <t>288080201098301</t>
  </si>
  <si>
    <t>NPS3/8 2000WOG WCB</t>
  </si>
  <si>
    <t>FNW KV-080 阀体毛坯 (借KV-080 NPS1/4换字块)NPS3/8 2000WOG WCB</t>
  </si>
  <si>
    <t>080体2</t>
  </si>
  <si>
    <t>288080201060201</t>
  </si>
  <si>
    <t>FNW KV-080 阀体毛坯 (英制芯棒)</t>
  </si>
  <si>
    <t>FNW KV-080 阀体毛坯 (英制芯棒)NPS2 1500CWP CF8M</t>
  </si>
  <si>
    <t>288080201090201</t>
  </si>
  <si>
    <t>FNW KV-080 阀体毛坯 (英制芯棒)NPS2 1500CWP WCB</t>
  </si>
  <si>
    <t>212018201090201</t>
  </si>
  <si>
    <t>Ladish KV-080-RD 阀体毛坯</t>
  </si>
  <si>
    <t>NPS2 CL600 ASTM A216-WCB</t>
  </si>
  <si>
    <t>2SM080201220201</t>
  </si>
  <si>
    <t>SMITH KV-080 阀体毛坯 (英制芯棒，NACE)</t>
  </si>
  <si>
    <t>NPS2 1500WOG ASTM A351-CN7M</t>
  </si>
  <si>
    <t>2SM080201090201</t>
  </si>
  <si>
    <t>NPS2 1500WOG ASTM A216-WCB</t>
  </si>
  <si>
    <t>2SM080201070201</t>
  </si>
  <si>
    <t>SMITH KV-080 阀体毛坯 (英制芯棒,NACE)</t>
  </si>
  <si>
    <t>NPS2 1500WOG ASTM A351-CF3M</t>
  </si>
  <si>
    <t>212018201070201</t>
  </si>
  <si>
    <t>NPS2 CL600 ASTM A351-CF3M</t>
  </si>
  <si>
    <t>212380201070201</t>
  </si>
  <si>
    <t>Ladish KV-C80 阀体毛坯 (不需做深冷处理，借080-RD换字块，NACE)</t>
  </si>
  <si>
    <t>080体1</t>
  </si>
  <si>
    <t>288080201060101</t>
  </si>
  <si>
    <t>FNW KV-080 阀体毛坯</t>
  </si>
  <si>
    <t>FNW KV-080 阀体毛坯NPS1 2000CWP CF8M</t>
  </si>
  <si>
    <t>288080201090101</t>
  </si>
  <si>
    <t>NPS1 2000WOG WCB</t>
  </si>
  <si>
    <t>FNW KV-080 阀体毛坯NPS1 2000WOG WCB</t>
  </si>
  <si>
    <t>2SM080201090101</t>
  </si>
  <si>
    <t>SMITH KV-080 阀体毛坯 (NACE)</t>
  </si>
  <si>
    <t>NPS1 2000WOG ASTM A216-WCB</t>
  </si>
  <si>
    <t>212018201090101</t>
  </si>
  <si>
    <t>NPS1 CL800 ASTM A216-WCB</t>
  </si>
  <si>
    <t>2SM080201220101</t>
  </si>
  <si>
    <t>NPS1 2000WOG ASTM A351-CN7M</t>
  </si>
  <si>
    <t>2SM080201070101</t>
  </si>
  <si>
    <t>NPS1 2000WOG ASTM A351-CF3M</t>
  </si>
  <si>
    <t>212018201070101</t>
  </si>
  <si>
    <t>NPS1 CL800 ASTM A351-CF3M</t>
  </si>
  <si>
    <t>212380201070101</t>
  </si>
  <si>
    <t>2SM080201960101</t>
  </si>
  <si>
    <t>NPS1 2000WOG ASTM A995-CD3MN</t>
  </si>
  <si>
    <t>212018201960101</t>
  </si>
  <si>
    <t>NPS1 CL800 ASTM A995-CD3MN</t>
  </si>
  <si>
    <t>080体1/2</t>
  </si>
  <si>
    <t>288080201065001</t>
  </si>
  <si>
    <t>NPS1/2 2000CWP CF8M</t>
  </si>
  <si>
    <t>FNW KV-080 阀体毛坯NPS1/2 2000CWP CF8M</t>
  </si>
  <si>
    <t>288080201095001</t>
  </si>
  <si>
    <t>FNW KV-080 阀体毛坯NPS1/2 2000CWP WCB</t>
  </si>
  <si>
    <t>2SM080201095001</t>
  </si>
  <si>
    <t>NPS1/2 2000WOG ASTM A216-WCB</t>
  </si>
  <si>
    <t>212018201095001</t>
  </si>
  <si>
    <t>NPS1/2 CL800 ASTM A216-WCB</t>
  </si>
  <si>
    <t>2SM080201225001</t>
  </si>
  <si>
    <t>NPS1/2 2000WOG ASTM A351-CN7M</t>
  </si>
  <si>
    <t>2SM080201075001</t>
  </si>
  <si>
    <t>NPS1/2 2000WOG ASTM A351-CF3M</t>
  </si>
  <si>
    <t>212380201075001</t>
  </si>
  <si>
    <t>NPS1/2 CL800 ASTM A351-CF3M</t>
  </si>
  <si>
    <t>212018201075001</t>
  </si>
  <si>
    <t>2SM080201965001</t>
  </si>
  <si>
    <t>NPS1/2 2000WOG ASTM A995-CD3MN</t>
  </si>
  <si>
    <t>212018201965001</t>
  </si>
  <si>
    <t>NPS1/2 CL800 ASTM A995-CD3MN</t>
  </si>
  <si>
    <t>080体1/4</t>
  </si>
  <si>
    <t>288080201068201</t>
  </si>
  <si>
    <t>FNW KV-080 阀体毛坯 (1/4/quot;字块)</t>
  </si>
  <si>
    <t>NPS1/4 2000CWP ASTM A351-CF8M</t>
  </si>
  <si>
    <t>288080201098201</t>
  </si>
  <si>
    <t>NPS1/4 2000CWP ASTM A216-WCB</t>
  </si>
  <si>
    <t>080体11/2</t>
  </si>
  <si>
    <t>288080201065101</t>
  </si>
  <si>
    <t>FNW KV-080 阀体毛坯NPS11/2 1500CWP CF8M</t>
  </si>
  <si>
    <t>288080201095101</t>
  </si>
  <si>
    <t>FNW KV-080 阀体毛坯NPS11/2 1500CWP WCB</t>
  </si>
  <si>
    <t>2SM080201095101</t>
  </si>
  <si>
    <t>NPS11/2 1500WOG ASTM A216-WCB</t>
  </si>
  <si>
    <t>212018201095101</t>
  </si>
  <si>
    <t>NPS11/2 CL600 ASTM A216-WCB</t>
  </si>
  <si>
    <t>2SM080201075101</t>
  </si>
  <si>
    <t>NPS11/2 1500WOG ASTM A351-CF3M</t>
  </si>
  <si>
    <t>212018201075101</t>
  </si>
  <si>
    <t>NPS11/2 CL600 ASTM A351-CF3M</t>
  </si>
  <si>
    <t>212380201075101</t>
  </si>
  <si>
    <t>080体11/4</t>
  </si>
  <si>
    <t>288080201068001</t>
  </si>
  <si>
    <t>FNW KV-080 阀体毛坯NPS11/4 1500CWP CF8M</t>
  </si>
  <si>
    <t>288080201098001</t>
  </si>
  <si>
    <t>NPS11/4 1500WOG WCB</t>
  </si>
  <si>
    <t>FNW KV-080 阀体毛坯NPS11/4 1500WOG WCB</t>
  </si>
  <si>
    <t>080体3/4</t>
  </si>
  <si>
    <t>288080201068601</t>
  </si>
  <si>
    <t>FNW KV-080 阀体毛坯NPS3/4 2000CWP CF8M</t>
  </si>
  <si>
    <t>288080201098601</t>
  </si>
  <si>
    <t>FNW KV-080 阀体毛坯NPS3/4 2000CWP WCB</t>
  </si>
  <si>
    <t>2SM080201098601</t>
  </si>
  <si>
    <t>NPS3/4 2000WOG ASTM A216-WCB</t>
  </si>
  <si>
    <t>212018201098601</t>
  </si>
  <si>
    <t>NPS3/4 CL800 ASTM A216-WCB</t>
  </si>
  <si>
    <t>2SM080201228601</t>
  </si>
  <si>
    <t>NPS3/4 2000WOG ASTM A351-CN7M</t>
  </si>
  <si>
    <t>2SM080201078601</t>
  </si>
  <si>
    <t>NPS3/4 2000WOG ASTM A351-CF3M</t>
  </si>
  <si>
    <t>212018201078601</t>
  </si>
  <si>
    <t>NPS3/4 CL800 ASTM A351-CF3M</t>
  </si>
  <si>
    <t>212380201078601</t>
  </si>
  <si>
    <t>2SM080201968601</t>
  </si>
  <si>
    <t>NPS3/4 2000WOG ASTM A995-CD3MN</t>
  </si>
  <si>
    <t>212018201968601</t>
  </si>
  <si>
    <t>NPS3/4 CL800 ASTM A995-CD3MN</t>
  </si>
  <si>
    <t>KV K-080盖</t>
  </si>
  <si>
    <t>200080202065101</t>
  </si>
  <si>
    <t>KI KV-080 阀盖毛坯</t>
  </si>
  <si>
    <t>NPS11/2 1500WOG CF8M</t>
  </si>
  <si>
    <t>KI KV-080 阀盖毛坯NPS11/2 1500WOG CF8M</t>
  </si>
  <si>
    <t>288125201065001</t>
  </si>
  <si>
    <t>FNW KV-L20H 阀体毛坯</t>
  </si>
  <si>
    <t>DN15 2000CWP CF8M</t>
  </si>
  <si>
    <t>FNW KV-L20H 阀体毛坯DN15 2000CWP CF8M</t>
  </si>
  <si>
    <t>288125201068601</t>
  </si>
  <si>
    <t>DN20 2000CWP CF8M</t>
  </si>
  <si>
    <t>FNW KV-L20H 阀体毛坯DN20 2000CWP CF8M</t>
  </si>
  <si>
    <t>288125201060101</t>
  </si>
  <si>
    <t>DN25 2000CWP CF8M</t>
  </si>
  <si>
    <t>FNW KV-L20H 阀体毛坯DN25 2000CWP CF8M</t>
  </si>
  <si>
    <t>288125201065101</t>
  </si>
  <si>
    <t>DN40 1500CWP CF8M</t>
  </si>
  <si>
    <t>FNW KV-L20H 阀体毛坯DN40 1500CWP CF8M</t>
  </si>
  <si>
    <t>288125201060201</t>
  </si>
  <si>
    <t>DN50 1500CWP CF8M</t>
  </si>
  <si>
    <t>FNW KV-L20H 阀体毛坯DN50 1500CWP CF8M</t>
  </si>
  <si>
    <t>288125201065201</t>
  </si>
  <si>
    <t>DN65 PN100 CF8M</t>
  </si>
  <si>
    <t>FNW KV-L20H 阀体毛坯DN65 PN100 CF8M</t>
  </si>
  <si>
    <t>288125201068201</t>
  </si>
  <si>
    <t>DN8 PN130 CF8M</t>
  </si>
  <si>
    <t>FNW KV-L20H 阀体毛坯DN8 PN130 CF8M</t>
  </si>
  <si>
    <t>288125201060301</t>
  </si>
  <si>
    <t>DN80 PN100 CF8M</t>
  </si>
  <si>
    <t>FNW KV-L20H 阀体毛坯DN80 PN100 CF8M</t>
  </si>
  <si>
    <t>KV K-L30体</t>
  </si>
  <si>
    <t>L30体1</t>
  </si>
  <si>
    <t>288130201060101</t>
  </si>
  <si>
    <t>FNW KV-L30 阀体毛坯</t>
  </si>
  <si>
    <t>FNW KV-L30 阀体毛坯NPS1 1000WOG CF8M</t>
  </si>
  <si>
    <t>288130201090101</t>
  </si>
  <si>
    <t>FNW KV-L30 阀体毛坯NPS1 1000WOG WCB</t>
  </si>
  <si>
    <t>L30体1/2</t>
  </si>
  <si>
    <t>288130201065001</t>
  </si>
  <si>
    <t>FNW KV-L30 阀体毛坯NPS1/2 1000WOG CF8M</t>
  </si>
  <si>
    <t>288130201095001</t>
  </si>
  <si>
    <t>NPS1/2 1000CWP ASTM A216-WCB</t>
  </si>
  <si>
    <t>L30体1/4</t>
  </si>
  <si>
    <t>288130201098201</t>
  </si>
  <si>
    <t>NPS1/4 1000CWP WCB</t>
  </si>
  <si>
    <t>FNW KV-L30 阀体毛坯NPS1/4 1000CWP WCB</t>
  </si>
  <si>
    <t>288130201068201</t>
  </si>
  <si>
    <t>NPS1/4 1000CWP ASTM A351-CF8M</t>
  </si>
  <si>
    <t>L30体11/2</t>
  </si>
  <si>
    <t>288130201065101</t>
  </si>
  <si>
    <t>FNW KV-L30 阀体毛坯NPS11/2 1000WOG CF8M</t>
  </si>
  <si>
    <t>288130201095101</t>
  </si>
  <si>
    <t>NPS11/2 1000CWP ASTM A216-WCB</t>
  </si>
  <si>
    <t>L30体11/4</t>
  </si>
  <si>
    <t>288130201068001</t>
  </si>
  <si>
    <t>FNW KV-L30 阀体毛坯NPS11/4 1000CWP CF8M</t>
  </si>
  <si>
    <t>L30体21/2</t>
  </si>
  <si>
    <t>288130201065201</t>
  </si>
  <si>
    <t>FNW KV-L30 阀体毛坯NPS21/2 1000WOG CF8M</t>
  </si>
  <si>
    <t>288130201095201</t>
  </si>
  <si>
    <t>NPS21/2 1000CWP ASTM A216-WCB</t>
  </si>
  <si>
    <t>L30体2</t>
  </si>
  <si>
    <t>288130201060201</t>
  </si>
  <si>
    <t>FNW KV-L30 阀体毛坯NPS2 1000CWP CF8M</t>
  </si>
  <si>
    <t>288130201090201</t>
  </si>
  <si>
    <t>NPS2 1000CWP ASTM A216-WCB</t>
  </si>
  <si>
    <t>L30体3</t>
  </si>
  <si>
    <t>288130201060301</t>
  </si>
  <si>
    <t>FNW KV-L30 阀体毛坯NPS3 1000WOG CF8M</t>
  </si>
  <si>
    <t>288130201090301</t>
  </si>
  <si>
    <t>NPS3 1000CWP ASTM A216-WCB</t>
  </si>
  <si>
    <t>L30体3/4</t>
  </si>
  <si>
    <t>288130201068601</t>
  </si>
  <si>
    <t>FNW KV-L30 阀体毛坯NPS3/4 1000WOG CF8M</t>
  </si>
  <si>
    <t>288130201098601</t>
  </si>
  <si>
    <t>NPS3/4 1000CWP ASTM A216-WCB</t>
  </si>
  <si>
    <t>L30体4</t>
  </si>
  <si>
    <t>288130201060401</t>
  </si>
  <si>
    <t>NPS4 1000WOG CF8M</t>
  </si>
  <si>
    <t>FNW KV-L30 阀体毛坯NPS4 1000WOG CF8M</t>
  </si>
  <si>
    <t>288130201090401</t>
  </si>
  <si>
    <t>NPS4 1000WOG WCB</t>
  </si>
  <si>
    <t>FNW KV-L30 阀体毛坯NPS4 1000WOG WCB</t>
  </si>
  <si>
    <t>KV K-041体</t>
  </si>
  <si>
    <t>041体1/2</t>
  </si>
  <si>
    <t>288141201065001</t>
  </si>
  <si>
    <t>FNW KV-L41 阀体毛坯 (NACE)</t>
  </si>
  <si>
    <t>FNW KV-L41 阀体毛坯 (NACE)NPS1/2 CL150 CF8M</t>
  </si>
  <si>
    <t>200141201065001</t>
  </si>
  <si>
    <t>KI KV-L41 阀体毛坯</t>
  </si>
  <si>
    <t>288141201095001</t>
  </si>
  <si>
    <t>041体11/2</t>
  </si>
  <si>
    <t>288141201065101</t>
  </si>
  <si>
    <t>FNW KV-L41 阀体毛坯 (NACE)NPS11/2 CL150 CF8M</t>
  </si>
  <si>
    <t>200141201065101</t>
  </si>
  <si>
    <t>041体11/4</t>
  </si>
  <si>
    <t>200141201068001</t>
  </si>
  <si>
    <t>288141201095101</t>
  </si>
  <si>
    <t>041体2</t>
  </si>
  <si>
    <t>288141201060201</t>
  </si>
  <si>
    <t>FNW KV-L41 阀体毛坯 (NACE)NPS2 CL150 CF8M</t>
  </si>
  <si>
    <t>242141201090201</t>
  </si>
  <si>
    <t>SVF KV-L41 阀体毛坯 (NACE)</t>
  </si>
  <si>
    <t>242141201060201</t>
  </si>
  <si>
    <t>SVF KV-L41 阀体毛坯</t>
  </si>
  <si>
    <t>242161201090202</t>
  </si>
  <si>
    <t>SVF 阀体毛坯 (增加流向,NACE)</t>
  </si>
  <si>
    <t>288141201090201</t>
  </si>
  <si>
    <t>FNW KV-L41 阀体毛坯 (NACE)NPS2 CL150 WCB</t>
  </si>
  <si>
    <t>KV K-050体</t>
  </si>
  <si>
    <t>050体1</t>
  </si>
  <si>
    <t>288150201060101</t>
  </si>
  <si>
    <t>FNW KV-L50 阀体毛坯</t>
  </si>
  <si>
    <t>FNW KV-L50 阀体毛坯NPS1 1000WOG CF8M</t>
  </si>
  <si>
    <t>050体1/2</t>
  </si>
  <si>
    <t>288150201065001</t>
  </si>
  <si>
    <t>FNW KV-L50 阀体毛坯NPS1/2 1000WOG CF8M</t>
  </si>
  <si>
    <t>050体11/2</t>
  </si>
  <si>
    <t>288150201065101</t>
  </si>
  <si>
    <t>FNW KV-L50 阀体毛坯NPS11/2 1000WOG CF8M</t>
  </si>
  <si>
    <t>050体11/4</t>
  </si>
  <si>
    <t>288150201068001</t>
  </si>
  <si>
    <t>FNW KV-L50 阀体毛坯NPS11/4 1000WOG CF8M</t>
  </si>
  <si>
    <t>050体2</t>
  </si>
  <si>
    <t>288150201060201</t>
  </si>
  <si>
    <t>FNW KV-L50 阀体毛坯NPS2 1000WOG CF8M</t>
  </si>
  <si>
    <t>050体3/4</t>
  </si>
  <si>
    <t>288150201068601</t>
  </si>
  <si>
    <t>FNW KV-L50 阀体毛坯NPS3/4 1000WOG CF8M</t>
  </si>
  <si>
    <t>KV K-061体</t>
  </si>
  <si>
    <t>061体1</t>
  </si>
  <si>
    <t>288161201060101</t>
  </si>
  <si>
    <t>FNW KV-L61 阀体毛坯 (NACE)</t>
  </si>
  <si>
    <t>FNW KV-L61 阀体毛坯 (NACE)NPS1 CL150 CF8M</t>
  </si>
  <si>
    <t>200161201060101</t>
  </si>
  <si>
    <t>KI KV-L61 阀体毛坯</t>
  </si>
  <si>
    <t>061体2</t>
  </si>
  <si>
    <t>200161201060201</t>
  </si>
  <si>
    <t>242161201065101</t>
  </si>
  <si>
    <t>SVF KV-L61 阀体毛坯 (NACE)</t>
  </si>
  <si>
    <t>061体21/2</t>
  </si>
  <si>
    <t>288161201065201</t>
  </si>
  <si>
    <t>FNW KV-L61 阀体毛坯 (NACE)NPS21/2 CL150 CF8M</t>
  </si>
  <si>
    <t>041体21/2</t>
  </si>
  <si>
    <t>242141201065201</t>
  </si>
  <si>
    <t>200141201065201</t>
  </si>
  <si>
    <t>288161201095201</t>
  </si>
  <si>
    <t>FNW KV-L61 阀体毛坯 (NACE)NPS21/2 CL150 WCB</t>
  </si>
  <si>
    <t>061体3</t>
  </si>
  <si>
    <t>288161201060301</t>
  </si>
  <si>
    <t>FNW KV-L61 阀体毛坯 (NACE)NPS3 CL150 CF8M</t>
  </si>
  <si>
    <t>242161201060301</t>
  </si>
  <si>
    <t>288161201090301</t>
  </si>
  <si>
    <t>FNW KV-L61 阀体毛坯 (NACE)NPS3 CL150 WCB</t>
  </si>
  <si>
    <t>061体3/4</t>
  </si>
  <si>
    <t>288161201068601</t>
  </si>
  <si>
    <t>FNW KV-L61 阀体毛坯 (NACE)NPS3/4 CL150 CF8M</t>
  </si>
  <si>
    <t>200161201068601</t>
  </si>
  <si>
    <t>288161201098601</t>
  </si>
  <si>
    <t>061体4</t>
  </si>
  <si>
    <t>288161201060401</t>
  </si>
  <si>
    <t>FNW KV-L61 阀体毛坯 (NACE)NPS4 CL150 CF8M</t>
  </si>
  <si>
    <t>200161201060401</t>
  </si>
  <si>
    <t>KI KV-L61 阀体毛坯NPS4 CL150 CF8M</t>
  </si>
  <si>
    <t>200161201060301</t>
  </si>
  <si>
    <t>KI KV-L61 阀体毛坯 (O-ring)</t>
  </si>
  <si>
    <t>KI KV-L61 阀体毛坯 (O-ring)NPS3 CL150 CF8M</t>
  </si>
  <si>
    <t>288161201090401</t>
  </si>
  <si>
    <t>FNW KV-L61 阀体毛坯 (NACE)NPS4 CL150 WCB</t>
  </si>
  <si>
    <t>288161201090101</t>
  </si>
  <si>
    <t>FNW KV-L61 阀体毛坯 (NACE)NPS1 CL150 WCB</t>
  </si>
  <si>
    <t>KV K-L9C/I体</t>
  </si>
  <si>
    <t>L9C/I体1</t>
  </si>
  <si>
    <t>288495201060101</t>
  </si>
  <si>
    <t>FNW KV-L9C/I 阀体毛坯 (KV-L30换字块)</t>
  </si>
  <si>
    <t>NPS1 400WOG CF8M</t>
  </si>
  <si>
    <t>FNW KV-L9C/I 阀体毛坯 (KV-L30换字块)NPS1 400WOG CF8M</t>
  </si>
  <si>
    <t>L9C/I体1/2</t>
  </si>
  <si>
    <t>288495201065001</t>
  </si>
  <si>
    <t>NPS1/2 400WOG CF8M</t>
  </si>
  <si>
    <t>FNW KV-L9C/I 阀体毛坯 (KV-L30换字块)NPS1/2 400WOG CF8M</t>
  </si>
  <si>
    <t>L9C/I体11/2</t>
  </si>
  <si>
    <t>288495201065101</t>
  </si>
  <si>
    <t>NPS11/2 400CWP CF8M</t>
  </si>
  <si>
    <t>FNW KV-L9C/I 阀体毛坯 (KV-L30换字块)NPS11/2 400CWP CF8M</t>
  </si>
  <si>
    <t>L9C/I体2</t>
  </si>
  <si>
    <t>288495201060201</t>
  </si>
  <si>
    <t>NPS2 400CWP CF8M</t>
  </si>
  <si>
    <t>FNW KV-L9C/I 阀体毛坯 (KV-L30换字块)NPS2 400CWP CF8M</t>
  </si>
  <si>
    <t>242495201060201</t>
  </si>
  <si>
    <t>SVF KV-L9C/I 阀体毛坯 (KV-L30换字块)</t>
  </si>
  <si>
    <t>NPS2 400WOG CF8M</t>
  </si>
  <si>
    <t>L9C/I体21/2</t>
  </si>
  <si>
    <t>288495201065201</t>
  </si>
  <si>
    <t>NPS21/2 400WOG CF8M</t>
  </si>
  <si>
    <t>FNW KV-L9C/I 阀体毛坯 (KV-L30换字块)NPS21/2 400WOG CF8M</t>
  </si>
  <si>
    <t>L9C/I体3</t>
  </si>
  <si>
    <t>288495201060301</t>
  </si>
  <si>
    <t>NPS3 400CWP CF8M</t>
  </si>
  <si>
    <t>FNW KV-L9C/I 阀体毛坯 (KV-L30换字块)NPS3 400CWP CF8M</t>
  </si>
  <si>
    <t>L9C/I体3/4</t>
  </si>
  <si>
    <t>288495201068601</t>
  </si>
  <si>
    <t>NPS3/4 400WOG CF8M</t>
  </si>
  <si>
    <t>FNW KV-L9C/I 阀体毛坯 (KV-L30换字块)NPS3/4 400WOG CF8M</t>
  </si>
  <si>
    <t>L9C/I体4</t>
  </si>
  <si>
    <t>288495201060401</t>
  </si>
  <si>
    <t>NPS4 400WOG CF8M</t>
  </si>
  <si>
    <t>FNW KV-L9C/I 阀体毛坯 (KV-L30换字块)NPS4 400WOG CF8M</t>
  </si>
  <si>
    <t>KV K-L9C/B盖</t>
  </si>
  <si>
    <t>L9C/B盖1</t>
  </si>
  <si>
    <t>200492202060101</t>
  </si>
  <si>
    <t>KI KV-L9C/B 阀盖毛坯</t>
  </si>
  <si>
    <t>KI KV-L9C/B 阀盖毛坯NPS1 400WOG CF8M</t>
  </si>
  <si>
    <t>L9C/B盖1/2</t>
  </si>
  <si>
    <t>200492202065001</t>
  </si>
  <si>
    <t>KI KV-L9C/B 阀盖毛坯NPS1/2 400WOG CF8M</t>
  </si>
  <si>
    <t>L9C/B盖11/2</t>
  </si>
  <si>
    <t>200492202065101</t>
  </si>
  <si>
    <t>NPS11/2 400WOG CF8M</t>
  </si>
  <si>
    <t>KI KV-L9C/B 阀盖毛坯NPS11/2 400WOG CF8M</t>
  </si>
  <si>
    <t>L9C/B盖2</t>
  </si>
  <si>
    <t>200492202060201</t>
  </si>
  <si>
    <t>KI KV-L9C/B 阀盖毛坯NPS2 400WOG CF8M</t>
  </si>
  <si>
    <t>L9C/B盖21/2</t>
  </si>
  <si>
    <t>200492202065201</t>
  </si>
  <si>
    <t>KI KV-L9C/B 阀盖毛坯NPS21/2 400WOG CF8M</t>
  </si>
  <si>
    <t>L9C/B盖3</t>
  </si>
  <si>
    <t>200492202060301</t>
  </si>
  <si>
    <t>NPS3 400WOG CF8M</t>
  </si>
  <si>
    <t>KI KV-L9C/B 阀盖毛坯NPS3 400WOG CF8M</t>
  </si>
  <si>
    <t>L9C/B盖3/4</t>
  </si>
  <si>
    <t>200492202068601</t>
  </si>
  <si>
    <t>KI KV-L9C/B 阀盖毛坯NPS3/4 400WOG CF8M</t>
  </si>
  <si>
    <t>L9C/B盖4</t>
  </si>
  <si>
    <t>200492202060401</t>
  </si>
  <si>
    <t>KI KV-L9C/B 阀盖毛坯NPS4 400WOG CF8M</t>
  </si>
  <si>
    <t>KV K-L9C/A体</t>
  </si>
  <si>
    <t>L9C/A体3</t>
  </si>
  <si>
    <t>242191202070301</t>
  </si>
  <si>
    <t>SVF KV-L91/A 加长侧盖毛坯 (BW)</t>
  </si>
  <si>
    <t>NPS3 400WOG CF3M</t>
  </si>
  <si>
    <t>SVF KV-L91/A 加长侧盖毛坯 (BW)NPS3 400WOG CF3M</t>
  </si>
  <si>
    <t>KV K-L9C/A盖</t>
  </si>
  <si>
    <t>L9C/A盖1</t>
  </si>
  <si>
    <t>242191202070101</t>
  </si>
  <si>
    <t>SVF KV-L91/A 阀盖毛坯 (BW)</t>
  </si>
  <si>
    <t>NPS1 400WOG CF3M</t>
  </si>
  <si>
    <t>SVF KV-L91/A 阀盖毛坯 (BW)NPS1 400WOG CF3M</t>
  </si>
  <si>
    <t>L9C/A盖1/2</t>
  </si>
  <si>
    <t>242191202075001</t>
  </si>
  <si>
    <t>NPS1/2 400WOG CF3M</t>
  </si>
  <si>
    <t>SVF KV-L91/A 阀盖毛坯 (BW)NPS1/2 400WOG CF3M</t>
  </si>
  <si>
    <t>L9C/A盖11/2</t>
  </si>
  <si>
    <t>242191202075101</t>
  </si>
  <si>
    <t>NPS11/2 400WOG CF3M</t>
  </si>
  <si>
    <t>SVF KV-L91/A 阀盖毛坯 (BW)NPS11/2 400WOG CF3M</t>
  </si>
  <si>
    <t>L9C/A盖2</t>
  </si>
  <si>
    <t>242191202070201</t>
  </si>
  <si>
    <t>NPS2 400WOG CF3M</t>
  </si>
  <si>
    <t>SVF KV-L91/A 阀盖毛坯 (BW)NPS2 400WOG CF3M</t>
  </si>
  <si>
    <t>L9C/A盖21/2</t>
  </si>
  <si>
    <t>242191202075201</t>
  </si>
  <si>
    <t>NPS21/2 400WOG CF3M</t>
  </si>
  <si>
    <t>SVF KV-L91/A 阀盖毛坯 (BW)NPS21/2 400WOG CF3M</t>
  </si>
  <si>
    <t>L9C/A盖3/4</t>
  </si>
  <si>
    <t>242191202078601</t>
  </si>
  <si>
    <t>NPS3/4 400WOG CF3M</t>
  </si>
  <si>
    <t>SVF KV-L91/A 阀盖毛坯 (BW)NPS3/4 400WOG CF3M</t>
  </si>
  <si>
    <t>L9C/A盖4</t>
  </si>
  <si>
    <t>242191202070401</t>
  </si>
  <si>
    <t>SVF KV-L91/A 阀盖毛坯 (加长)</t>
  </si>
  <si>
    <t>NPS4 400WOG CF3M</t>
  </si>
  <si>
    <t>SVF KV-L91/A 阀盖毛坯 (加长)NPS4 400WOG CF3M</t>
  </si>
  <si>
    <t>242495201065201</t>
  </si>
  <si>
    <t>SVF KV-L9C/I 阀体毛坯 (KV-L30模具换字块)</t>
  </si>
  <si>
    <t>SVF KV-L9C/I 阀体毛坯 (KV-L30模具换字块)NPS21/2 400WOG CF8M</t>
  </si>
  <si>
    <t>242495201060401</t>
  </si>
  <si>
    <t>SVF KV-L9C/I 阀体毛坯 (O-ring，KV-L30模具换字块)</t>
  </si>
  <si>
    <t>SVF KV-L9C/I 阀体毛坯 (O-ring，KV-L30模具换字块)NPS4 400WOG CF8M</t>
  </si>
  <si>
    <t>242495201060203</t>
  </si>
  <si>
    <t>SVF KV-L9C/I-V 阀体毛坯 (KV-L30换字块,增加流向标识)</t>
  </si>
  <si>
    <t>NPS2 400WOG ASTM A351-CF8M</t>
  </si>
  <si>
    <t>SVF KV-L9C/I-V 阀体毛坯 (KV-L30换字块,增加流向标识)NPS2 400WOG ASTM A351-CF8M</t>
  </si>
  <si>
    <t>242495201065101</t>
  </si>
  <si>
    <t>SVF KV-L9C/I 阀体毛坯 (KV-L30换字块)NPS11/2 400WOG CF8M</t>
  </si>
  <si>
    <t>242495201065001</t>
  </si>
  <si>
    <t>SVF KV-L9C/I 阀体毛坯 (KV-L30换字块)NPS1/2 400WOG CF8M</t>
  </si>
  <si>
    <t>242495201060101</t>
  </si>
  <si>
    <t>SVF KV-L9C/I 阀体毛坯 (KV-L30换字块)NPS1 400WOG CF8M</t>
  </si>
  <si>
    <t>KV K-M1F体</t>
  </si>
  <si>
    <t>M1F体11/2</t>
  </si>
  <si>
    <t>288014201065101</t>
  </si>
  <si>
    <t>FNW KV-M1F 阀体毛坯 (NACE)</t>
  </si>
  <si>
    <t>FNW KV-M1F 阀体毛坯 (NACE)NPS11/2 CL150 CF8M</t>
  </si>
  <si>
    <t>242014201065101</t>
  </si>
  <si>
    <t>SVF KV-M1F 阀体毛坯 (NACE MR 0175)</t>
  </si>
  <si>
    <t>M1F体2</t>
  </si>
  <si>
    <t>288014201060201</t>
  </si>
  <si>
    <t>FNW KV-M1F 阀体毛坯 (NACE)NPS2 CL150 CF8M</t>
  </si>
  <si>
    <t>200014201060201</t>
  </si>
  <si>
    <t>KI KV-M1F 阀体毛坯</t>
  </si>
  <si>
    <t>242014201060201</t>
  </si>
  <si>
    <t>288014201090201</t>
  </si>
  <si>
    <t>FNW KV-M1F 阀体毛坯 (NACE)NPS2 CL150 WCB</t>
  </si>
  <si>
    <t>242014201090201</t>
  </si>
  <si>
    <t>M1F体21/2</t>
  </si>
  <si>
    <t>288014201065201</t>
  </si>
  <si>
    <t>FNW KV-M1F 阀体毛坯 (NACE)NPS21/2 CL150 CF8M</t>
  </si>
  <si>
    <t>288014201095201</t>
  </si>
  <si>
    <t>FNW KV-M1F 阀体毛坯 (NACE)NPS21/2 CL150 WCB</t>
  </si>
  <si>
    <t>M1F体3</t>
  </si>
  <si>
    <t>288014201060301</t>
  </si>
  <si>
    <t>FNW KV-M1F 阀体毛坯 (NACE)NPS3 CL150 CF8M</t>
  </si>
  <si>
    <t>242014201060301</t>
  </si>
  <si>
    <t>288014201090301</t>
  </si>
  <si>
    <t>FNW KV-M1F 阀体毛坯 (NACE)NPS3 CL150 WCB</t>
  </si>
  <si>
    <t>242014201090301</t>
  </si>
  <si>
    <t>SVF KV-M1F 阀体毛坯 (NACE)</t>
  </si>
  <si>
    <t>M1F体4</t>
  </si>
  <si>
    <t>288014201060401</t>
  </si>
  <si>
    <t>FNW KV-M1F 阀体毛坯 (NACE)NPS4 CL150 CF8M</t>
  </si>
  <si>
    <t>288014201090401</t>
  </si>
  <si>
    <t>FNW KV-M1F 阀体毛坯 (NACE)NPS4 CL150 WCB</t>
  </si>
  <si>
    <t>242014201090401</t>
  </si>
  <si>
    <t>M1F体6</t>
  </si>
  <si>
    <t>288014201060601</t>
  </si>
  <si>
    <t>288014201090601</t>
  </si>
  <si>
    <t>242014201090601</t>
  </si>
  <si>
    <t>KI K-02</t>
  </si>
  <si>
    <t>TB1/4</t>
  </si>
  <si>
    <t>2015201040000200</t>
  </si>
  <si>
    <t>KI  K-02 TB</t>
  </si>
  <si>
    <t>1/4 304</t>
  </si>
  <si>
    <t>KI  K-02 TB1/4 304</t>
  </si>
  <si>
    <t>TB3/8</t>
  </si>
  <si>
    <t>2015201040000300</t>
  </si>
  <si>
    <t>3/8 304</t>
  </si>
  <si>
    <t>KI  K-02 TB3/8 304</t>
  </si>
  <si>
    <t>KI K-02 114</t>
  </si>
  <si>
    <t>114TB1</t>
  </si>
  <si>
    <t>2015202010000600</t>
  </si>
  <si>
    <t>KI 114  KI-02 TB</t>
  </si>
  <si>
    <t>1 CF8</t>
  </si>
  <si>
    <t>KI 114  KI-02 TB1 CF8</t>
  </si>
  <si>
    <t>2015202020000600</t>
  </si>
  <si>
    <t>1 CF8M</t>
  </si>
  <si>
    <t>KI 114  KI-02 TB1 CF8M</t>
  </si>
  <si>
    <t>114TB1/2</t>
  </si>
  <si>
    <t>2015202010000400</t>
  </si>
  <si>
    <t>1/2 CF8</t>
  </si>
  <si>
    <t>KI 114  KI-02 TB1/2 CF8</t>
  </si>
  <si>
    <t>2015202020000400</t>
  </si>
  <si>
    <t>1/2 CF8M</t>
  </si>
  <si>
    <t>KI 114  KI-02 TB1/2 CF8M</t>
  </si>
  <si>
    <t>114TB1/4</t>
  </si>
  <si>
    <t>2015202020000200</t>
  </si>
  <si>
    <t>1/4 CF8M</t>
  </si>
  <si>
    <t>KI 114  KI-02 TB1/4 CF8M</t>
  </si>
  <si>
    <t>114TB11/2</t>
  </si>
  <si>
    <t>2015202010000800</t>
  </si>
  <si>
    <t>11/2 CF8</t>
  </si>
  <si>
    <t>KI 114  KI-02 TB11/2 CF8</t>
  </si>
  <si>
    <t>2015202020000800</t>
  </si>
  <si>
    <t>11/2 CF8M</t>
  </si>
  <si>
    <t>KI 114  KI-02 TB11/2 CF8M</t>
  </si>
  <si>
    <t>114TB11/4</t>
  </si>
  <si>
    <t>2015202010000700</t>
  </si>
  <si>
    <t>11/4 CF8</t>
  </si>
  <si>
    <t>KI 114  KI-02 TB11/4 CF8</t>
  </si>
  <si>
    <t>114TB2</t>
  </si>
  <si>
    <t>2015202010000900</t>
  </si>
  <si>
    <t>2 CF8</t>
  </si>
  <si>
    <t>KI 114  KI-02 TB2 CF8</t>
  </si>
  <si>
    <t>2015202020000900</t>
  </si>
  <si>
    <t>2 CF8M</t>
  </si>
  <si>
    <t>KI 114  KI-02 TB2 CF8M</t>
  </si>
  <si>
    <t>114TB21/2</t>
  </si>
  <si>
    <t>2015202020001000</t>
  </si>
  <si>
    <t>21/2 CF8M</t>
  </si>
  <si>
    <t>KI 114  KI-02 TB21/2 CF8M</t>
  </si>
  <si>
    <t>114TB3</t>
  </si>
  <si>
    <t>2015202020001100</t>
  </si>
  <si>
    <t>3 CF8M</t>
  </si>
  <si>
    <t>KI 114  KI-02 TB3 CF8M</t>
  </si>
  <si>
    <t>114TB3/4</t>
  </si>
  <si>
    <t>2015202020000500</t>
  </si>
  <si>
    <t>3/4 CF8M</t>
  </si>
  <si>
    <t>KI 114  KI-02 TB3/4 CF8M</t>
  </si>
  <si>
    <t>114TB3/8</t>
  </si>
  <si>
    <t>2015202020000300</t>
  </si>
  <si>
    <t>3/8 CF8M</t>
  </si>
  <si>
    <t>KI 114  KI-02 TB3/8 CF8M</t>
  </si>
  <si>
    <t>114TB4</t>
  </si>
  <si>
    <t>2015202020001200</t>
  </si>
  <si>
    <t>4 CF8M</t>
  </si>
  <si>
    <t>KI 114  KI-02 TB4 CF8M</t>
  </si>
  <si>
    <t>MB K-02</t>
  </si>
  <si>
    <t>TB1</t>
  </si>
  <si>
    <t>2055201040000600</t>
  </si>
  <si>
    <t>MB  K-02 TB</t>
  </si>
  <si>
    <t>1 304</t>
  </si>
  <si>
    <t>MB  K-02 TB1 304</t>
  </si>
  <si>
    <t>2055201060000600</t>
  </si>
  <si>
    <t>1 316</t>
  </si>
  <si>
    <t>MB  K-02 TB1 316</t>
  </si>
  <si>
    <t>TB1/2</t>
  </si>
  <si>
    <t>2055201040000400</t>
  </si>
  <si>
    <t>1/2 304</t>
  </si>
  <si>
    <t>MB  K-02 TB1/2 304</t>
  </si>
  <si>
    <t>2055201060000400</t>
  </si>
  <si>
    <t>1/2 316</t>
  </si>
  <si>
    <t>MB  K-02 TB1/2 316</t>
  </si>
  <si>
    <t>2055201040000200</t>
  </si>
  <si>
    <t>MB  K-02 TB1/4 304</t>
  </si>
  <si>
    <t>2055201060000200</t>
  </si>
  <si>
    <t>1/4 316</t>
  </si>
  <si>
    <t>MB  K-02 TB1/4 316</t>
  </si>
  <si>
    <t>TB1/8</t>
  </si>
  <si>
    <t>2055201040000100</t>
  </si>
  <si>
    <t>1/8 304</t>
  </si>
  <si>
    <t>MB  K-02 TB1/8 304</t>
  </si>
  <si>
    <t>2055201060000100</t>
  </si>
  <si>
    <t>1/8 316</t>
  </si>
  <si>
    <t>MB  K-02 TB1/8 316</t>
  </si>
  <si>
    <t>TB11/2</t>
  </si>
  <si>
    <t>2055201040000800</t>
  </si>
  <si>
    <t>11/2 304</t>
  </si>
  <si>
    <t>MB  K-02 TB11/2 304</t>
  </si>
  <si>
    <t>2055201060000800</t>
  </si>
  <si>
    <t>11/2 316</t>
  </si>
  <si>
    <t>MB  K-02 TB11/2 316</t>
  </si>
  <si>
    <t>TB11/4</t>
  </si>
  <si>
    <t>2055201040000700</t>
  </si>
  <si>
    <t>11/4 304</t>
  </si>
  <si>
    <t>MB  K-02 TB11/4 304</t>
  </si>
  <si>
    <t>2055201060000700</t>
  </si>
  <si>
    <t>11/4 316</t>
  </si>
  <si>
    <t>MB  K-02 TB11/4 316</t>
  </si>
  <si>
    <t>TB2</t>
  </si>
  <si>
    <t>2055201040000900</t>
  </si>
  <si>
    <t>2 304</t>
  </si>
  <si>
    <t>MB  K-02 TB2 304</t>
  </si>
  <si>
    <t>2055201060000900</t>
  </si>
  <si>
    <t>2 316</t>
  </si>
  <si>
    <t>MB  K-02 TB2 316</t>
  </si>
  <si>
    <t>TB21/2</t>
  </si>
  <si>
    <t>2055201040101000</t>
  </si>
  <si>
    <t>21/2 304 NPT</t>
  </si>
  <si>
    <t>MB  K-02 TB21/2 304 NPT</t>
  </si>
  <si>
    <t>2055201060101000</t>
  </si>
  <si>
    <t>21/2 316 NPT</t>
  </si>
  <si>
    <t>MB  K-02 TB21/2 316 NPT</t>
  </si>
  <si>
    <t>TB3</t>
  </si>
  <si>
    <t>2055201040001100</t>
  </si>
  <si>
    <t>3 304</t>
  </si>
  <si>
    <t>MB  K-02 TB3 304</t>
  </si>
  <si>
    <t>2055201060001100</t>
  </si>
  <si>
    <t>3 316</t>
  </si>
  <si>
    <t>MB  K-02 TB3 316</t>
  </si>
  <si>
    <t>TB3/4</t>
  </si>
  <si>
    <t>2055201040000500</t>
  </si>
  <si>
    <t>3/4 304</t>
  </si>
  <si>
    <t>MB  K-02 TB3/4 304</t>
  </si>
  <si>
    <t>2055201060000500</t>
  </si>
  <si>
    <t>3/4 316</t>
  </si>
  <si>
    <t>MB  K-02 TB3/4 316</t>
  </si>
  <si>
    <t>2055201040000300</t>
  </si>
  <si>
    <t>MB  K-02 TB3/8 304</t>
  </si>
  <si>
    <t>2055201060000300</t>
  </si>
  <si>
    <t>3/8 316</t>
  </si>
  <si>
    <t>MB  K-02 TB3/8 316</t>
  </si>
  <si>
    <t>TB4</t>
  </si>
  <si>
    <t>2055201040001200</t>
  </si>
  <si>
    <t>4 304</t>
  </si>
  <si>
    <t>MB  K-02 TB4 304</t>
  </si>
  <si>
    <t>2055201060001200</t>
  </si>
  <si>
    <t>4 316</t>
  </si>
  <si>
    <t>MB  K-02 TB4 316</t>
  </si>
  <si>
    <t>MB K-02A</t>
  </si>
  <si>
    <t>RTB1*1/2</t>
  </si>
  <si>
    <t>2055211040002410</t>
  </si>
  <si>
    <t>MB  K-02A RTB 热处理</t>
  </si>
  <si>
    <t>1*1/2 304</t>
  </si>
  <si>
    <t>MB  K-02A RTB 热处理1*1/2 304</t>
  </si>
  <si>
    <t>2055211060002410</t>
  </si>
  <si>
    <t>1*1/2 316</t>
  </si>
  <si>
    <t>MB  K-02A RTB 热处理1*1/2 316</t>
  </si>
  <si>
    <t>RTB1*1/4</t>
  </si>
  <si>
    <t>2055211040002610</t>
  </si>
  <si>
    <t>1*1/4 304</t>
  </si>
  <si>
    <t>MB  K-02A RTB 热处理1*1/4 304</t>
  </si>
  <si>
    <t>2055211060002610</t>
  </si>
  <si>
    <t>1*1/4 316</t>
  </si>
  <si>
    <t>MB  K-02A RTB 热处理1*1/4 316</t>
  </si>
  <si>
    <t>RTB1*3/4</t>
  </si>
  <si>
    <t>2055211040002310</t>
  </si>
  <si>
    <t>1*3/4 304</t>
  </si>
  <si>
    <t>MB  K-02A RTB 热处理1*3/4 304</t>
  </si>
  <si>
    <t>2055211060002310</t>
  </si>
  <si>
    <t>1*3/4 316</t>
  </si>
  <si>
    <t>MB  K-02A RTB 热处理1*3/4 316</t>
  </si>
  <si>
    <t>RTB1*3/8</t>
  </si>
  <si>
    <t>2055211040002510</t>
  </si>
  <si>
    <t>1*3/8 304</t>
  </si>
  <si>
    <t>MB  K-02A RTB 热处理1*3/8 304</t>
  </si>
  <si>
    <t>2055211060002510</t>
  </si>
  <si>
    <t>1*3/8 316</t>
  </si>
  <si>
    <t>MB  K-02A RTB 热处理1*3/8 316</t>
  </si>
  <si>
    <t>RTB1/2*1/4</t>
  </si>
  <si>
    <t>2055211040001710</t>
  </si>
  <si>
    <t>1/2*1/4 304</t>
  </si>
  <si>
    <t>MB  K-02A RTB 热处理1/2*1/4 304</t>
  </si>
  <si>
    <t>2055211060001710</t>
  </si>
  <si>
    <t>1/2*1/4 316</t>
  </si>
  <si>
    <t>MB  K-02A RTB 热处理1/2*1/4 316</t>
  </si>
  <si>
    <t>RTB1/2*1/8</t>
  </si>
  <si>
    <t>2055211040001810</t>
  </si>
  <si>
    <t>1/2*1/8 304</t>
  </si>
  <si>
    <t>MB  K-02A RTB 热处理1/2*1/8 304</t>
  </si>
  <si>
    <t>2055211060001810</t>
  </si>
  <si>
    <t>1/2*1/8 316</t>
  </si>
  <si>
    <t>MB  K-02A RTB 热处理1/2*1/8 316</t>
  </si>
  <si>
    <t>RTB1/2*3/8</t>
  </si>
  <si>
    <t>2055211040001610</t>
  </si>
  <si>
    <t>1/2*3/8 304</t>
  </si>
  <si>
    <t>MB  K-02A RTB 热处理1/2*3/8 304</t>
  </si>
  <si>
    <t>2055211060001610</t>
  </si>
  <si>
    <t>1/2*3/8 316</t>
  </si>
  <si>
    <t>MB  K-02A RTB 热处理1/2*3/8 316</t>
  </si>
  <si>
    <t>RTB1/4*1/8</t>
  </si>
  <si>
    <t>2055211040001310</t>
  </si>
  <si>
    <t>1/4*1/8 304</t>
  </si>
  <si>
    <t>MB  K-02A RTB 热处理1/4*1/8 304</t>
  </si>
  <si>
    <t>2055211060001310</t>
  </si>
  <si>
    <t>1/4*1/8 316</t>
  </si>
  <si>
    <t>MB  K-02A RTB 热处理1/4*1/8 316</t>
  </si>
  <si>
    <t>RTB11/2*1</t>
  </si>
  <si>
    <t>2055211040003510</t>
  </si>
  <si>
    <t>11/2*1 304</t>
  </si>
  <si>
    <t>MB  K-02A RTB 热处理11/2*1 304</t>
  </si>
  <si>
    <t>2055211060003510</t>
  </si>
  <si>
    <t>11/2*1 316</t>
  </si>
  <si>
    <t>MB  K-02A RTB 热处理11/2*1 316</t>
  </si>
  <si>
    <t>RTB11/2*11/4</t>
  </si>
  <si>
    <t>2055211040003410</t>
  </si>
  <si>
    <t>11/2*11/4 304</t>
  </si>
  <si>
    <t>MB  K-02A RTB 热处理11/2*11/4 304</t>
  </si>
  <si>
    <t>2055211060003410</t>
  </si>
  <si>
    <t>11/2*11/4 316</t>
  </si>
  <si>
    <t>MB  K-02A RTB 热处理11/2*11/4 316</t>
  </si>
  <si>
    <t>RTB11/2*3/4</t>
  </si>
  <si>
    <t>2055211040003610</t>
  </si>
  <si>
    <t>11/2*3/4 304</t>
  </si>
  <si>
    <t>MB  K-02A RTB 热处理11/2*3/4 304</t>
  </si>
  <si>
    <t>2055211060003610</t>
  </si>
  <si>
    <t>11/2*3/4 316</t>
  </si>
  <si>
    <t>MB  K-02A RTB 热处理11/2*3/4 316</t>
  </si>
  <si>
    <t>RTB11/4*1</t>
  </si>
  <si>
    <t>2055211040002810</t>
  </si>
  <si>
    <t>11/4*1 304</t>
  </si>
  <si>
    <t>MB  K-02A RTB 热处理11/4*1 304</t>
  </si>
  <si>
    <t>2055211060002810</t>
  </si>
  <si>
    <t>11/4*1 316</t>
  </si>
  <si>
    <t>MB  K-02A RTB 热处理11/4*1 316</t>
  </si>
  <si>
    <t>RTB11/4*3/4</t>
  </si>
  <si>
    <t>2055211040002910</t>
  </si>
  <si>
    <t>11/4*3/4 304</t>
  </si>
  <si>
    <t>MB  K-02A RTB 热处理11/4*3/4 304</t>
  </si>
  <si>
    <t>2055211060002910</t>
  </si>
  <si>
    <t>11/4*3/4 316</t>
  </si>
  <si>
    <t>MB  K-02A RTB 热处理11/4*3/4 316</t>
  </si>
  <si>
    <t>RTB2*1</t>
  </si>
  <si>
    <t>2055211040004210</t>
  </si>
  <si>
    <t>2*1 304</t>
  </si>
  <si>
    <t>MB  K-02A RTB 热处理2*1 304</t>
  </si>
  <si>
    <t>2055211060004210</t>
  </si>
  <si>
    <t>2*1 316</t>
  </si>
  <si>
    <t>MB  K-02A RTB 热处理2*1 316</t>
  </si>
  <si>
    <t>RTB2*11/2</t>
  </si>
  <si>
    <t>2055211040004010</t>
  </si>
  <si>
    <t>2*11/2 304</t>
  </si>
  <si>
    <t>MB  K-02A RTB 热处理2*11/2 304</t>
  </si>
  <si>
    <t>2055211060004010</t>
  </si>
  <si>
    <t>2*11/2 316</t>
  </si>
  <si>
    <t>MB  K-02A RTB 热处理2*11/2 316</t>
  </si>
  <si>
    <t>RTB2*11/4</t>
  </si>
  <si>
    <t>2055211040004110</t>
  </si>
  <si>
    <t>2*11/4 304</t>
  </si>
  <si>
    <t>MB  K-02A RTB 热处理2*11/4 304</t>
  </si>
  <si>
    <t>2055211060004110</t>
  </si>
  <si>
    <t>2*11/4 316</t>
  </si>
  <si>
    <t>MB  K-02A RTB 热处理2*11/4 316</t>
  </si>
  <si>
    <t>RTB3/4*1/2</t>
  </si>
  <si>
    <t>2055211040001910</t>
  </si>
  <si>
    <t>3/4*1/2 304</t>
  </si>
  <si>
    <t>MB  K-02A RTB 热处理3/4*1/2 304</t>
  </si>
  <si>
    <t>2055211060001910</t>
  </si>
  <si>
    <t>3/4*1/2 316</t>
  </si>
  <si>
    <t>MB  K-02A RTB 热处理3/4*1/2 316</t>
  </si>
  <si>
    <t>RTB3/4*1/4</t>
  </si>
  <si>
    <t>2055211040002110</t>
  </si>
  <si>
    <t>3/4*1/4 304</t>
  </si>
  <si>
    <t>MB  K-02A RTB 热处理3/4*1/4 304</t>
  </si>
  <si>
    <t>2055211060002110</t>
  </si>
  <si>
    <t>3/4*1/4 316</t>
  </si>
  <si>
    <t>MB  K-02A RTB 热处理3/4*1/4 316</t>
  </si>
  <si>
    <t>RTB3/4*3/8</t>
  </si>
  <si>
    <t>2055211040002010</t>
  </si>
  <si>
    <t>3/4*3/8 304</t>
  </si>
  <si>
    <t>MB  K-02A RTB 热处理3/4*3/8 304</t>
  </si>
  <si>
    <t>2055211060002010</t>
  </si>
  <si>
    <t>3/4*3/8 316</t>
  </si>
  <si>
    <t>MB  K-02A RTB 热处理3/4*3/8 316</t>
  </si>
  <si>
    <t>RTB3/8*1/4</t>
  </si>
  <si>
    <t>2055211040001410</t>
  </si>
  <si>
    <t>3/8*1/4 304</t>
  </si>
  <si>
    <t>MB  K-02A RTB 热处理3/8*1/4 304</t>
  </si>
  <si>
    <t>2055211060001410</t>
  </si>
  <si>
    <t>3/8*1/4 316</t>
  </si>
  <si>
    <t>MB  K-02A RTB 热处理3/8*1/4 316</t>
  </si>
  <si>
    <t>RTB3/8*1/8</t>
  </si>
  <si>
    <t>2055211040001510</t>
  </si>
  <si>
    <t>3/8*1/8 304</t>
  </si>
  <si>
    <t>MB  K-02A RTB 热处理3/8*1/8 304</t>
  </si>
  <si>
    <t>2055211040002300</t>
  </si>
  <si>
    <t>MB  K-02A RTB</t>
  </si>
  <si>
    <t>MB  K-02A RTB1*3/4 304</t>
  </si>
  <si>
    <t>2055211040002800</t>
  </si>
  <si>
    <t>MB  K-02A RTB11/4*1 304</t>
  </si>
  <si>
    <t>2055211040001900</t>
  </si>
  <si>
    <t>MB  K-02A RTB3/4*1/2 304</t>
  </si>
  <si>
    <t>MB K-02 114</t>
  </si>
  <si>
    <t>2055202010100600</t>
  </si>
  <si>
    <t>MB 114 K-02 TB</t>
  </si>
  <si>
    <t>1 CF8 NPT</t>
  </si>
  <si>
    <t>MB 114 K-02 TB1 CF8 NPT</t>
  </si>
  <si>
    <t>2055202020100600</t>
  </si>
  <si>
    <t>1 CF8M NPT</t>
  </si>
  <si>
    <t>MB 114 K-02 TB1 CF8M NPT</t>
  </si>
  <si>
    <t>2055202010100400</t>
  </si>
  <si>
    <t>1/2 CF8 NPT</t>
  </si>
  <si>
    <t>MB 114 K-02 TB1/2 CF8 NPT</t>
  </si>
  <si>
    <t>2055202020100400</t>
  </si>
  <si>
    <t>1/2 CF8M NPT</t>
  </si>
  <si>
    <t>MB 114 K-02 TB1/2 CF8M NPT</t>
  </si>
  <si>
    <t>2055202010100200</t>
  </si>
  <si>
    <t>1/4 CF8 NPT</t>
  </si>
  <si>
    <t>MB 114 K-02 TB1/4 CF8 NPT</t>
  </si>
  <si>
    <t>2055202020100200</t>
  </si>
  <si>
    <t>1/4 CF8M NPT</t>
  </si>
  <si>
    <t>MB 114 K-02 TB1/4 CF8M NPT</t>
  </si>
  <si>
    <t>2055202010100100</t>
  </si>
  <si>
    <t>1/8 CF8 NPT</t>
  </si>
  <si>
    <t>MB 114 K-02 TB1/8 CF8 NPT</t>
  </si>
  <si>
    <t>114TB1/8</t>
  </si>
  <si>
    <t>2055202020100100</t>
  </si>
  <si>
    <t>1/8 CF8M NPT</t>
  </si>
  <si>
    <t>MB 114 K-02 TB1/8 CF8M NPT</t>
  </si>
  <si>
    <t>2055202010100800</t>
  </si>
  <si>
    <t>11/2 CF8 NPT</t>
  </si>
  <si>
    <t>MB 114 K-02 TB11/2 CF8 NPT</t>
  </si>
  <si>
    <t>2055202020100800</t>
  </si>
  <si>
    <t>11/2 CF8M NPT</t>
  </si>
  <si>
    <t>MB 114 K-02 TB11/2 CF8M NPT</t>
  </si>
  <si>
    <t>2055202010100700</t>
  </si>
  <si>
    <t>11/4 CF8 NPT</t>
  </si>
  <si>
    <t>MB 114 K-02 TB11/4 CF8 NPT</t>
  </si>
  <si>
    <t>2055202020100700</t>
  </si>
  <si>
    <t>11/4 CF8M NPT</t>
  </si>
  <si>
    <t>MB 114 K-02 TB11/4 CF8M NPT</t>
  </si>
  <si>
    <t>2015202020000700</t>
  </si>
  <si>
    <t>11/4 CF8M</t>
  </si>
  <si>
    <t>2055202010100900</t>
  </si>
  <si>
    <t>2 CF8 NPT</t>
  </si>
  <si>
    <t>MB 114 K-02 TB2 CF8 NPT</t>
  </si>
  <si>
    <t>2055202020100900</t>
  </si>
  <si>
    <t>2 CF8M NPT</t>
  </si>
  <si>
    <t>MB 114 K-02 TB2 CF8M NPT</t>
  </si>
  <si>
    <t>2055202010101000</t>
  </si>
  <si>
    <t>21/2 CF8 NPT</t>
  </si>
  <si>
    <t>MB 114 K-02 TB21/2 CF8 NPT</t>
  </si>
  <si>
    <t>2055202020101000</t>
  </si>
  <si>
    <t>21/2 CF8M NPT</t>
  </si>
  <si>
    <t>MB 114 K-02 TB21/2 CF8M NPT</t>
  </si>
  <si>
    <t>2055202010101100</t>
  </si>
  <si>
    <t>3 CF8 NPT</t>
  </si>
  <si>
    <t>MB 114 K-02 TB3 CF8 NPT</t>
  </si>
  <si>
    <t>2055202020101100</t>
  </si>
  <si>
    <t>3 CF8M NPT</t>
  </si>
  <si>
    <t>MB 114 K-02 TB3 CF8M NPT</t>
  </si>
  <si>
    <t>2055202010100500</t>
  </si>
  <si>
    <t>3/4 CF8 NPT</t>
  </si>
  <si>
    <t>MB 114 K-02 TB3/4 CF8 NPT</t>
  </si>
  <si>
    <t>2055202020100500</t>
  </si>
  <si>
    <t>3/4 CF8M NPT</t>
  </si>
  <si>
    <t>MB 114 K-02 TB3/4 CF8M NPT</t>
  </si>
  <si>
    <t>2055202010100300</t>
  </si>
  <si>
    <t>3/8 CF8 NPT</t>
  </si>
  <si>
    <t>MB 114 K-02 TB3/8 CF8 NPT</t>
  </si>
  <si>
    <t>2055202020100300</t>
  </si>
  <si>
    <t>3/8 CF8M NPT</t>
  </si>
  <si>
    <t>MB 114 K-02 TB3/8 CF8M NPT</t>
  </si>
  <si>
    <t>2055202010101200</t>
  </si>
  <si>
    <t>4 CF8 NPT</t>
  </si>
  <si>
    <t>MB 114 K-02 TB4 CF8 NPT</t>
  </si>
  <si>
    <t>2055202020101200</t>
  </si>
  <si>
    <t>4 CF8M NPT</t>
  </si>
  <si>
    <t>MB 114 K-02 TB4 CF8M NPT</t>
  </si>
  <si>
    <t>MB K-02C</t>
  </si>
  <si>
    <t>YB1</t>
  </si>
  <si>
    <t>2055231040000610</t>
  </si>
  <si>
    <t>MB  K-02C YB 热处理</t>
  </si>
  <si>
    <t>MB  K-02C YB 热处理1 304</t>
  </si>
  <si>
    <t>2055231060000610</t>
  </si>
  <si>
    <t>MB  K-02C YB 热处理1 316</t>
  </si>
  <si>
    <t>YB1/2</t>
  </si>
  <si>
    <t>2055231040000410</t>
  </si>
  <si>
    <t>MB  K-02C YB 热处理1/2 304</t>
  </si>
  <si>
    <t>YB1/4</t>
  </si>
  <si>
    <t>2055231040000210</t>
  </si>
  <si>
    <t>MB  K-02C YB 热处理1/4 304</t>
  </si>
  <si>
    <t>2055231060000210</t>
  </si>
  <si>
    <t>MB  K-02C YB 热处理1/4 316</t>
  </si>
  <si>
    <t>YB1/8</t>
  </si>
  <si>
    <t>2055231040000110</t>
  </si>
  <si>
    <t>MB  K-02C YB 热处理1/8 304</t>
  </si>
  <si>
    <t>YB11/2</t>
  </si>
  <si>
    <t>2055231040000810</t>
  </si>
  <si>
    <t>MB  K-02C YB 热处理11/2 304</t>
  </si>
  <si>
    <t>2055231060000810</t>
  </si>
  <si>
    <t>MB  K-02C YB 热处理11/2 316</t>
  </si>
  <si>
    <t>YB11/4</t>
  </si>
  <si>
    <t>2055231040000710</t>
  </si>
  <si>
    <t>MB  K-02C YB 热处理11/4 304</t>
  </si>
  <si>
    <t>2055231060000700</t>
  </si>
  <si>
    <t>MB  K-02C YB</t>
  </si>
  <si>
    <t>YB2</t>
  </si>
  <si>
    <t>2055231040000910</t>
  </si>
  <si>
    <t>MB  K-02C YB 热处理2 304</t>
  </si>
  <si>
    <t>2055231060000910</t>
  </si>
  <si>
    <t>MB  K-02C YB 热处理2 316</t>
  </si>
  <si>
    <t>YB3/4</t>
  </si>
  <si>
    <t>2055231040000510</t>
  </si>
  <si>
    <t>MB  K-02C YB 热处理3/4 304</t>
  </si>
  <si>
    <t>YB3/8</t>
  </si>
  <si>
    <t>2055231040000310</t>
  </si>
  <si>
    <t>MB  K-02C YB 热处理3/8 304</t>
  </si>
  <si>
    <t>2055231060000400</t>
  </si>
  <si>
    <t>MB  K-02C YB1/2 316</t>
  </si>
  <si>
    <t>2055231060000100</t>
  </si>
  <si>
    <t>MB  K-02C YB1/8 316</t>
  </si>
  <si>
    <t>2055231060000500</t>
  </si>
  <si>
    <t>MB  K-02C YB3/4 316</t>
  </si>
  <si>
    <t>2055231060000300</t>
  </si>
  <si>
    <t>MB  K-02C YB3/8 316</t>
  </si>
  <si>
    <t>KI K-05</t>
  </si>
  <si>
    <t>LB4511/4</t>
  </si>
  <si>
    <t>2015501060000700</t>
  </si>
  <si>
    <t>KI  K-05 LB45</t>
  </si>
  <si>
    <t>KI  K-05 LB4511/4 316</t>
  </si>
  <si>
    <t>KI K-05 114</t>
  </si>
  <si>
    <t>114LB451/2</t>
  </si>
  <si>
    <t>2015502020100400</t>
  </si>
  <si>
    <t>KI 114  KI-05 LB45</t>
  </si>
  <si>
    <t>KI 114  KI-05 LB451/2 CF8M NPT</t>
  </si>
  <si>
    <t>114LB453/4</t>
  </si>
  <si>
    <t>2015502020100500</t>
  </si>
  <si>
    <t>KI 114  KI-05 LB453/4 CF8M NPT</t>
  </si>
  <si>
    <t>MB K-05</t>
  </si>
  <si>
    <t>LB451</t>
  </si>
  <si>
    <t>2055501040000600</t>
  </si>
  <si>
    <t>MB  K-05 LB45</t>
  </si>
  <si>
    <t>MB  K-05 LB451 304</t>
  </si>
  <si>
    <t>2055501060000600</t>
  </si>
  <si>
    <t>MB  K-05 LB451 316</t>
  </si>
  <si>
    <t>LB451/2</t>
  </si>
  <si>
    <t>2055501040000400</t>
  </si>
  <si>
    <t>MB  K-05 LB451/2 304</t>
  </si>
  <si>
    <t>2055501060000400</t>
  </si>
  <si>
    <t>MB  K-05 LB451/2 316</t>
  </si>
  <si>
    <t>LB451/4</t>
  </si>
  <si>
    <t>2055501040000200</t>
  </si>
  <si>
    <t>MB  K-05 LB451/4 304</t>
  </si>
  <si>
    <t>2055501060000200</t>
  </si>
  <si>
    <t>MB  K-05 LB451/4 316</t>
  </si>
  <si>
    <t>LB451/8</t>
  </si>
  <si>
    <t>2055501040000100</t>
  </si>
  <si>
    <t>MB  K-05 LB451/8 304</t>
  </si>
  <si>
    <t>2055501060000100</t>
  </si>
  <si>
    <t>MB  K-05 LB451/8 316</t>
  </si>
  <si>
    <t>LB4511/2</t>
  </si>
  <si>
    <t>2055501040000800</t>
  </si>
  <si>
    <t>MB  K-05 LB4511/2 304</t>
  </si>
  <si>
    <t>2055501060000800</t>
  </si>
  <si>
    <t>MB  K-05 LB4511/2 316</t>
  </si>
  <si>
    <t>2055501040000700</t>
  </si>
  <si>
    <t>MB  K-05 LB4511/4 304</t>
  </si>
  <si>
    <t>2055501060000700</t>
  </si>
  <si>
    <t>MB  K-05 LB4511/4 316</t>
  </si>
  <si>
    <t>LB452</t>
  </si>
  <si>
    <t>2055501040000900</t>
  </si>
  <si>
    <t>MB  K-05 LB452 304</t>
  </si>
  <si>
    <t>2055501060000900</t>
  </si>
  <si>
    <t>MB  K-05 LB452 316</t>
  </si>
  <si>
    <t>LB4521/2</t>
  </si>
  <si>
    <t>2055501040101000</t>
  </si>
  <si>
    <t>MB  K-05 LB4521/2 304 NPT</t>
  </si>
  <si>
    <t>2055501060101000</t>
  </si>
  <si>
    <t>MB  K-05 LB4521/2 316 NPT</t>
  </si>
  <si>
    <t>LB453</t>
  </si>
  <si>
    <t>2055501040001100</t>
  </si>
  <si>
    <t>MB  K-05 LB453 304</t>
  </si>
  <si>
    <t>2055501060001100</t>
  </si>
  <si>
    <t>MB  K-05 LB453 316</t>
  </si>
  <si>
    <t>LB453/4</t>
  </si>
  <si>
    <t>2055501040000500</t>
  </si>
  <si>
    <t>MB  K-05 LB453/4 304</t>
  </si>
  <si>
    <t>2055501060000500</t>
  </si>
  <si>
    <t>MB  K-05 LB453/4 316</t>
  </si>
  <si>
    <t>LB453/8</t>
  </si>
  <si>
    <t>2055501040000300</t>
  </si>
  <si>
    <t>MB  K-05 LB453/8 304</t>
  </si>
  <si>
    <t>2055501060000300</t>
  </si>
  <si>
    <t>MB  K-05 LB453/8 316</t>
  </si>
  <si>
    <t>LB454</t>
  </si>
  <si>
    <t>2055501040001200</t>
  </si>
  <si>
    <t>MB  K-05 LB454 304</t>
  </si>
  <si>
    <t>2055501060001200</t>
  </si>
  <si>
    <t>MB  K-05 LB454 316</t>
  </si>
  <si>
    <t>MB K-05 114</t>
  </si>
  <si>
    <t>114LB451</t>
  </si>
  <si>
    <t>2055502010100600</t>
  </si>
  <si>
    <t>MB 114 K-05 LB45</t>
  </si>
  <si>
    <t>MB 114 K-05 LB451 CF8 NPT</t>
  </si>
  <si>
    <t>2055502020100600</t>
  </si>
  <si>
    <t>MB 114 K-05 LB451 CF8M NPT</t>
  </si>
  <si>
    <t>2015502020100600</t>
  </si>
  <si>
    <t>KI 114  KI-05 LB451 CF8M NPT</t>
  </si>
  <si>
    <t>2055502010100400</t>
  </si>
  <si>
    <t>MB 114 K-05 LB451/2 CF8 NPT</t>
  </si>
  <si>
    <t>2055502020100400</t>
  </si>
  <si>
    <t>MB 114 K-05 LB451/2 CF8M NPT</t>
  </si>
  <si>
    <t>114LB451/4</t>
  </si>
  <si>
    <t>2055502010100200</t>
  </si>
  <si>
    <t>MB 114 K-05 LB451/4 CF8 NPT</t>
  </si>
  <si>
    <t>2055502020100200</t>
  </si>
  <si>
    <t>MB 114 K-05 LB451/4 CF8M NPT</t>
  </si>
  <si>
    <t>2015502020100200</t>
  </si>
  <si>
    <t>KI 114  KI-05 LB451/4 CF8M NPT</t>
  </si>
  <si>
    <t>114LB451/8</t>
  </si>
  <si>
    <t>2055502010100100</t>
  </si>
  <si>
    <t>MB 114 K-05 LB451/8 CF8 NPT</t>
  </si>
  <si>
    <t>2055502020100100</t>
  </si>
  <si>
    <t>MB 114 K-05 LB451/8 CF8M NPT</t>
  </si>
  <si>
    <t>2015502020100100</t>
  </si>
  <si>
    <t>114LB4511/2</t>
  </si>
  <si>
    <t>2055502010100800</t>
  </si>
  <si>
    <t>MB 114 K-05 LB4511/2 CF8 NPT</t>
  </si>
  <si>
    <t>2055502020100800</t>
  </si>
  <si>
    <t>MB 114 K-05 LB4511/2 CF8M NPT</t>
  </si>
  <si>
    <t>114LB4511/4</t>
  </si>
  <si>
    <t>2055502010100700</t>
  </si>
  <si>
    <t>MB 114 K-05 LB4511/4 CF8 NPT</t>
  </si>
  <si>
    <t>2055502020100700</t>
  </si>
  <si>
    <t>MB 114 K-05 LB4511/4 CF8M NPT</t>
  </si>
  <si>
    <t>2015502020100700</t>
  </si>
  <si>
    <t>KI 114  KI-05 LB4511/4 CF8M NPT</t>
  </si>
  <si>
    <t>114LB452</t>
  </si>
  <si>
    <t>2055502010100900</t>
  </si>
  <si>
    <t>MB 114 K-05 LB452 CF8 NPT</t>
  </si>
  <si>
    <t>2055502020100900</t>
  </si>
  <si>
    <t>MB 114 K-05 LB452 CF8M NPT</t>
  </si>
  <si>
    <t>2015502020100900</t>
  </si>
  <si>
    <t>KI 114  KI-05 LB452 CF8M NPT</t>
  </si>
  <si>
    <t>114LB4521/2</t>
  </si>
  <si>
    <t>2055502010101000</t>
  </si>
  <si>
    <t>MB 114 K-05 LB4521/2 CF8 NPT</t>
  </si>
  <si>
    <t>2055502020101000</t>
  </si>
  <si>
    <t>MB 114 K-05 LB4521/2 CF8M NPT</t>
  </si>
  <si>
    <t>2015502020101000</t>
  </si>
  <si>
    <t>KI 114 K-05 LB45</t>
  </si>
  <si>
    <t>114LB453</t>
  </si>
  <si>
    <t>2055502010101100</t>
  </si>
  <si>
    <t>MB 114 K-05 LB453 CF8 NPT</t>
  </si>
  <si>
    <t>2055502020101100</t>
  </si>
  <si>
    <t>MB 114 K-05 LB453 CF8M NPT</t>
  </si>
  <si>
    <t>2015502020101100</t>
  </si>
  <si>
    <t>KI 114  KI-05 LB453 CF8M NPT</t>
  </si>
  <si>
    <t>2055502010100500</t>
  </si>
  <si>
    <t>MB 114 K-05 LB453/4 CF8 NPT</t>
  </si>
  <si>
    <t>2015502010100500</t>
  </si>
  <si>
    <t>2055502020100500</t>
  </si>
  <si>
    <t>MB 114 K-05 LB453/4 CF8M NPT</t>
  </si>
  <si>
    <t>114LB453/8</t>
  </si>
  <si>
    <t>2055502010100300</t>
  </si>
  <si>
    <t>MB 114 K-05 LB453/8 CF8 NPT</t>
  </si>
  <si>
    <t>2055502020100300</t>
  </si>
  <si>
    <t>MB 114 K-05 LB453/8 CF8M NPT</t>
  </si>
  <si>
    <t>114LB454</t>
  </si>
  <si>
    <t>2055502010101200</t>
  </si>
  <si>
    <t>MB 114 K-05 LB454 CF8 NPT</t>
  </si>
  <si>
    <t>2055502020101200</t>
  </si>
  <si>
    <t>MB 114 K-05 LB454 CF8M NPT</t>
  </si>
  <si>
    <t>2015502020001200</t>
  </si>
  <si>
    <t>KI 114 K-05 LB454 CF8M</t>
  </si>
  <si>
    <t>KI K-06</t>
  </si>
  <si>
    <t>CU1#1</t>
  </si>
  <si>
    <t>2016001010300601</t>
  </si>
  <si>
    <t>KI  K-06 CU1#</t>
  </si>
  <si>
    <t>1 CF8 DIN</t>
  </si>
  <si>
    <t>KI  K-06 CU1#1 CF8 DIN</t>
  </si>
  <si>
    <t>2016001020300601</t>
  </si>
  <si>
    <t>1 CF8M DIN</t>
  </si>
  <si>
    <t>KI  K-06 CU1#1 CF8M DIN</t>
  </si>
  <si>
    <t>CU1#1/2</t>
  </si>
  <si>
    <t>2016001010300401</t>
  </si>
  <si>
    <t>1/2 CF8 DIN</t>
  </si>
  <si>
    <t>KI  K-06 CU1#1/2 CF8 DIN</t>
  </si>
  <si>
    <t>2016001020300401</t>
  </si>
  <si>
    <t>1/2 CF8M DIN</t>
  </si>
  <si>
    <t>KI  K-06 CU1#1/2 CF8M DIN</t>
  </si>
  <si>
    <t>CU1#1/4</t>
  </si>
  <si>
    <t>2016001010300201</t>
  </si>
  <si>
    <t>1/4 CF8 DIN</t>
  </si>
  <si>
    <t>KI  K-06 CU1#1/4 CF8 DIN</t>
  </si>
  <si>
    <t>2016001020300201</t>
  </si>
  <si>
    <t>1/4 CF8M DIN</t>
  </si>
  <si>
    <t>KI  K-06 CU1#1/4 CF8M DIN</t>
  </si>
  <si>
    <t>CU1#1/8</t>
  </si>
  <si>
    <t>2016001010300101</t>
  </si>
  <si>
    <t>1/8 CF8 DIN</t>
  </si>
  <si>
    <t>KI  K-06 CU1#1/8 CF8 DIN</t>
  </si>
  <si>
    <t>2016001020300101</t>
  </si>
  <si>
    <t>1/8 CF8M DIN</t>
  </si>
  <si>
    <t>KI  K-06 CU1#1/8 CF8M DIN</t>
  </si>
  <si>
    <t>CU1#11/2</t>
  </si>
  <si>
    <t>2016001010300801</t>
  </si>
  <si>
    <t>11/2 CF8 DIN</t>
  </si>
  <si>
    <t>KI  K-06 CU1#11/2 CF8 DIN</t>
  </si>
  <si>
    <t>2016001020300801</t>
  </si>
  <si>
    <t>11/2 CF8M DIN</t>
  </si>
  <si>
    <t>KI  K-06 CU1#11/2 CF8M DIN</t>
  </si>
  <si>
    <t>CU1#11/4</t>
  </si>
  <si>
    <t>2016001010300701</t>
  </si>
  <si>
    <t>11/4 CF8 DIN</t>
  </si>
  <si>
    <t>KI  K-06 CU1#11/4 CF8 DIN</t>
  </si>
  <si>
    <t>2016001020300701</t>
  </si>
  <si>
    <t>11/4 CF8M DIN</t>
  </si>
  <si>
    <t>KI  K-06 CU1#11/4 CF8M DIN</t>
  </si>
  <si>
    <t>CU1#2</t>
  </si>
  <si>
    <t>2016001010300901</t>
  </si>
  <si>
    <t>2 CF8 DIN</t>
  </si>
  <si>
    <t>KI  K-06 CU1#2 CF8 DIN</t>
  </si>
  <si>
    <t>2016001020300901</t>
  </si>
  <si>
    <t>2 CF8M DIN</t>
  </si>
  <si>
    <t>KI  K-06 CU1#2 CF8M DIN</t>
  </si>
  <si>
    <t>CU1#21/2</t>
  </si>
  <si>
    <t>2016001010101001</t>
  </si>
  <si>
    <t>KI  K-06 CU1#21/2 CF8 NPT</t>
  </si>
  <si>
    <t>2016001020101001</t>
  </si>
  <si>
    <t>KI  K-06 CU1#21/2 CF8M NPT</t>
  </si>
  <si>
    <t>CU1#3</t>
  </si>
  <si>
    <t>2016001010301101</t>
  </si>
  <si>
    <t>3 CF8 DIN</t>
  </si>
  <si>
    <t>KI  K-06 CU1#3 CF8 DIN</t>
  </si>
  <si>
    <t>2016001020301101</t>
  </si>
  <si>
    <t>3 CF8M DIN</t>
  </si>
  <si>
    <t>KI  K-06 CU1#3 CF8M DIN</t>
  </si>
  <si>
    <t>CU1#3/4</t>
  </si>
  <si>
    <t>2016001010300501</t>
  </si>
  <si>
    <t>3/4 CF8 DIN</t>
  </si>
  <si>
    <t>KI  K-06 CU1#3/4 CF8 DIN</t>
  </si>
  <si>
    <t>2016001020300501</t>
  </si>
  <si>
    <t>3/4 CF8M DIN</t>
  </si>
  <si>
    <t>KI  K-06 CU1#3/4 CF8M DIN</t>
  </si>
  <si>
    <t>CU1#3/8</t>
  </si>
  <si>
    <t>2016001010300301</t>
  </si>
  <si>
    <t>3/8 CF8 DIN</t>
  </si>
  <si>
    <t>KI  K-06 CU1#3/8 CF8 DIN</t>
  </si>
  <si>
    <t>2016001020300301</t>
  </si>
  <si>
    <t>3/8 CF8M DIN</t>
  </si>
  <si>
    <t>KI  K-06 CU1#3/8 CF8M DIN</t>
  </si>
  <si>
    <t>CU1#4</t>
  </si>
  <si>
    <t>2016001020301201</t>
  </si>
  <si>
    <t>4 CF8M DIN</t>
  </si>
  <si>
    <t>KI  K-06 CU1#4 CF8M DIN</t>
  </si>
  <si>
    <t>2016001010301201</t>
  </si>
  <si>
    <t>KI  K-06 CU 1#</t>
  </si>
  <si>
    <t>4 CF8 DIN</t>
  </si>
  <si>
    <t>KI  K-06 CU 1#4 CF8 DIN</t>
  </si>
  <si>
    <t>CU2#1</t>
  </si>
  <si>
    <t>2016001010300602</t>
  </si>
  <si>
    <t>KI  K-06 CU2#</t>
  </si>
  <si>
    <t>KI  K-06 CU2#1 CF8 DIN</t>
  </si>
  <si>
    <t>2016001020300602</t>
  </si>
  <si>
    <t>KI  K-06 CU2#1 CF8M DIN</t>
  </si>
  <si>
    <t>CU2#1/2</t>
  </si>
  <si>
    <t>2016001010300402</t>
  </si>
  <si>
    <t>KI  K-06 CU2#1/2 CF8 DIN</t>
  </si>
  <si>
    <t>2016001020300402</t>
  </si>
  <si>
    <t>KI  K-06 CU2#1/2 CF8M DIN</t>
  </si>
  <si>
    <t>CU2#1/4</t>
  </si>
  <si>
    <t>2016001010300202</t>
  </si>
  <si>
    <t>KI  K-06 CU2#1/4 CF8 DIN</t>
  </si>
  <si>
    <t>2016001020300202</t>
  </si>
  <si>
    <t>KI  K-06 CU2#1/4 CF8M DIN</t>
  </si>
  <si>
    <t>CU2#1/8</t>
  </si>
  <si>
    <t>2016001010300102</t>
  </si>
  <si>
    <t>KI  K-06 CU2#1/8 CF8 DIN</t>
  </si>
  <si>
    <t>2016001020300102</t>
  </si>
  <si>
    <t>KI  K-06 CU2#1/8 CF8M DIN</t>
  </si>
  <si>
    <t>CU2#11/2</t>
  </si>
  <si>
    <t>2016001010300802</t>
  </si>
  <si>
    <t>KI  K-06 CU2#11/2 CF8 DIN</t>
  </si>
  <si>
    <t>2016001020300802</t>
  </si>
  <si>
    <t>KI  K-06 CU2#11/2 CF8M DIN</t>
  </si>
  <si>
    <t>CU2#11/4</t>
  </si>
  <si>
    <t>2016001010300702</t>
  </si>
  <si>
    <t>KI  K-06 CU2#11/4 CF8 DIN</t>
  </si>
  <si>
    <t>2016001020300702</t>
  </si>
  <si>
    <t>KI  K-06 CU2#11/4 CF8M DIN</t>
  </si>
  <si>
    <t>CU2#2</t>
  </si>
  <si>
    <t>2016001010300902</t>
  </si>
  <si>
    <t>KI  K-06 CU2#2 CF8 DIN</t>
  </si>
  <si>
    <t>2016001020300902</t>
  </si>
  <si>
    <t>KI  K-06 CU2#2 CF8M DIN</t>
  </si>
  <si>
    <t>CU2#21/2</t>
  </si>
  <si>
    <t>2016001010101002</t>
  </si>
  <si>
    <t>KI  K-06 CU2#21/2 CF8 NPT</t>
  </si>
  <si>
    <t>2016001020101002</t>
  </si>
  <si>
    <t>KI  K-06 CU2#21/2 CF8M NPT</t>
  </si>
  <si>
    <t>CU2#3</t>
  </si>
  <si>
    <t>2016001010301102</t>
  </si>
  <si>
    <t>KI  K-06 CU2#3 CF8 DIN</t>
  </si>
  <si>
    <t>2016001020301102</t>
  </si>
  <si>
    <t>KI  K-06 CU2#3 CF8M DIN</t>
  </si>
  <si>
    <t>CU2#3/4</t>
  </si>
  <si>
    <t>2016001010300502</t>
  </si>
  <si>
    <t>KI  K-06 CU2#3/4 CF8 DIN</t>
  </si>
  <si>
    <t>2016001020300502</t>
  </si>
  <si>
    <t>KI  K-06 CU2#3/4 CF8M DIN</t>
  </si>
  <si>
    <t>CU2#3/8</t>
  </si>
  <si>
    <t>2016001010300302</t>
  </si>
  <si>
    <t>KI  K-06 CU2#3/8 CF8 DIN</t>
  </si>
  <si>
    <t>2016001020300302</t>
  </si>
  <si>
    <t>KI  K-06 CU2#3/8 CF8M DIN</t>
  </si>
  <si>
    <t>CU2#4</t>
  </si>
  <si>
    <t>2016001020301202</t>
  </si>
  <si>
    <t>KI  K-06 CU2#4 CF8M DIN</t>
  </si>
  <si>
    <t>2016001010301202</t>
  </si>
  <si>
    <t>KI  K-06 CU 2#</t>
  </si>
  <si>
    <t>KI  K-06 CU 2#4 CF8 DIN</t>
  </si>
  <si>
    <t>KI K-06B</t>
  </si>
  <si>
    <t>UN2#1</t>
  </si>
  <si>
    <t>2016021010000612</t>
  </si>
  <si>
    <t>KI  K-06B UN 2#热处理</t>
  </si>
  <si>
    <t>KI  K-06B UN 2#热处理1 CF8</t>
  </si>
  <si>
    <t>2016021020000612</t>
  </si>
  <si>
    <t>KI  K-06B UN 2#热处理1 CF8M</t>
  </si>
  <si>
    <t>UN2#1/2</t>
  </si>
  <si>
    <t>2016021010000412</t>
  </si>
  <si>
    <t>KI  K-06B UN 2#热处理1/2 CF8</t>
  </si>
  <si>
    <t>2016021020000412</t>
  </si>
  <si>
    <t>KI  K-06B UN 2#热处理1/2 CF8M</t>
  </si>
  <si>
    <t>UN2#1/4</t>
  </si>
  <si>
    <t>2016021010000212</t>
  </si>
  <si>
    <t>1/4 CF8</t>
  </si>
  <si>
    <t>KI  K-06B UN 2#热处理1/4 CF8</t>
  </si>
  <si>
    <t>2016021020000212</t>
  </si>
  <si>
    <t>KI  K-06B UN 2#热处理1/4 CF8M</t>
  </si>
  <si>
    <t>UN2#1/8</t>
  </si>
  <si>
    <t>2016021020000112</t>
  </si>
  <si>
    <t>1/8 CF8M</t>
  </si>
  <si>
    <t>KI  K-06B UN 2#热处理1/8 CF8M</t>
  </si>
  <si>
    <t>UN2#11/2</t>
  </si>
  <si>
    <t>2016021010000812</t>
  </si>
  <si>
    <t>KI  K-06B UN 2#热处理11/2 CF8</t>
  </si>
  <si>
    <t>2016021020000812</t>
  </si>
  <si>
    <t>KI  K-06B UN 2#热处理11/2 CF8M</t>
  </si>
  <si>
    <t>UN2#11/4</t>
  </si>
  <si>
    <t>2016021010000712</t>
  </si>
  <si>
    <t>KI  K-06B UN 2#热处理11/4 CF8</t>
  </si>
  <si>
    <t>2016021020000712</t>
  </si>
  <si>
    <t>KI  K-06B UN 2#(热处理)</t>
  </si>
  <si>
    <t>UN2#2</t>
  </si>
  <si>
    <t>2016021010000912</t>
  </si>
  <si>
    <t>KI  K-06B UN 2#热处理2 CF8</t>
  </si>
  <si>
    <t>2016021020000912</t>
  </si>
  <si>
    <t>KI  K-06B UN 2#热处理2 CF8M</t>
  </si>
  <si>
    <t>UN2#3/4</t>
  </si>
  <si>
    <t>2016021010000512</t>
  </si>
  <si>
    <t>3/4 CF8</t>
  </si>
  <si>
    <t>KI  K-06B UN 2#热处理3/4 CF8</t>
  </si>
  <si>
    <t>2016021020000512</t>
  </si>
  <si>
    <t>KI  K-06B UN 2#热处理3/4 CF8M</t>
  </si>
  <si>
    <t>UN2#3/8</t>
  </si>
  <si>
    <t>2016021010000312</t>
  </si>
  <si>
    <t>3/8 CF8</t>
  </si>
  <si>
    <t>KI  K-06B UN 2#热处理3/8 CF8</t>
  </si>
  <si>
    <t>2016021020000312</t>
  </si>
  <si>
    <t>KI  K-06B UN 2#热处理3/8 CF8M</t>
  </si>
  <si>
    <t>KI K-14</t>
  </si>
  <si>
    <t>LBCU1/4</t>
  </si>
  <si>
    <t>2016591010100211</t>
  </si>
  <si>
    <t>KI  K-14 LBCU 1#热处理</t>
  </si>
  <si>
    <t>KI  K-14 LBCU 1#热处理1/4 CF8 NPT</t>
  </si>
  <si>
    <t>LBCU1</t>
  </si>
  <si>
    <t>2016591010100611</t>
  </si>
  <si>
    <t>KI  K-14 LBCU 1#热处理1 CF8 NPT</t>
  </si>
  <si>
    <t>LBCU1/2</t>
  </si>
  <si>
    <t>2016591010000411</t>
  </si>
  <si>
    <t>KI  K-14 LBCU 1#热处理1/2 CF8</t>
  </si>
  <si>
    <t>LBCU11/2</t>
  </si>
  <si>
    <t>2016591010000811</t>
  </si>
  <si>
    <t>KI  K-14 LBCU 1#热处理11/2 CF8</t>
  </si>
  <si>
    <t>LBCU11/4</t>
  </si>
  <si>
    <t>2016591010000711</t>
  </si>
  <si>
    <t>KI  K-14 LBCU 1#热处理11/4 CF8</t>
  </si>
  <si>
    <t>2016591020100711</t>
  </si>
  <si>
    <t>KI  K-14 LBCU 1#(热处理)</t>
  </si>
  <si>
    <t>LBCU2</t>
  </si>
  <si>
    <t>2016591010100911</t>
  </si>
  <si>
    <t>KI  K-14 LBCU 1#热处理2 CF8 NPT</t>
  </si>
  <si>
    <t>LBCU3/4</t>
  </si>
  <si>
    <t>2016591010000511</t>
  </si>
  <si>
    <t>KI  K-14 LBCU 1#热处理3/4 CF8</t>
  </si>
  <si>
    <t>LBCU3/8</t>
  </si>
  <si>
    <t>2016591010100311</t>
  </si>
  <si>
    <t>KI  K-14 LBCU 1#热处理3/8 CF8 NPT</t>
  </si>
  <si>
    <t>2016591020100611</t>
  </si>
  <si>
    <t>KI  K-14 LBCU 1#热处理1 CF8M NPT</t>
  </si>
  <si>
    <t>2016591020100411</t>
  </si>
  <si>
    <t>KI  K-14 LBCU 1#热处理1/2 CF8M NPT</t>
  </si>
  <si>
    <t>2016591020100211</t>
  </si>
  <si>
    <t>KI  K-14 LBCU 1#热处理1/4 CF8M NPT</t>
  </si>
  <si>
    <t>LBCU1/8</t>
  </si>
  <si>
    <t>2016591020100111</t>
  </si>
  <si>
    <t>KI  K-14 LBCU 1#热处理1/8 CF8M NPT</t>
  </si>
  <si>
    <t>2016591020100811</t>
  </si>
  <si>
    <t>KI  K-14 LBCU 1#热处理11/2 CF8M NPT</t>
  </si>
  <si>
    <t>2016591020100911</t>
  </si>
  <si>
    <t>KI  K-14 LBCU 1#热处理2 CF8M NPT</t>
  </si>
  <si>
    <t>2016591020100511</t>
  </si>
  <si>
    <t>KI  K-14 LBCU 1#热处理3/4 CF8M NPT</t>
  </si>
  <si>
    <t>2016591020100311</t>
  </si>
  <si>
    <t>KI  K-14 LBCU 1#热处理3/8 CF8M NPT</t>
  </si>
  <si>
    <t>KI K-01 114</t>
  </si>
  <si>
    <t>114LB1</t>
  </si>
  <si>
    <t>2015102010000600</t>
  </si>
  <si>
    <t>KI 114  KI-01 LB</t>
  </si>
  <si>
    <t>KI 114  KI-01 LB1 CF8</t>
  </si>
  <si>
    <t>2015102020000600</t>
  </si>
  <si>
    <t>KI 114  KI-01 LB1 CF8M</t>
  </si>
  <si>
    <t>114LB1/2</t>
  </si>
  <si>
    <t>2015102010000400</t>
  </si>
  <si>
    <t>KI 114  KI-01 LB1/2 CF8</t>
  </si>
  <si>
    <t>2015102020000400</t>
  </si>
  <si>
    <t>KI 114  KI-01 LB1/2 CF8M</t>
  </si>
  <si>
    <t>114LB1/4</t>
  </si>
  <si>
    <t>2015102020000200</t>
  </si>
  <si>
    <t>KI 114  KI-01 LB1/4 CF8M</t>
  </si>
  <si>
    <t>114LB11/2</t>
  </si>
  <si>
    <t>2015102010000800</t>
  </si>
  <si>
    <t>KI 114  KI-01 LB11/2 CF8</t>
  </si>
  <si>
    <t>114LB11/4</t>
  </si>
  <si>
    <t>2015102010000700</t>
  </si>
  <si>
    <t>KI 114  KI-01 LB11/4 CF8</t>
  </si>
  <si>
    <t>114LB2</t>
  </si>
  <si>
    <t>2015102020000900</t>
  </si>
  <si>
    <t>KI 114  KI-01 LB2 CF8M</t>
  </si>
  <si>
    <t>114LB21/2</t>
  </si>
  <si>
    <t>2015102020001000</t>
  </si>
  <si>
    <t>KI 114  KI-01 LB21/2 CF8M</t>
  </si>
  <si>
    <t>114LB3/4</t>
  </si>
  <si>
    <t>2015102020000500</t>
  </si>
  <si>
    <t>KI 114  KI-01 LB3/4 CF8M</t>
  </si>
  <si>
    <t>114LB3/8</t>
  </si>
  <si>
    <t>2015102020000300</t>
  </si>
  <si>
    <t>KI 114  KI-01 LB3/8 CF8M</t>
  </si>
  <si>
    <t>MB K-01</t>
  </si>
  <si>
    <t>LB1</t>
  </si>
  <si>
    <t>2055101040000600</t>
  </si>
  <si>
    <t>MB  K-01 LB</t>
  </si>
  <si>
    <t>MB  K-01 LB1 304</t>
  </si>
  <si>
    <t>2055101060000600</t>
  </si>
  <si>
    <t>MB  K-01 LB1 316</t>
  </si>
  <si>
    <t>LB1/2</t>
  </si>
  <si>
    <t>2055101040000400</t>
  </si>
  <si>
    <t>MB  K-01 LB1/2 304</t>
  </si>
  <si>
    <t>2055101060000400</t>
  </si>
  <si>
    <t>MB  K-01 LB1/2 316</t>
  </si>
  <si>
    <t>LB1/4</t>
  </si>
  <si>
    <t>2055101040000200</t>
  </si>
  <si>
    <t>MB  K-01 LB1/4 304</t>
  </si>
  <si>
    <t>2055101060000200</t>
  </si>
  <si>
    <t>MB  K-01 LB1/4 316</t>
  </si>
  <si>
    <t>LB1/8</t>
  </si>
  <si>
    <t>2055101040000100</t>
  </si>
  <si>
    <t>MB  K-01 LB1/8 304</t>
  </si>
  <si>
    <t>2055101060000100</t>
  </si>
  <si>
    <t>MB  K-01 LB1/8 316</t>
  </si>
  <si>
    <t>LB11/2</t>
  </si>
  <si>
    <t>2055101040000800</t>
  </si>
  <si>
    <t>MB  K-01 LB11/2 304</t>
  </si>
  <si>
    <t>2055101060000800</t>
  </si>
  <si>
    <t>MB  K-01 LB11/2 316</t>
  </si>
  <si>
    <t>LB11/4</t>
  </si>
  <si>
    <t>2055101040000700</t>
  </si>
  <si>
    <t>MB  K-01 LB11/4 304</t>
  </si>
  <si>
    <t>2055101060000700</t>
  </si>
  <si>
    <t>MB  K-01 LB11/4 316</t>
  </si>
  <si>
    <t>LB2</t>
  </si>
  <si>
    <t>2055101040000900</t>
  </si>
  <si>
    <t>MB  K-01 LB2 304</t>
  </si>
  <si>
    <t>2055101060000900</t>
  </si>
  <si>
    <t>MB  K-01 LB2 316</t>
  </si>
  <si>
    <t>LB21/2</t>
  </si>
  <si>
    <t>2055101040101000</t>
  </si>
  <si>
    <t>MB  K-01 LB21/2 304 NPT</t>
  </si>
  <si>
    <t>2055101060101000</t>
  </si>
  <si>
    <t>MB  K-01 LB21/2 316 NPT</t>
  </si>
  <si>
    <t>LB3</t>
  </si>
  <si>
    <t>2055101040001100</t>
  </si>
  <si>
    <t>MB  K-01 LB3 304</t>
  </si>
  <si>
    <t>2055101060001100</t>
  </si>
  <si>
    <t>MB  K-01 LB3 316</t>
  </si>
  <si>
    <t>LB3/4</t>
  </si>
  <si>
    <t>2055101040000500</t>
  </si>
  <si>
    <t>MB  K-01 LB3/4 304</t>
  </si>
  <si>
    <t>2055101060000500</t>
  </si>
  <si>
    <t>MB  K-01 LB3/4 316</t>
  </si>
  <si>
    <t>LB3/8</t>
  </si>
  <si>
    <t>2055101040000300</t>
  </si>
  <si>
    <t>MB  K-01 LB3/8 304</t>
  </si>
  <si>
    <t>2055101060000300</t>
  </si>
  <si>
    <t>MB  K-01 LB3/8 316</t>
  </si>
  <si>
    <t>LB4</t>
  </si>
  <si>
    <t>2055101040001200</t>
  </si>
  <si>
    <t>MB  K-01 LB4 304</t>
  </si>
  <si>
    <t>2055101060001200</t>
  </si>
  <si>
    <t>MB  K-01 LB4 316</t>
  </si>
  <si>
    <t>MB K-01 114</t>
  </si>
  <si>
    <t>2055102010000600</t>
  </si>
  <si>
    <t>MB 114 K-01 LB</t>
  </si>
  <si>
    <t>MB 114 K-01 LB1 CF8</t>
  </si>
  <si>
    <t>2055102020000600</t>
  </si>
  <si>
    <t>MB 114 K-01 LB1 CF8M</t>
  </si>
  <si>
    <t>2055102010000400</t>
  </si>
  <si>
    <t>MB 114 K-01 LB1/2 CF8</t>
  </si>
  <si>
    <t>2055102020000400</t>
  </si>
  <si>
    <t>MB 114 K-01 LB1/2 CF8M</t>
  </si>
  <si>
    <t>2055102010000200</t>
  </si>
  <si>
    <t>MB 114 K-01 LB1/4 CF8</t>
  </si>
  <si>
    <t>2055102020000200</t>
  </si>
  <si>
    <t>MB 114 K-01 LB1/4 CF8M</t>
  </si>
  <si>
    <t>114LB1/8</t>
  </si>
  <si>
    <t>2055102010000100</t>
  </si>
  <si>
    <t>1/8 CF8</t>
  </si>
  <si>
    <t>MB 114 K-01 LB1/8 CF8</t>
  </si>
  <si>
    <t>2015102010000100</t>
  </si>
  <si>
    <t>2055102020000100</t>
  </si>
  <si>
    <t>MB 114 K-01 LB1/8 CF8M</t>
  </si>
  <si>
    <t>2015102020000100</t>
  </si>
  <si>
    <t>2055102010100800</t>
  </si>
  <si>
    <t>MB 114 K-01 LB11/2 CF8 NPT</t>
  </si>
  <si>
    <t>2055102020000800</t>
  </si>
  <si>
    <t>MB 114 K-01 LB11/2 CF8M</t>
  </si>
  <si>
    <t>2015102020000800</t>
  </si>
  <si>
    <t>KI 114  KI-01 LB11/2 CF8M</t>
  </si>
  <si>
    <t>2055102010000700</t>
  </si>
  <si>
    <t>MB 114 K-01 LB11/4 CF8</t>
  </si>
  <si>
    <t>2055102020000700</t>
  </si>
  <si>
    <t>MB 114 K-01 LB11/4 CF8M</t>
  </si>
  <si>
    <t>2055102010000900</t>
  </si>
  <si>
    <t>MB 114 K-01 LB2 CF8</t>
  </si>
  <si>
    <t>2015102010000900</t>
  </si>
  <si>
    <t>KI 114  KI-01 LB2 CF8</t>
  </si>
  <si>
    <t>2055102020000900</t>
  </si>
  <si>
    <t>MB 114 K-01 LB2 CF8M</t>
  </si>
  <si>
    <t>2055102010101000</t>
  </si>
  <si>
    <t>MB 114 K-01 LB21/2 CF8 NPT</t>
  </si>
  <si>
    <t>2015102010001000</t>
  </si>
  <si>
    <t>21/2 CF8</t>
  </si>
  <si>
    <t>2055102020101000</t>
  </si>
  <si>
    <t>MB 114 K-01 LB21/2 CF8M NPT</t>
  </si>
  <si>
    <t>114LB3</t>
  </si>
  <si>
    <t>2055102010001100</t>
  </si>
  <si>
    <t>3 CF8</t>
  </si>
  <si>
    <t>MB 114 K-01 LB3 CF8</t>
  </si>
  <si>
    <t>2015102010001100</t>
  </si>
  <si>
    <t>2055102020001100</t>
  </si>
  <si>
    <t>MB 114 K-01 LB3 CF8M</t>
  </si>
  <si>
    <t>2015102020001100</t>
  </si>
  <si>
    <t>KI 114  KI-01 LB3 CF8M</t>
  </si>
  <si>
    <t>2055102010000500</t>
  </si>
  <si>
    <t>MB 114 K-01 LB3/4 CF8</t>
  </si>
  <si>
    <t>2055102020000500</t>
  </si>
  <si>
    <t>MB 114 K-01 LB3/4 CF8M</t>
  </si>
  <si>
    <t>2055102010000300</t>
  </si>
  <si>
    <t>MB 114 K-01 LB3/8 CF8</t>
  </si>
  <si>
    <t>2055102020000300</t>
  </si>
  <si>
    <t>MB 114 K-01 LB3/8 CF8M</t>
  </si>
  <si>
    <t>114LB4</t>
  </si>
  <si>
    <t>2055102010001200</t>
  </si>
  <si>
    <t>4 CF8</t>
  </si>
  <si>
    <t>MB 114 K-01 LB4 CF8</t>
  </si>
  <si>
    <t>2055102020001200</t>
  </si>
  <si>
    <t>MB 114 K-01 LB4 CF8M</t>
  </si>
  <si>
    <t>2015102020001200</t>
  </si>
  <si>
    <t>KI 114 K-01 LB</t>
  </si>
  <si>
    <t>KI 114 K-01 LB4 CF8M</t>
  </si>
  <si>
    <t>MB K-01A</t>
  </si>
  <si>
    <t>RLB1*1/2</t>
  </si>
  <si>
    <t>2055111040002410</t>
  </si>
  <si>
    <t>MB  K-01A RLB 热处理</t>
  </si>
  <si>
    <t>MB  K-01A RLB 热处理1*1/2 304</t>
  </si>
  <si>
    <t>2055111060002410</t>
  </si>
  <si>
    <t>MB  K-01A RLB 热处理1*1/2 316</t>
  </si>
  <si>
    <t>RLB1*3/4</t>
  </si>
  <si>
    <t>2055111040002310</t>
  </si>
  <si>
    <t>MB  K-01A RLB 热处理1*3/4 304</t>
  </si>
  <si>
    <t>2055111060002310</t>
  </si>
  <si>
    <t>MB  K-01A RLB 热处理1*3/4 316</t>
  </si>
  <si>
    <t>RLB1/2*1/4</t>
  </si>
  <si>
    <t>2055111040001710</t>
  </si>
  <si>
    <t>MB  K-01A RLB 热处理1/2*1/4 304</t>
  </si>
  <si>
    <t>2055111060001710</t>
  </si>
  <si>
    <t>MB  K-01A RLB 热处理1/2*1/4 316</t>
  </si>
  <si>
    <t>RLB1/2*3/8</t>
  </si>
  <si>
    <t>2055111040001610</t>
  </si>
  <si>
    <t>MB  K-01A RLB 热处理1/2*3/8 304</t>
  </si>
  <si>
    <t>2055111060001610</t>
  </si>
  <si>
    <t>MB  K-01A RLB 热处理1/2*3/8 316</t>
  </si>
  <si>
    <t>RLB1/4*1/8</t>
  </si>
  <si>
    <t>2055111040001310</t>
  </si>
  <si>
    <t>MB  K-01A RLB 热处理1/4*1/8 304</t>
  </si>
  <si>
    <t>2055111060001310</t>
  </si>
  <si>
    <t>MB  K-01A RLB 热处理1/4*1/8 316</t>
  </si>
  <si>
    <t>RLB11/2*1</t>
  </si>
  <si>
    <t>2055111040003510</t>
  </si>
  <si>
    <t>MB  K-01A RLB 热处理11/2*1 304</t>
  </si>
  <si>
    <t>2055111060003510</t>
  </si>
  <si>
    <t>MB  K-01A RLB 热处理11/2*1 316</t>
  </si>
  <si>
    <t>RLB11/2*11/4</t>
  </si>
  <si>
    <t>2055111040003410</t>
  </si>
  <si>
    <t>MB  K-01A RLB 热处理11/2*11/4 304</t>
  </si>
  <si>
    <t>2055111060003410</t>
  </si>
  <si>
    <t>MB  K-01A RLB 热处理11/2*11/4 316</t>
  </si>
  <si>
    <t>RLB11/4*1</t>
  </si>
  <si>
    <t>2055111040002810</t>
  </si>
  <si>
    <t>MB  K-01A RLB 热处理11/4*1 304</t>
  </si>
  <si>
    <t>2055111060002810</t>
  </si>
  <si>
    <t>MB  K-01A RLB 热处理11/4*1 316</t>
  </si>
  <si>
    <t>RLB11/4*3/4</t>
  </si>
  <si>
    <t>2055111040002910</t>
  </si>
  <si>
    <t>MB  K-01A RLB 热处理11/4*3/4 304</t>
  </si>
  <si>
    <t>2055111060002910</t>
  </si>
  <si>
    <t>MB  K-01A RLB 热处理11/4*3/4 316</t>
  </si>
  <si>
    <t>RLB2*11/2</t>
  </si>
  <si>
    <t>2055111040004010</t>
  </si>
  <si>
    <t>MB  K-01A RLB 热处理2*11/2 304</t>
  </si>
  <si>
    <t>2055111060004010</t>
  </si>
  <si>
    <t>MB  K-01A RLB 热处理2*11/2 316</t>
  </si>
  <si>
    <t>RLB2*11/4</t>
  </si>
  <si>
    <t>2055111040004110</t>
  </si>
  <si>
    <t>MB  K-01A RLB 热处理2*11/4 304</t>
  </si>
  <si>
    <t>2055111060004110</t>
  </si>
  <si>
    <t>MB  K-01A RLB 热处理2*11/4 316</t>
  </si>
  <si>
    <t>RLB3/4*1/2</t>
  </si>
  <si>
    <t>2055111040001910</t>
  </si>
  <si>
    <t>MB  K-01A RLB 热处理3/4*1/2 304</t>
  </si>
  <si>
    <t>2055111060001910</t>
  </si>
  <si>
    <t>MB  K-01A RLB 热处理3/4*1/2 316</t>
  </si>
  <si>
    <t>RLB3/4*3/8</t>
  </si>
  <si>
    <t>2055111040002010</t>
  </si>
  <si>
    <t>MB  K-01A RLB 热处理3/4*3/8 304</t>
  </si>
  <si>
    <t>RLB3/8*1/4</t>
  </si>
  <si>
    <t>2055111040001410</t>
  </si>
  <si>
    <t>MB  K-01A RLB 热处理3/8*1/4 304</t>
  </si>
  <si>
    <t>2055111060001410</t>
  </si>
  <si>
    <t>MB  K-01A RLB 热处理3/8*1/4 316</t>
  </si>
  <si>
    <t>2055111060002010</t>
  </si>
  <si>
    <t>MB  K-01A RLB 热处理3/4*3/8 316</t>
  </si>
  <si>
    <t>KI K-04 114</t>
  </si>
  <si>
    <t>114SLB1</t>
  </si>
  <si>
    <t>2015402020100600</t>
  </si>
  <si>
    <t>KI 114  KI-04 SLB</t>
  </si>
  <si>
    <t>KI 114  KI-04 SLB1 CF8M NPT</t>
  </si>
  <si>
    <t>114SLB1/2</t>
  </si>
  <si>
    <t>2015402020100400</t>
  </si>
  <si>
    <t>KI 114  KI-04 SLB1/2 CF8M NPT</t>
  </si>
  <si>
    <t>2015402010100800</t>
  </si>
  <si>
    <t>KI 114  KI-04 SLB11/2 CF8 NPT</t>
  </si>
  <si>
    <t>114SLB2</t>
  </si>
  <si>
    <t>2015402020100900</t>
  </si>
  <si>
    <t>KI 114  KI-04 SLB2 CF8M NPT</t>
  </si>
  <si>
    <t>114SLB21/2</t>
  </si>
  <si>
    <t>2015402020101000</t>
  </si>
  <si>
    <t>KI 114  KI-04 SLB21/2 CF8M NPT</t>
  </si>
  <si>
    <t>114SLB3/4</t>
  </si>
  <si>
    <t>2015402020100500</t>
  </si>
  <si>
    <t>KI 114  KI-04 SLB3/4 CF8M NPT</t>
  </si>
  <si>
    <t>MB K-04</t>
  </si>
  <si>
    <t>SLB1</t>
  </si>
  <si>
    <t>2055401040000600</t>
  </si>
  <si>
    <t>MB  K-04 SLB</t>
  </si>
  <si>
    <t>MB  K-04 SLB1 304</t>
  </si>
  <si>
    <t>2055401060000600</t>
  </si>
  <si>
    <t>MB  K-04 SLB1 316</t>
  </si>
  <si>
    <t>SLB1/2</t>
  </si>
  <si>
    <t>2055401040000400</t>
  </si>
  <si>
    <t>MB  K-04 SLB1/2 304</t>
  </si>
  <si>
    <t>2055401060000400</t>
  </si>
  <si>
    <t>MB  K-04 SLB1/2 316</t>
  </si>
  <si>
    <t>SLB1/4</t>
  </si>
  <si>
    <t>2055401040000200</t>
  </si>
  <si>
    <t>MB  K-04 SLB1/4 304</t>
  </si>
  <si>
    <t>2055401060000200</t>
  </si>
  <si>
    <t>MB  K-04 SLB1/4 316</t>
  </si>
  <si>
    <t>SLB1/8</t>
  </si>
  <si>
    <t>2055401040000100</t>
  </si>
  <si>
    <t>MB  K-04 SLB1/8 304</t>
  </si>
  <si>
    <t>2055401060000100</t>
  </si>
  <si>
    <t>MB  K-04 SLB1/8 316</t>
  </si>
  <si>
    <t>SLB11/2</t>
  </si>
  <si>
    <t>2055401040000800</t>
  </si>
  <si>
    <t>MB  K-04 SLB11/2 304</t>
  </si>
  <si>
    <t>2055401060000800</t>
  </si>
  <si>
    <t>MB  K-04 SLB11/2 316</t>
  </si>
  <si>
    <t>SLB11/4</t>
  </si>
  <si>
    <t>2055401040000700</t>
  </si>
  <si>
    <t>MB  K-04 SLB11/4 304</t>
  </si>
  <si>
    <t>2055401060000700</t>
  </si>
  <si>
    <t>MB  K-04 SLB11/4 316</t>
  </si>
  <si>
    <t>SLB2</t>
  </si>
  <si>
    <t>2055401040000900</t>
  </si>
  <si>
    <t>MB  K-04 SLB2 304</t>
  </si>
  <si>
    <t>2055401060000900</t>
  </si>
  <si>
    <t>MB  K-04 SLB2 316</t>
  </si>
  <si>
    <t>SLB21/2</t>
  </si>
  <si>
    <t>2055401040101000</t>
  </si>
  <si>
    <t>MB  K-04 SLB21/2 304 NPT</t>
  </si>
  <si>
    <t>2055401060101000</t>
  </si>
  <si>
    <t>SLB3</t>
  </si>
  <si>
    <t>2055401040001100</t>
  </si>
  <si>
    <t>MB  K-04 SLB3 304</t>
  </si>
  <si>
    <t>2055401060001100</t>
  </si>
  <si>
    <t>MB  K-04 SLB3 316</t>
  </si>
  <si>
    <t>SLB3/4</t>
  </si>
  <si>
    <t>2055401040000500</t>
  </si>
  <si>
    <t>MB  K-04 SLB3/4 304</t>
  </si>
  <si>
    <t>2055401060000500</t>
  </si>
  <si>
    <t>MB  K-04 SLB3/4 316</t>
  </si>
  <si>
    <t>SLB3/8</t>
  </si>
  <si>
    <t>2055401040000300</t>
  </si>
  <si>
    <t>MB  K-04 SLB3/8 304</t>
  </si>
  <si>
    <t>2055401060000300</t>
  </si>
  <si>
    <t>MB  K-04 SLB3/8 316</t>
  </si>
  <si>
    <t>SLB4</t>
  </si>
  <si>
    <t>2055401040001200</t>
  </si>
  <si>
    <t>MB  K-04 SLB4 304</t>
  </si>
  <si>
    <t>2055401060001200</t>
  </si>
  <si>
    <t>MB  K-04 SLB4 316</t>
  </si>
  <si>
    <t>MB K-04 114</t>
  </si>
  <si>
    <t>2055402010100600</t>
  </si>
  <si>
    <t>MB 114 K-04 SLB</t>
  </si>
  <si>
    <t>MB 114 K-04 SLB1 CF8 NPT</t>
  </si>
  <si>
    <t>2055402020100600</t>
  </si>
  <si>
    <t>MB 114 K-04 SLB1 CF8M NPT</t>
  </si>
  <si>
    <t>2055402010100400</t>
  </si>
  <si>
    <t>MB 114 K-04 SLB1/2 CF8 NPT</t>
  </si>
  <si>
    <t>2015402010100400</t>
  </si>
  <si>
    <t>2055402020100400</t>
  </si>
  <si>
    <t>MB 114 K-04 SLB1/2 CF8M NPT</t>
  </si>
  <si>
    <t>2055402010100200</t>
  </si>
  <si>
    <t>MB 114 K-04 SLB1/4 CF8 NPT</t>
  </si>
  <si>
    <t>114SLB1/4</t>
  </si>
  <si>
    <t>2055402020100200</t>
  </si>
  <si>
    <t>MB 114 K-04 SLB1/4 CF8M NPT</t>
  </si>
  <si>
    <t>2015402020100200</t>
  </si>
  <si>
    <t>KI 114  KI-04 SLB1/4 CF8M NPT</t>
  </si>
  <si>
    <t>2055402010100100</t>
  </si>
  <si>
    <t>MB 114 K-04 SLB1/8 CF8 NPT</t>
  </si>
  <si>
    <t>114SLB1/8</t>
  </si>
  <si>
    <t>2055402020100100</t>
  </si>
  <si>
    <t>MB 114 K-04 SLB1/8 CF8M NPT</t>
  </si>
  <si>
    <t>2015402020100100</t>
  </si>
  <si>
    <t>KI 114  KI-04 SLB1/8 CF8M NPT</t>
  </si>
  <si>
    <t>2055402010100800</t>
  </si>
  <si>
    <t>MB 114 K-04 SLB11/2 CF8 NPT</t>
  </si>
  <si>
    <t>114SLB11/2</t>
  </si>
  <si>
    <t>2055402020100800</t>
  </si>
  <si>
    <t>MB 114 K-04 SLB11/2 CF8M NPT</t>
  </si>
  <si>
    <t>2015402020100800</t>
  </si>
  <si>
    <t>KI 114  KI-04 SLB11/2 CF8M NPT</t>
  </si>
  <si>
    <t>2055402010100700</t>
  </si>
  <si>
    <t>MB 114 K-04 SLB11/4 CF8 NPT</t>
  </si>
  <si>
    <t>114SLB11/4</t>
  </si>
  <si>
    <t>2055402020100700</t>
  </si>
  <si>
    <t>MB 114 K-04 SLB11/4 CF8M NPT</t>
  </si>
  <si>
    <t>2015402020100700</t>
  </si>
  <si>
    <t>KI 114  KI-04 SLB11/4 CF8M NPT</t>
  </si>
  <si>
    <t>2055402010100900</t>
  </si>
  <si>
    <t>MB 114 K-04 SLB2 CF8 NPT</t>
  </si>
  <si>
    <t>2055402020100900</t>
  </si>
  <si>
    <t>MB 114 K-04 SLB2 CF8M NPT</t>
  </si>
  <si>
    <t>2055402010101000</t>
  </si>
  <si>
    <t>MB 114 K-04 SLB21/2 CF8 NPT</t>
  </si>
  <si>
    <t>2055402020101000</t>
  </si>
  <si>
    <t>MB 114 K-04 SLB21/2 CF8M NPT</t>
  </si>
  <si>
    <t>2055402010101100</t>
  </si>
  <si>
    <t>MB 114 K-04 SLB3 CF8 NPT</t>
  </si>
  <si>
    <t>114SLB3</t>
  </si>
  <si>
    <t>2055402020101100</t>
  </si>
  <si>
    <t>MB 114 K-04 SLB3 CF8M NPT</t>
  </si>
  <si>
    <t>2055402010100500</t>
  </si>
  <si>
    <t>MB 114 K-04 SLB3/4 CF8 NPT</t>
  </si>
  <si>
    <t>2015402010100500</t>
  </si>
  <si>
    <t>2055402020100500</t>
  </si>
  <si>
    <t>MB 114 K-04 SLB3/4 CF8M NPT</t>
  </si>
  <si>
    <t>2055402010100300</t>
  </si>
  <si>
    <t>MB 114 K-04 SLB3/8 CF8 NPT</t>
  </si>
  <si>
    <t>2015402010100300</t>
  </si>
  <si>
    <t>114SLB3/8</t>
  </si>
  <si>
    <t>2055402020100300</t>
  </si>
  <si>
    <t>MB 114 K-04 SLB3/8 CF8M NPT</t>
  </si>
  <si>
    <t>2055402010101200</t>
  </si>
  <si>
    <t>MB 114 K-04 SLB4 CF8 NPT</t>
  </si>
  <si>
    <t>114SLB4</t>
  </si>
  <si>
    <t>2055402020101200</t>
  </si>
  <si>
    <t>MB 114 K-04 SLB4 CF8M NPT</t>
  </si>
  <si>
    <t>KI K-06 114</t>
  </si>
  <si>
    <t>114CU1#1</t>
  </si>
  <si>
    <t>2016002010100601</t>
  </si>
  <si>
    <t>KI 114  KI-06 CU1#</t>
  </si>
  <si>
    <t>KI 114  KI-06 CU1#1 CF8 NPT</t>
  </si>
  <si>
    <t>2016002020100601</t>
  </si>
  <si>
    <t>KI 114  KI-06 CU1#1 CF8M NPT</t>
  </si>
  <si>
    <t>114CU1#1/2</t>
  </si>
  <si>
    <t>2016002010100401</t>
  </si>
  <si>
    <t>KI 114  KI-06 CU1#1/2 CF8 NPT</t>
  </si>
  <si>
    <t>2016002020100401</t>
  </si>
  <si>
    <t>KI 114  KI-06 CU1#1/2 CF8M NPT</t>
  </si>
  <si>
    <t>114CU1#1/4</t>
  </si>
  <si>
    <t>2016002010100201</t>
  </si>
  <si>
    <t>KI 114  KI-06 CU1#1/4 CF8 NPT</t>
  </si>
  <si>
    <t>2016002020100201</t>
  </si>
  <si>
    <t>KI 114  KI-06 CU1#1/4 CF8M NPT</t>
  </si>
  <si>
    <t>114CU1#1/8</t>
  </si>
  <si>
    <t>2016002010100101</t>
  </si>
  <si>
    <t>KI 114  KI-06 CU1#1/8 CF8 NPT</t>
  </si>
  <si>
    <t>2016002020100101</t>
  </si>
  <si>
    <t>KI 114  KI-06 CU1#1/8 CF8M NPT</t>
  </si>
  <si>
    <t>114CU1#11/2</t>
  </si>
  <si>
    <t>2016002010100801</t>
  </si>
  <si>
    <t>KI 114  KI-06 CU1#11/2 CF8 NPT</t>
  </si>
  <si>
    <t>2016002020100801</t>
  </si>
  <si>
    <t>KI 114  KI-06 CU1#11/2 CF8M NPT</t>
  </si>
  <si>
    <t>114CU1#11/4</t>
  </si>
  <si>
    <t>2016002010100701</t>
  </si>
  <si>
    <t>KI 114  KI-06 CU1#11/4 CF8 NPT</t>
  </si>
  <si>
    <t>2016002020100701</t>
  </si>
  <si>
    <t>KI 114  KI-06 CU1#11/4 CF8M NPT</t>
  </si>
  <si>
    <t>114CU1#2</t>
  </si>
  <si>
    <t>2016002010100901</t>
  </si>
  <si>
    <t>KI 114  KI-06 CU1#2 CF8 NPT</t>
  </si>
  <si>
    <t>2016002020100901</t>
  </si>
  <si>
    <t>KI 114  KI-06 CU1#2 CF8M NPT</t>
  </si>
  <si>
    <t>114CU1#21/2</t>
  </si>
  <si>
    <t>2016002010101001</t>
  </si>
  <si>
    <t>KI 114  KI-06 CU1#21/2 CF8 NPT</t>
  </si>
  <si>
    <t>2016002020101001</t>
  </si>
  <si>
    <t>KI 114  KI-06 CU1#21/2 CF8M NPT</t>
  </si>
  <si>
    <t>114CU1#3</t>
  </si>
  <si>
    <t>2016002010101101</t>
  </si>
  <si>
    <t>KI 114  KI-06 CU1#3 CF8 NPT</t>
  </si>
  <si>
    <t>2016002020101101</t>
  </si>
  <si>
    <t>KI 114  KI-06 CU1#3 CF8M NPT</t>
  </si>
  <si>
    <t>114CU1#3/4</t>
  </si>
  <si>
    <t>2016002010100501</t>
  </si>
  <si>
    <t>KI 114  KI-06 CU1#3/4 CF8 NPT</t>
  </si>
  <si>
    <t>2016002020100501</t>
  </si>
  <si>
    <t>KI 114  KI-06 CU1#3/4 CF8M NPT</t>
  </si>
  <si>
    <t>114CU1#3/8</t>
  </si>
  <si>
    <t>2016002010100301</t>
  </si>
  <si>
    <t>KI 114  KI-06 CU1#3/8 CF8 NPT</t>
  </si>
  <si>
    <t>2016002020100301</t>
  </si>
  <si>
    <t>KI 114  KI-06 CU1#3/8 CF8M NPT</t>
  </si>
  <si>
    <t>114CU1#4</t>
  </si>
  <si>
    <t>2016002010101201</t>
  </si>
  <si>
    <t>KI 114  KI-06 CU1#4 CF8 NPT</t>
  </si>
  <si>
    <t>2016002020101201</t>
  </si>
  <si>
    <t>KI 114  KI-06 CU1#4 CF8M NPT</t>
  </si>
  <si>
    <t>114CU2#1</t>
  </si>
  <si>
    <t>2016002010100602</t>
  </si>
  <si>
    <t>KI 114  KI-06 CU2#</t>
  </si>
  <si>
    <t>KI 114  KI-06 CU2#1 CF8 NPT</t>
  </si>
  <si>
    <t>2016002020100602</t>
  </si>
  <si>
    <t>KI 114  KI-06 CU2#1 CF8M NPT</t>
  </si>
  <si>
    <t>114CU2#1/2</t>
  </si>
  <si>
    <t>2016002010100402</t>
  </si>
  <si>
    <t>KI 114  KI-06 CU2#1/2 CF8 NPT</t>
  </si>
  <si>
    <t>2016002020100402</t>
  </si>
  <si>
    <t>KI 114  KI-06 CU2#1/2 CF8M NPT</t>
  </si>
  <si>
    <t>114CU2#1/4</t>
  </si>
  <si>
    <t>2016002010100202</t>
  </si>
  <si>
    <t>KI 114  KI-06 CU2#1/4 CF8 NPT</t>
  </si>
  <si>
    <t>2016002020100202</t>
  </si>
  <si>
    <t>KI 114  KI-06 CU2#1/4 CF8M NPT</t>
  </si>
  <si>
    <t>114CU2#1/8</t>
  </si>
  <si>
    <t>2016002010100102</t>
  </si>
  <si>
    <t>KI 114  KI-06 CU2#1/8 CF8 NPT</t>
  </si>
  <si>
    <t>2016002020100102</t>
  </si>
  <si>
    <t>KI 114  KI-06 CU2#1/8 CF8M NPT</t>
  </si>
  <si>
    <t>114CU2#11/2</t>
  </si>
  <si>
    <t>2016002010100802</t>
  </si>
  <si>
    <t>KI 114  KI-06 CU2#11/2 CF8 NPT</t>
  </si>
  <si>
    <t>2016002020100802</t>
  </si>
  <si>
    <t>KI 114  KI-06 CU2#11/2 CF8M NPT</t>
  </si>
  <si>
    <t>114CU2#11/4</t>
  </si>
  <si>
    <t>2016002010100702</t>
  </si>
  <si>
    <t>KI 114  KI-06 CU2#11/4 CF8 NPT</t>
  </si>
  <si>
    <t>2016002020100702</t>
  </si>
  <si>
    <t>KI 114  KI-06 CU2#11/4 CF8M NPT</t>
  </si>
  <si>
    <t>114CU2#2</t>
  </si>
  <si>
    <t>2016002010100902</t>
  </si>
  <si>
    <t>KI 114  KI-06 CU2#2 CF8 NPT</t>
  </si>
  <si>
    <t>2016002020100902</t>
  </si>
  <si>
    <t>KI 114  KI-06 CU2#2 CF8M NPT</t>
  </si>
  <si>
    <t>114CU2#21/2</t>
  </si>
  <si>
    <t>2016002010101002</t>
  </si>
  <si>
    <t>KI 114  KI-06 CU2#21/2 CF8 NPT</t>
  </si>
  <si>
    <t>2016002020101002</t>
  </si>
  <si>
    <t>KI 114  KI-06 CU2#21/2 CF8M NPT</t>
  </si>
  <si>
    <t>114CU2#3</t>
  </si>
  <si>
    <t>2016002010101102</t>
  </si>
  <si>
    <t>KI 114  KI-06 CU2#3 CF8 NPT</t>
  </si>
  <si>
    <t>2016002020101102</t>
  </si>
  <si>
    <t>KI 114  KI-06 CU2#3 CF8M NPT</t>
  </si>
  <si>
    <t>114CU2#3/4</t>
  </si>
  <si>
    <t>2016002010100502</t>
  </si>
  <si>
    <t>KI 114  KI-06 CU2#3/4 CF8 NPT</t>
  </si>
  <si>
    <t>2016002020100502</t>
  </si>
  <si>
    <t>KI 114  KI-06 CU2#3/4 CF8M NPT</t>
  </si>
  <si>
    <t>114CU2#3/8</t>
  </si>
  <si>
    <t>2016002010100302</t>
  </si>
  <si>
    <t>KI 114  KI-06 CU2#3/8 CF8 NPT</t>
  </si>
  <si>
    <t>2016002020100302</t>
  </si>
  <si>
    <t>KI 114  KI-06 CU2#3/8 CF8M NPT</t>
  </si>
  <si>
    <t>114CU2#4</t>
  </si>
  <si>
    <t>2016002010101202</t>
  </si>
  <si>
    <t>KI 114  KI-06 CU2#4 CF8 NPT</t>
  </si>
  <si>
    <t>2016002020101202</t>
  </si>
  <si>
    <t>KI 114  KI-06 CU2#4 CF8M NPT</t>
  </si>
  <si>
    <t>114CU3#1</t>
  </si>
  <si>
    <t>2016002010000603</t>
  </si>
  <si>
    <t>KI 114  KI-06 CU3#</t>
  </si>
  <si>
    <t>KI 114  KI-06 CU3#1 CF8</t>
  </si>
  <si>
    <t>2016002020000603</t>
  </si>
  <si>
    <t>KI 114  KI-06 CU3#1 CF8M</t>
  </si>
  <si>
    <t>114CU3#1/2</t>
  </si>
  <si>
    <t>2016002010000403</t>
  </si>
  <si>
    <t>KI 114  KI-06 CU3#1/2 CF8</t>
  </si>
  <si>
    <t>2016002020000403</t>
  </si>
  <si>
    <t>KI 114  KI-06 CU3#1/2 CF8M</t>
  </si>
  <si>
    <t>114CU3#1/4</t>
  </si>
  <si>
    <t>2016002020000203</t>
  </si>
  <si>
    <t>KI 114  KI-06 CU3#1/4 CF8M</t>
  </si>
  <si>
    <t>114CU3#11/2</t>
  </si>
  <si>
    <t>2016002010000803</t>
  </si>
  <si>
    <t>KI 114  KI-06 CU3#11/2 CF8</t>
  </si>
  <si>
    <t>114CU3#11/4</t>
  </si>
  <si>
    <t>2016002020000703</t>
  </si>
  <si>
    <t>KI 114  KI-06 CU3#11/4 CF8M</t>
  </si>
  <si>
    <t>114CU3#2</t>
  </si>
  <si>
    <t>2016002010000903</t>
  </si>
  <si>
    <t>KI 114  KI-06 CU3#2 CF8</t>
  </si>
  <si>
    <t>2016002020000903</t>
  </si>
  <si>
    <t>KI 114  KI-06 CU3#2 CF8M</t>
  </si>
  <si>
    <t>114CU3#3/4</t>
  </si>
  <si>
    <t>2016002010000503</t>
  </si>
  <si>
    <t>KI 114  KI-06 CU3#3/4 CF8</t>
  </si>
  <si>
    <t>2016002020000503</t>
  </si>
  <si>
    <t>KI 114  KI-06 CU3#3/4 CF8M</t>
  </si>
  <si>
    <t>114CU3#3/8</t>
  </si>
  <si>
    <t>2016002020000303</t>
  </si>
  <si>
    <t>KI 114  KI-06 CU3#3/8 CF8M</t>
  </si>
  <si>
    <t>MB K-06</t>
  </si>
  <si>
    <t>CU3#1</t>
  </si>
  <si>
    <t>2056001020000613</t>
  </si>
  <si>
    <t>MB  K-06 CU3#(热处理)</t>
  </si>
  <si>
    <t>MB  K-06 CU3#(热处理)1 CF8M</t>
  </si>
  <si>
    <t>CU3#1/2</t>
  </si>
  <si>
    <t>2056001020000413</t>
  </si>
  <si>
    <t>MB  K-06 CU3#(热处理)1/2 CF8M</t>
  </si>
  <si>
    <t>CU3#1/4</t>
  </si>
  <si>
    <t>2056001020000213</t>
  </si>
  <si>
    <t>MB  K-06 CU3#(热处理)1/4 CF8M</t>
  </si>
  <si>
    <t>CU3#1/8</t>
  </si>
  <si>
    <t>2056001020000113</t>
  </si>
  <si>
    <t>MB  K-06 CU3#(热处理)1/8 CF8M</t>
  </si>
  <si>
    <t>CU3#11/2</t>
  </si>
  <si>
    <t>2056001020000813</t>
  </si>
  <si>
    <t>MB  K-06 CU3#(热处理)11/2 CF8M</t>
  </si>
  <si>
    <t>CU3#2</t>
  </si>
  <si>
    <t>2056001020000913</t>
  </si>
  <si>
    <t>MB  K-06 CU3#(热处理)2 CF8M</t>
  </si>
  <si>
    <t>CU3#3/4</t>
  </si>
  <si>
    <t>2056001020000513</t>
  </si>
  <si>
    <t>MB  K-06 CU3#(热处理)3/4 CF8M</t>
  </si>
  <si>
    <t>CU3#3/8</t>
  </si>
  <si>
    <t>2056001020000313</t>
  </si>
  <si>
    <t>MB  K-06 CU3#(热处理)3/8 CF8M</t>
  </si>
  <si>
    <t>2056001010000603</t>
  </si>
  <si>
    <t>MB  K-06 CU3#</t>
  </si>
  <si>
    <t>MB  K-06 CU3#1 CF8</t>
  </si>
  <si>
    <t>2056001020000603</t>
  </si>
  <si>
    <t>MB  K-06 CU3#1 CF8M</t>
  </si>
  <si>
    <t>2056001010000403</t>
  </si>
  <si>
    <t>MB  K-06 CU3#1/2 CF8</t>
  </si>
  <si>
    <t>2056001020000403</t>
  </si>
  <si>
    <t>MB  K-06 CU3#1/2 CF8M</t>
  </si>
  <si>
    <t>2056001010000203</t>
  </si>
  <si>
    <t>MB  K-06 CU3#1/4 CF8</t>
  </si>
  <si>
    <t>2056001020000203</t>
  </si>
  <si>
    <t>MB  K-06 CU3#1/4 CF8M</t>
  </si>
  <si>
    <t>2056001010000103</t>
  </si>
  <si>
    <t>MB  K-06 CU3#1/8 CF8</t>
  </si>
  <si>
    <t>2056001020000103</t>
  </si>
  <si>
    <t>MB  K-06 CU3#1/8 CF8M</t>
  </si>
  <si>
    <t>2056001010000803</t>
  </si>
  <si>
    <t>MB  K-06 CU3#11/2 CF8</t>
  </si>
  <si>
    <t>2056001020000803</t>
  </si>
  <si>
    <t>MB  K-06 CU3#11/2 CF8M</t>
  </si>
  <si>
    <t>CU3#11/4</t>
  </si>
  <si>
    <t>2056001010000703</t>
  </si>
  <si>
    <t>MB  K-06 CU3#11/4 CF8</t>
  </si>
  <si>
    <t>2056001020000703</t>
  </si>
  <si>
    <t>MB  K-06 CU3#11/4 CF8M</t>
  </si>
  <si>
    <t>2056001020000713</t>
  </si>
  <si>
    <t>MB  K-06 CU 3#热处理</t>
  </si>
  <si>
    <t>2056001010000903</t>
  </si>
  <si>
    <t>MB  K-06 CU3#2 CF8</t>
  </si>
  <si>
    <t>2056001020000903</t>
  </si>
  <si>
    <t>MB  K-06 CU3#2 CF8M</t>
  </si>
  <si>
    <t>CU3#21/2</t>
  </si>
  <si>
    <t>2056001010001003</t>
  </si>
  <si>
    <t>MB  K-06 CU3#21/2 CF8</t>
  </si>
  <si>
    <t>2056001020001003</t>
  </si>
  <si>
    <t>MB  K-06 CU3#21/2 CF8M</t>
  </si>
  <si>
    <t>CU3#3</t>
  </si>
  <si>
    <t>2056001010001103</t>
  </si>
  <si>
    <t>MB  K-06 CU3#3 CF8</t>
  </si>
  <si>
    <t>2056001020001103</t>
  </si>
  <si>
    <t>MB  K-06 CU3#3 CF8M</t>
  </si>
  <si>
    <t>2056001010000503</t>
  </si>
  <si>
    <t>MB  K-06 CU3#3/4 CF8</t>
  </si>
  <si>
    <t>2056001020000503</t>
  </si>
  <si>
    <t>MB  K-06 CU3#3/4 CF8M</t>
  </si>
  <si>
    <t>2056001010000303</t>
  </si>
  <si>
    <t>MB  K-06 CU3#3/8 CF8</t>
  </si>
  <si>
    <t>2056001020000303</t>
  </si>
  <si>
    <t>MB  K-06 CU3#3/8 CF8M</t>
  </si>
  <si>
    <t>CU3#4</t>
  </si>
  <si>
    <t>2056001020001203</t>
  </si>
  <si>
    <t>MB  K-06 CU3#4 CF8M</t>
  </si>
  <si>
    <t>2056001010001203</t>
  </si>
  <si>
    <t>MB  K-06 CU 3#</t>
  </si>
  <si>
    <t>MB  K-06 CU 3#4 CF8</t>
  </si>
  <si>
    <t>2056001010000613</t>
  </si>
  <si>
    <t>MB  K-06 CU3#热处理</t>
  </si>
  <si>
    <t>MB  K-06 CU3#热处理1 CF8</t>
  </si>
  <si>
    <t>2056001010000413</t>
  </si>
  <si>
    <t>MB  K-06 CU3#热处理1/2 CF8</t>
  </si>
  <si>
    <t>2056001010000213</t>
  </si>
  <si>
    <t>MB  K-06 CU3#热处理1/4 CF8</t>
  </si>
  <si>
    <t>2056001010000813</t>
  </si>
  <si>
    <t>MB  K-06 CU3#热处理11/2 CF8</t>
  </si>
  <si>
    <t>2056001010000713</t>
  </si>
  <si>
    <t>MB  K-06 CU3#热处理11/4 CF8</t>
  </si>
  <si>
    <t>2056001010000913</t>
  </si>
  <si>
    <t>MB  K-06 CU3#热处理2 CF8</t>
  </si>
  <si>
    <t>2056001010000513</t>
  </si>
  <si>
    <t>MB  K-06 CU3#热处理3/4 CF8</t>
  </si>
  <si>
    <t>2056001010000313</t>
  </si>
  <si>
    <t>MB  K-06 CU3#热处理3/8 CF8</t>
  </si>
  <si>
    <t>MB K-06-MB</t>
  </si>
  <si>
    <t>HMCU1</t>
  </si>
  <si>
    <t>2056231010300602</t>
  </si>
  <si>
    <t>MB  K-06-MB HMCU2#</t>
  </si>
  <si>
    <t>MB  K-06-MB HMCU2#1 CF8 DIN</t>
  </si>
  <si>
    <t>2056231020300602</t>
  </si>
  <si>
    <t>MB  K-06-MB HMCU2#1 CF8M DIN</t>
  </si>
  <si>
    <t>HMCU1/2</t>
  </si>
  <si>
    <t>2056231010300402</t>
  </si>
  <si>
    <t>MB  K-06-MB HMCU2#1/2 CF8 DIN</t>
  </si>
  <si>
    <t>2056231020300402</t>
  </si>
  <si>
    <t>MB  K-06-MB HMCU2#1/2 CF8M DIN</t>
  </si>
  <si>
    <t>HMCU1/4</t>
  </si>
  <si>
    <t>2056231010300202</t>
  </si>
  <si>
    <t>MB  K-06-MB HMCU2#1/4 CF8 DIN</t>
  </si>
  <si>
    <t>2056231020300202</t>
  </si>
  <si>
    <t>MB  K-06-MB HMCU2#1/4 CF8M DIN</t>
  </si>
  <si>
    <t>HMCU11/2</t>
  </si>
  <si>
    <t>2056231010300802</t>
  </si>
  <si>
    <t>MB  K-06-MB HMCU2#11/2 CF8 DIN</t>
  </si>
  <si>
    <t>2056231020300802</t>
  </si>
  <si>
    <t>MB  K-06-MB HMCU2#11/2 CF8M DIN</t>
  </si>
  <si>
    <t>HMCU11/4</t>
  </si>
  <si>
    <t>2056231010300702</t>
  </si>
  <si>
    <t>MB  K-06-MB HMCU2#11/4 CF8 DIN</t>
  </si>
  <si>
    <t>2056231020300702</t>
  </si>
  <si>
    <t>MB  K-06-MB HMCU2#11/4 CF8M DIN</t>
  </si>
  <si>
    <t>HMCU2</t>
  </si>
  <si>
    <t>2056231010300902</t>
  </si>
  <si>
    <t>MB  K-06-MB HMCU2#2 CF8 DIN</t>
  </si>
  <si>
    <t>2056231020300902</t>
  </si>
  <si>
    <t>MB  K-06-MB HMCU2#2 CF8M DIN</t>
  </si>
  <si>
    <t>HMCU3/4</t>
  </si>
  <si>
    <t>2056231010300502</t>
  </si>
  <si>
    <t>MB  K-06-MB HMCU2#3/4 CF8 DIN</t>
  </si>
  <si>
    <t>2056231020300502</t>
  </si>
  <si>
    <t>MB  K-06-MB HMCU2#3/4 CF8M DIN</t>
  </si>
  <si>
    <t>HMCU3/8</t>
  </si>
  <si>
    <t>2056231010300302</t>
  </si>
  <si>
    <t>MB  K-06-MB HMCU2#3/8 CF8 DIN</t>
  </si>
  <si>
    <t>2056231020300302</t>
  </si>
  <si>
    <t>MB  K-06-MB HMCU2#3/8 CF8M DIN</t>
  </si>
  <si>
    <t>MB K-06 114</t>
  </si>
  <si>
    <t>2056002010000603</t>
  </si>
  <si>
    <t>MB 114 K-06 CU3#</t>
  </si>
  <si>
    <t>MB 114 K-06 CU3#1 CF8</t>
  </si>
  <si>
    <t>2056002020000603</t>
  </si>
  <si>
    <t>MB 114 K-06 CU3#1 CF8M</t>
  </si>
  <si>
    <t>2056002010000403</t>
  </si>
  <si>
    <t>MB 114 K-06 CU3#1/2 CF8</t>
  </si>
  <si>
    <t>2056002020000403</t>
  </si>
  <si>
    <t>MB 114 K-06 CU3#1/2 CF8M</t>
  </si>
  <si>
    <t>2056002010000203</t>
  </si>
  <si>
    <t>MB 114 K-06 CU3#1/4 CF8</t>
  </si>
  <si>
    <t>2056002020000203</t>
  </si>
  <si>
    <t>MB 114 K-06 CU3#1/4 CF8M</t>
  </si>
  <si>
    <t>114CU3#1/8</t>
  </si>
  <si>
    <t>2056002010000103</t>
  </si>
  <si>
    <t>MB 114 K-06 CU3#1/8 CF8</t>
  </si>
  <si>
    <t>2056002020000103</t>
  </si>
  <si>
    <t>MB 114 K-06 CU3#1/8 CF8M</t>
  </si>
  <si>
    <t>2016002020000100</t>
  </si>
  <si>
    <t>KI 114  KI-06 CU 3#</t>
  </si>
  <si>
    <t>KI 114  KI-06 CU 3#1/8 CF8M</t>
  </si>
  <si>
    <t>2056002010000803</t>
  </si>
  <si>
    <t>MB 114 K-06 CU3#11/2 CF8</t>
  </si>
  <si>
    <t>2056002020000803</t>
  </si>
  <si>
    <t>MB 114 K-06 CU3#11/2 CF8M</t>
  </si>
  <si>
    <t>2016002020000803</t>
  </si>
  <si>
    <t>KI 114  KI-06 CU 3#11/2 CF8M</t>
  </si>
  <si>
    <t>2056002010000703</t>
  </si>
  <si>
    <t>MB 114 K-06 CU3#11/4 CF8</t>
  </si>
  <si>
    <t>2016002010000703</t>
  </si>
  <si>
    <t>KI 114  KI-06 CU 3#11/4 CF8</t>
  </si>
  <si>
    <t>2056002020000703</t>
  </si>
  <si>
    <t>MB 114 K-06 CU3#11/4 CF8M</t>
  </si>
  <si>
    <t>2056002010000903</t>
  </si>
  <si>
    <t>MB 114 K-06 CU3#2 CF8</t>
  </si>
  <si>
    <t>2056002020000903</t>
  </si>
  <si>
    <t>MB 114 K-06 CU3#2 CF8M</t>
  </si>
  <si>
    <t>114CU3#21/2</t>
  </si>
  <si>
    <t>2056002010001003</t>
  </si>
  <si>
    <t>MB 114 K-06 CU3#21/2 CF8</t>
  </si>
  <si>
    <t>2056002020001003</t>
  </si>
  <si>
    <t>MB 114 K-06 CU3#21/2 CF8M</t>
  </si>
  <si>
    <t>114CU3#3</t>
  </si>
  <si>
    <t>2056002010001103</t>
  </si>
  <si>
    <t>MB 114 K-06 CU3#3 CF8</t>
  </si>
  <si>
    <t>2056002020001103</t>
  </si>
  <si>
    <t>MB 114 K-06 CU3#3 CF8M</t>
  </si>
  <si>
    <t>2016002020001103</t>
  </si>
  <si>
    <t>KI 114  KI-06 CU 3#3 CF8M</t>
  </si>
  <si>
    <t>2056002010000503</t>
  </si>
  <si>
    <t>MB 114 K-06 CU3#3/4 CF8</t>
  </si>
  <si>
    <t>2056002020000503</t>
  </si>
  <si>
    <t>MB 114 K-06 CU3#3/4 CF8M</t>
  </si>
  <si>
    <t>2056002010000303</t>
  </si>
  <si>
    <t>MB 114 K-06 CU3#3/8 CF8</t>
  </si>
  <si>
    <t>2056002020000303</t>
  </si>
  <si>
    <t>MB 114 K-06 CU3#3/8 CF8M</t>
  </si>
  <si>
    <t>114CU3#4</t>
  </si>
  <si>
    <t>2056002010001203</t>
  </si>
  <si>
    <t>MB 114 K-06 CU3#4 CF8</t>
  </si>
  <si>
    <t>2056002020001203</t>
  </si>
  <si>
    <t>MB 114 K-06 CU3#4 CF8M</t>
  </si>
  <si>
    <t>2016002020001203</t>
  </si>
  <si>
    <t>KI 114  KI-06 CU 3#4 CF8M</t>
  </si>
  <si>
    <t>MBC -OM-06</t>
  </si>
  <si>
    <t>OM061/2</t>
  </si>
  <si>
    <t>270141500061</t>
  </si>
  <si>
    <t>MBC-OM-06</t>
  </si>
  <si>
    <t>1/2inch 304 NPT 毛坯</t>
  </si>
  <si>
    <t>MBC-OM-061/2inch 304 NPT 毛坯</t>
  </si>
  <si>
    <t>270161500061</t>
  </si>
  <si>
    <t>1/2inch 316 NPT 毛坯</t>
  </si>
  <si>
    <t>MBC-OM-061/2inch 316 NPT 毛坯</t>
  </si>
  <si>
    <t>OM061/4</t>
  </si>
  <si>
    <t>270141820061</t>
  </si>
  <si>
    <t>1/4inch 304 NPT 毛坯</t>
  </si>
  <si>
    <t>MBC-OM-061/4inch 304 NPT 毛坯</t>
  </si>
  <si>
    <t>270161820061</t>
  </si>
  <si>
    <t>1/4inch 316 NPT 毛坯</t>
  </si>
  <si>
    <t>MBC-OM-061/4inch 316 NPT 毛坯</t>
  </si>
  <si>
    <t>OM0611/2</t>
  </si>
  <si>
    <t>270141510061</t>
  </si>
  <si>
    <t>11/2inch 304 NPT 毛坯</t>
  </si>
  <si>
    <t>MBC-OM-0611/2inch 304 NPT 毛坯</t>
  </si>
  <si>
    <t>270161510061</t>
  </si>
  <si>
    <t>11/2inch 316 NPT 毛坯</t>
  </si>
  <si>
    <t>MBC-OM-0611/2inch 316 NPT 毛坯</t>
  </si>
  <si>
    <t>OM0611/4</t>
  </si>
  <si>
    <t>270141800061</t>
  </si>
  <si>
    <t>11/4inch 304 NPT 毛坯</t>
  </si>
  <si>
    <t>MBC-OM-0611/4inch 304 NPT 毛坯</t>
  </si>
  <si>
    <t>270161800061</t>
  </si>
  <si>
    <t>11/4inch 316 NPT 毛坯</t>
  </si>
  <si>
    <t>MBC-OM-0611/4inch 316 NPT 毛坯</t>
  </si>
  <si>
    <t>OM061</t>
  </si>
  <si>
    <t>270141010061</t>
  </si>
  <si>
    <t>1inch 304 NPT 毛坯</t>
  </si>
  <si>
    <t>MBC-OM-061inch 304 NPT 毛坯</t>
  </si>
  <si>
    <t>270161010061</t>
  </si>
  <si>
    <t>1inch 316 NPT 毛坯</t>
  </si>
  <si>
    <t>MBC-OM-061inch 316 NPT 毛坯</t>
  </si>
  <si>
    <t>OM0621/2</t>
  </si>
  <si>
    <t>270161520061</t>
  </si>
  <si>
    <t>21/2inch 316 NPT 毛坯</t>
  </si>
  <si>
    <t>MBC-OM-0621/2inch 316 NPT 毛坯</t>
  </si>
  <si>
    <t>OM062</t>
  </si>
  <si>
    <t>270141020061</t>
  </si>
  <si>
    <t>2inch 304 NPT 毛坯</t>
  </si>
  <si>
    <t>MBC-OM-062inch 304 NPT 毛坯</t>
  </si>
  <si>
    <t>270161020061</t>
  </si>
  <si>
    <t>2inch 316 NPT 毛坯</t>
  </si>
  <si>
    <t>MBC-OM-062inch 316 NPT 毛坯</t>
  </si>
  <si>
    <t>OM063/4</t>
  </si>
  <si>
    <t>270141860061</t>
  </si>
  <si>
    <t>3/4inch 304 NPT 毛坯</t>
  </si>
  <si>
    <t>MBC-OM-063/4inch 304 NPT 毛坯</t>
  </si>
  <si>
    <t>270161860061</t>
  </si>
  <si>
    <t>3/4inch 316 NPT 毛坯</t>
  </si>
  <si>
    <t>MBC-OM-063/4inch 316 NPT 毛坯</t>
  </si>
  <si>
    <t>OM063/8</t>
  </si>
  <si>
    <t>270141830061</t>
  </si>
  <si>
    <t>3/8inch 304 NPT 毛坯</t>
  </si>
  <si>
    <t>MBC-OM-063/8inch 304 NPT 毛坯</t>
  </si>
  <si>
    <t>270161830061</t>
  </si>
  <si>
    <t>3/8inch 316 NPT 毛坯</t>
  </si>
  <si>
    <t>MBC-OM-063/8inch 316 NPT 毛坯</t>
  </si>
  <si>
    <t>270141520061</t>
  </si>
  <si>
    <t>NPS21/2 304 NPT 毛坯</t>
  </si>
  <si>
    <t>MBC-OM-06NPS21/2 304 NPT 毛坯</t>
  </si>
  <si>
    <t>OM063</t>
  </si>
  <si>
    <t>270141030061</t>
  </si>
  <si>
    <t>NPS3 304 NPT 毛坯</t>
  </si>
  <si>
    <t>MBC-OM-06NPS3 304 NPT 毛坯</t>
  </si>
  <si>
    <t>270161030061</t>
  </si>
  <si>
    <t>NPS3 316 NPT 毛坯</t>
  </si>
  <si>
    <t>MBC-OM-06NPS3 316 NPT 毛坯</t>
  </si>
  <si>
    <t>OM064</t>
  </si>
  <si>
    <t>270161040061</t>
  </si>
  <si>
    <t>NPS4 316 NPT 毛坯</t>
  </si>
  <si>
    <t>MBC-OM-06NPS4 316 NPT 毛坯</t>
  </si>
  <si>
    <t>270141040061</t>
  </si>
  <si>
    <t>NPS4 304 NPT 毛坯</t>
  </si>
  <si>
    <t>KV K-L32盖</t>
  </si>
  <si>
    <t>L32盖1/2</t>
  </si>
  <si>
    <t>200032202075001</t>
  </si>
  <si>
    <t>KI KV-032 阀盖毛坯 (SW)</t>
  </si>
  <si>
    <t>NPS1/2 1000WOG CF3M</t>
  </si>
  <si>
    <t>KI KV-032 阀盖毛坯 (SW)NPS1/2 1000WOG CF3M</t>
  </si>
  <si>
    <t>200032202095001</t>
  </si>
  <si>
    <t>KI KV-032 阀盖毛坯 (SW)NPS1/2 1000WOG WCB</t>
  </si>
  <si>
    <t>L32盖1/4</t>
  </si>
  <si>
    <t>200032202078201</t>
  </si>
  <si>
    <t>NPS1/4 1000WOG CF3M</t>
  </si>
  <si>
    <t>KI KV-032 阀盖毛坯 (SW)NPS1/4 1000WOG CF3M</t>
  </si>
  <si>
    <t>L32盖3/4</t>
  </si>
  <si>
    <t>200032202078601</t>
  </si>
  <si>
    <t>NPS3/4 1000WOG CF3M</t>
  </si>
  <si>
    <t>KI KV-032 阀盖毛坯 (SW)NPS3/4 1000WOG CF3M</t>
  </si>
  <si>
    <t>200080201060101</t>
  </si>
  <si>
    <t>KI KV-080 阀体毛坯</t>
  </si>
  <si>
    <t>NPS1 2000WOG CF8M</t>
  </si>
  <si>
    <t>KI KV-080 阀体毛坯NPS1 2000WOG CF8M</t>
  </si>
  <si>
    <t>080盖1</t>
  </si>
  <si>
    <t>200080202220102</t>
  </si>
  <si>
    <t>KI KV-080 阀盖毛坯 (NACE)</t>
  </si>
  <si>
    <t>KI KV-080 阀盖毛坯 (NACE)NPS1 2000WOG ASTM A351-CN7M</t>
  </si>
  <si>
    <t>200080202960102</t>
  </si>
  <si>
    <t>KI KV-080 阀盖毛坯 (NACE)NPS1 2000WOG ASTM A995-CD3MN</t>
  </si>
  <si>
    <t>200018202960101</t>
  </si>
  <si>
    <t>KI KV-080-RD 阀盖毛坯</t>
  </si>
  <si>
    <t>200018202220101</t>
  </si>
  <si>
    <t>NPS1 CL800 ASTM A351-CN7M</t>
  </si>
  <si>
    <t>200080202090102</t>
  </si>
  <si>
    <t>KI KV-080 阀盖毛坯 (NACE)NPS1 2000WOG WCB</t>
  </si>
  <si>
    <t>080盖1/2</t>
  </si>
  <si>
    <t>200080202095003</t>
  </si>
  <si>
    <t>KI KV-080 阀盖毛坯 (NACE)NPS1/2 2000WOG ASTM A216-WCB</t>
  </si>
  <si>
    <t>200018202095001</t>
  </si>
  <si>
    <t>200080202225002</t>
  </si>
  <si>
    <t>KI KV-080 阀盖毛坯 (NACE)NPS1/2 2000WOG ASTM A351-CN7M</t>
  </si>
  <si>
    <t>200018202225001</t>
  </si>
  <si>
    <t>NPS1/2 CL800 ASTM A351-CN7M</t>
  </si>
  <si>
    <t>200080202965003</t>
  </si>
  <si>
    <t>KI KV-080 阀盖毛坯 (NACE)NPS1/2 2000WOG ASTM A995-CD3MN</t>
  </si>
  <si>
    <t>200018202965001</t>
  </si>
  <si>
    <t>080盖11/2</t>
  </si>
  <si>
    <t>200080202225102</t>
  </si>
  <si>
    <t>NPS11/2 1500WOG ASTM A351-CN7M</t>
  </si>
  <si>
    <t>KI KV-080 阀盖毛坯 (NACE)NPS11/2 1500WOG ASTM A351-CN7M</t>
  </si>
  <si>
    <t>200080202965102</t>
  </si>
  <si>
    <t>NPS11/2 1500WOG ASTM A995-CD3MN</t>
  </si>
  <si>
    <t>KI KV-080 阀盖毛坯 (NACE)NPS11/2 1500WOG ASTM A995-CD3MN</t>
  </si>
  <si>
    <t>200080202095102</t>
  </si>
  <si>
    <t>NPS11/2 1500WOG WCB</t>
  </si>
  <si>
    <t>KI KV-080 阀盖毛坯 (NACE)NPS11/2 1500WOG WCB</t>
  </si>
  <si>
    <t>080盖2</t>
  </si>
  <si>
    <t>200080202220202</t>
  </si>
  <si>
    <t>KI KV-080 阀盖毛坯 (NACE)NPS2 1500WOG ASTM A351-CN7M</t>
  </si>
  <si>
    <t>200080202960202</t>
  </si>
  <si>
    <t>NPS2 1500WOG ASTM A995-CD3MN</t>
  </si>
  <si>
    <t>KI KV-080 阀盖毛坯 (NACE)NPS2 1500WOG ASTM A995-CD3MN</t>
  </si>
  <si>
    <t>200080202090202</t>
  </si>
  <si>
    <t>NPS2 1500WOG WCB</t>
  </si>
  <si>
    <t>KI KV-080 阀盖毛坯 (NACE)NPS2 1500WOG WCB</t>
  </si>
  <si>
    <t>080盖3/4</t>
  </si>
  <si>
    <t>200080202098603</t>
  </si>
  <si>
    <t>KI KV-080 阀盖毛坯 (NACE)NPS3/4 2000WOG ASTM A216-WCB</t>
  </si>
  <si>
    <t>200018202098601</t>
  </si>
  <si>
    <t>200080202228602</t>
  </si>
  <si>
    <t>KI KV-080 阀盖毛坯 (NACE)NPS3/4 2000WOG ASTM A351-CN7M</t>
  </si>
  <si>
    <t>200018202228601</t>
  </si>
  <si>
    <t>NPS3/4 CL800 ASTM A351-CN7M</t>
  </si>
  <si>
    <t>200080202968603</t>
  </si>
  <si>
    <t>KI KV-080 阀盖毛坯 (NACE)NPS3/4 2000WOG ASTM A995-CD3MN</t>
  </si>
  <si>
    <t>200018202968601</t>
  </si>
  <si>
    <t>200080202070101</t>
  </si>
  <si>
    <t>NPS1 2000WOG CF3M</t>
  </si>
  <si>
    <t>KI KV-080 阀盖毛坯NPS1 2000WOG CF3M</t>
  </si>
  <si>
    <t>200080202070102</t>
  </si>
  <si>
    <t>200080202060101</t>
  </si>
  <si>
    <t>KI KV-080 阀盖毛坯NPS1 2000WOG CF8M</t>
  </si>
  <si>
    <t>200080202070103</t>
  </si>
  <si>
    <t>KI KV-080-ND 阀盖毛坯</t>
  </si>
  <si>
    <t>KI KV-080-ND 阀盖毛坯NPS1 CL800 ASTM A351-CF3M</t>
  </si>
  <si>
    <t>200018202070101</t>
  </si>
  <si>
    <t>200380202070102</t>
  </si>
  <si>
    <t>KI KV-C80 阀盖毛坯 (不需做深冷处理，借080-RD换字块，NACE)</t>
  </si>
  <si>
    <t>200381202070101</t>
  </si>
  <si>
    <t>KI KV-C80-HP 阀盖毛坯 (不需做深冷处理，借080-RD添加（HP）字块，NACE)</t>
  </si>
  <si>
    <t>200080209060101</t>
  </si>
  <si>
    <t>KI KV-080-ND 填料压盖毛坯</t>
  </si>
  <si>
    <t>NPS1 CL800 ASTM A351-CF8M</t>
  </si>
  <si>
    <t>KI KV-080-ND 填料压盖毛坯NPS1 CL800 ASTM A351-CF8M</t>
  </si>
  <si>
    <t>200018209060101</t>
  </si>
  <si>
    <t>KI KV-080-RD 填料压盖毛坯</t>
  </si>
  <si>
    <t>200018209220101</t>
  </si>
  <si>
    <t>200380209060101</t>
  </si>
  <si>
    <t>KI KV-C80 填料压盖毛坯</t>
  </si>
  <si>
    <t>200080202090101</t>
  </si>
  <si>
    <t>KI KV-080 阀盖毛坯NPS1 2000WOG WCB</t>
  </si>
  <si>
    <t>200080202090103</t>
  </si>
  <si>
    <t>KI KV-080-ND 阀盖毛坯NPS1 CL800 ASTM A216-WCB</t>
  </si>
  <si>
    <t>200018202090101</t>
  </si>
  <si>
    <t>200080202075001</t>
  </si>
  <si>
    <t>NPS1/2 2000WOG CF3M</t>
  </si>
  <si>
    <t>KI KV-080 阀盖毛坯NPS1/2 2000WOG CF3M</t>
  </si>
  <si>
    <t>200080202075002</t>
  </si>
  <si>
    <t>200080202065001</t>
  </si>
  <si>
    <t>KI KV-080 阀盖毛坯NPS1/2 2000WOG CF8M</t>
  </si>
  <si>
    <t>200080209065001</t>
  </si>
  <si>
    <t>NPS1/2 CL800 ASTM A351-CF8M</t>
  </si>
  <si>
    <t>KI KV-080-ND 填料压盖毛坯NPS1/2 CL800 ASTM A351-CF8M</t>
  </si>
  <si>
    <t>200018209065001</t>
  </si>
  <si>
    <t>200018209225001</t>
  </si>
  <si>
    <t>200080202075003</t>
  </si>
  <si>
    <t>KI KV-080-ND 阀盖毛坯NPS1/2 CL800 ASTM A351-CF3M</t>
  </si>
  <si>
    <t>200018202075001</t>
  </si>
  <si>
    <t>200381202075001</t>
  </si>
  <si>
    <t>200380202075001</t>
  </si>
  <si>
    <t>200080202095004</t>
  </si>
  <si>
    <t>KI KV-080-ND 阀盖毛坯NPS1/2 CL800 ASTM A216-WCB</t>
  </si>
  <si>
    <t>200080202095001</t>
  </si>
  <si>
    <t>NPS1/2 2000WOG WCB</t>
  </si>
  <si>
    <t>KI KV-080 阀盖毛坯NPS1/2 2000WOG WCB</t>
  </si>
  <si>
    <t>080盖1/4</t>
  </si>
  <si>
    <t>200080202098201</t>
  </si>
  <si>
    <t>NPS1/4 2000WOG WCB</t>
  </si>
  <si>
    <t>KI KV-080 阀盖毛坯NPS1/4 2000WOG WCB</t>
  </si>
  <si>
    <t>200080202068201</t>
  </si>
  <si>
    <t>200080202075101</t>
  </si>
  <si>
    <t>NPS11/2 1500WOG CF3M</t>
  </si>
  <si>
    <t>KI KV-080 阀盖毛坯NPS11/2 1500WOG CF3M</t>
  </si>
  <si>
    <t>200080202075102</t>
  </si>
  <si>
    <t>200018202075101</t>
  </si>
  <si>
    <t>200080202075103</t>
  </si>
  <si>
    <t>KI KV-080-ND 阀盖毛坯NPS11/2 CL600 ASTM A351-CF3M</t>
  </si>
  <si>
    <t>200380202075101</t>
  </si>
  <si>
    <t>200381202075101</t>
  </si>
  <si>
    <t>200080202095101</t>
  </si>
  <si>
    <t>KI KV-080 阀盖毛坯NPS11/2 1500WOG WCB</t>
  </si>
  <si>
    <t>200080209065101</t>
  </si>
  <si>
    <t>NPS11/2 CL600 ASTM A351-CF8M</t>
  </si>
  <si>
    <t>KI KV-080-ND 填料压盖毛坯NPS11/2 CL600 ASTM A351-CF8M</t>
  </si>
  <si>
    <t>200018209065101</t>
  </si>
  <si>
    <t>200380209065101</t>
  </si>
  <si>
    <t>200080202095103</t>
  </si>
  <si>
    <t>KI KV-080-ND 阀盖毛坯NPS11/2 CL600 ASTM A216-WCB</t>
  </si>
  <si>
    <t>200018202095101</t>
  </si>
  <si>
    <t>080盖11/4</t>
  </si>
  <si>
    <t>200080202068001</t>
  </si>
  <si>
    <t>NPS11/4 1500WOG CF8M</t>
  </si>
  <si>
    <t>KI KV-080 阀盖毛坯NPS11/4 1500WOG CF8M</t>
  </si>
  <si>
    <t>200080202098001</t>
  </si>
  <si>
    <t>KI KV-080 阀盖毛坯NPS11/4 1500WOG WCB</t>
  </si>
  <si>
    <t>200080202070201</t>
  </si>
  <si>
    <t>NPS2 1500WOG CF3M</t>
  </si>
  <si>
    <t>KI KV-080 阀盖毛坯NPS2 1500WOG CF3M</t>
  </si>
  <si>
    <t>200080202070202</t>
  </si>
  <si>
    <t>200018202070201</t>
  </si>
  <si>
    <t>200080202070203</t>
  </si>
  <si>
    <t>200380202070202</t>
  </si>
  <si>
    <t>200381202070201</t>
  </si>
  <si>
    <t>200080202060201</t>
  </si>
  <si>
    <t>NPS2 1500WOG CF8M</t>
  </si>
  <si>
    <t>KI KV-080 阀盖毛坯NPS2 1500WOG CF8M</t>
  </si>
  <si>
    <t>200080202090201</t>
  </si>
  <si>
    <t>KI KV-080 阀盖毛坯NPS2 1500WOG WCB</t>
  </si>
  <si>
    <t>200018202090201</t>
  </si>
  <si>
    <t>200080202078601</t>
  </si>
  <si>
    <t>NPS3/4 2000WOG CF3M</t>
  </si>
  <si>
    <t>KI KV-080 阀盖毛坯NPS3/4 2000WOG CF3M</t>
  </si>
  <si>
    <t>200080202078602</t>
  </si>
  <si>
    <t>200018202078601</t>
  </si>
  <si>
    <t>200380202078601</t>
  </si>
  <si>
    <t>200381202078601</t>
  </si>
  <si>
    <t>200080202068601</t>
  </si>
  <si>
    <t>NPS3/4 2000WOG CF8M</t>
  </si>
  <si>
    <t>KI KV-080 阀盖毛坯NPS3/4 2000WOG CF8M</t>
  </si>
  <si>
    <t>200080202098604</t>
  </si>
  <si>
    <t>KI KV-080-ND 阀盖毛坯NPS3/4 CL800 ASTM A216-WCB</t>
  </si>
  <si>
    <t>200080202078603</t>
  </si>
  <si>
    <t>KI KV-080-ND 阀盖毛坯NPS3/4 CL800 ASTM A351-CF3M</t>
  </si>
  <si>
    <t>200080202098601</t>
  </si>
  <si>
    <t>NPS3/4 2000WOG WCB</t>
  </si>
  <si>
    <t>KI KV-080 阀盖毛坯NPS3/4 2000WOG WCB</t>
  </si>
  <si>
    <t>080盖3/8</t>
  </si>
  <si>
    <t>200080202068302</t>
  </si>
  <si>
    <t>NPS3/8 2000WOG CF8M</t>
  </si>
  <si>
    <t>200080202098301</t>
  </si>
  <si>
    <t>KI KV-080 阀盖毛坯NPS3/8 2000WOG WCB</t>
  </si>
  <si>
    <t>KV K-082盖</t>
  </si>
  <si>
    <t>082盖(SW)1</t>
  </si>
  <si>
    <t>200082202070101</t>
  </si>
  <si>
    <t>KI KV-082 阀盖毛坯 (SW)</t>
  </si>
  <si>
    <t>KI KV-082 阀盖毛坯 (SW)NPS1 2000WOG CF3M</t>
  </si>
  <si>
    <t>082盖(SW)1/2</t>
  </si>
  <si>
    <t>200082202075001</t>
  </si>
  <si>
    <t>KI KV-082 阀盖毛坯 (SW)NPS1/2 2000WOG CF3M</t>
  </si>
  <si>
    <t>200082202095001</t>
  </si>
  <si>
    <t>KI KV-082 阀盖毛坯 (SW)NPS1/2 2000WOG WCB</t>
  </si>
  <si>
    <t>082盖(SW)11/2</t>
  </si>
  <si>
    <t>200082202075101</t>
  </si>
  <si>
    <t>KI KV-082 阀盖毛坯 (SW)NPS11/2 1500WOG CF3M</t>
  </si>
  <si>
    <t>200082202095101</t>
  </si>
  <si>
    <t>KI KV-082 阀盖毛坯 (SW)NPS11/2 1500WOG WCB</t>
  </si>
  <si>
    <t>082盖(SW)11/4</t>
  </si>
  <si>
    <t>200082202078001</t>
  </si>
  <si>
    <t>NPS11/4 1500WOG CF3M</t>
  </si>
  <si>
    <t>KI KV-082 阀盖毛坯 (SW)NPS11/4 1500WOG CF3M</t>
  </si>
  <si>
    <t>200082202098001</t>
  </si>
  <si>
    <t>KI KV-082 阀盖毛坯 (SW)NPS11/4 1500WOG WCB</t>
  </si>
  <si>
    <t>082盖(SW)2</t>
  </si>
  <si>
    <t>200082202070201</t>
  </si>
  <si>
    <t>KI KV-082 阀盖毛坯 (SW)NPS2 1500WOG CF3M</t>
  </si>
  <si>
    <t>200082202090201</t>
  </si>
  <si>
    <t>KI KV-082 阀盖毛坯 (SW)NPS2 1500WOG WCB</t>
  </si>
  <si>
    <t>082盖(SW)3/4</t>
  </si>
  <si>
    <t>200082202078601</t>
  </si>
  <si>
    <t>KI KV-082 阀盖毛坯 (SW)NPS3/4 2000WOG CF3M</t>
  </si>
  <si>
    <t>200082202098601</t>
  </si>
  <si>
    <t>KI KV-082 阀盖毛坯 (SW)NPS3/4 2000WOG WCB</t>
  </si>
  <si>
    <t>KV K-020H</t>
  </si>
  <si>
    <t>200125202065001</t>
  </si>
  <si>
    <t>KI KV-L20H 阀盖毛坯</t>
  </si>
  <si>
    <t>DN15 PN130 CF8M</t>
  </si>
  <si>
    <t>KI KV-L20H 阀盖毛坯DN15 PN130 CF8M</t>
  </si>
  <si>
    <t>200125202068601</t>
  </si>
  <si>
    <t>DN20 PN130 CF8M</t>
  </si>
  <si>
    <t>KI KV-L20H 阀盖毛坯DN20 PN130 CF8M</t>
  </si>
  <si>
    <t>200125202060101</t>
  </si>
  <si>
    <t>DN25 PN130 CF8M</t>
  </si>
  <si>
    <t>KI KV-L20H 阀盖毛坯DN25 PN130 CF8M</t>
  </si>
  <si>
    <t>200125202065101</t>
  </si>
  <si>
    <t>DN40 PN100 CF8M</t>
  </si>
  <si>
    <t>KI KV-L20H 阀盖毛坯DN40 PN100 CF8M</t>
  </si>
  <si>
    <t>200125202060201</t>
  </si>
  <si>
    <t>DN50 PN100 CF8M</t>
  </si>
  <si>
    <t>KI KV-L20H 阀盖毛坯DN50 PN100 CF8M</t>
  </si>
  <si>
    <t>020H盖21/2</t>
  </si>
  <si>
    <t>200125202065201</t>
  </si>
  <si>
    <t>KI KV-L20H 阀盖毛坯DN65 PN100 CF8M</t>
  </si>
  <si>
    <t>200125202068201</t>
  </si>
  <si>
    <t>KI KV-L20H 阀盖毛坯DN8 PN130 CF8M</t>
  </si>
  <si>
    <t>020H盖3</t>
  </si>
  <si>
    <t>200125202060301</t>
  </si>
  <si>
    <t>KI KV-L20H 阀盖毛坯DN80 PN100 CF8M</t>
  </si>
  <si>
    <t>KV K-L30盖</t>
  </si>
  <si>
    <t>L30盖1/4</t>
  </si>
  <si>
    <t>200130202098201</t>
  </si>
  <si>
    <t>KI KV-L30 阀盖毛坯</t>
  </si>
  <si>
    <t>NPS1/4 1000WOG WCB</t>
  </si>
  <si>
    <t>KI KV-L30 阀盖毛坯NPS1/4 1000WOG WCB</t>
  </si>
  <si>
    <t>200130202068201</t>
  </si>
  <si>
    <t>L30盖4</t>
  </si>
  <si>
    <t>200130202060401</t>
  </si>
  <si>
    <t>KI KV-L30 阀盖毛坯NPS4 1000WOG CF8M</t>
  </si>
  <si>
    <t>200130202090401</t>
  </si>
  <si>
    <t>KI KV-L30 阀盖毛坯NPS4 1000WOG WCB</t>
  </si>
  <si>
    <t>200002202075001</t>
  </si>
  <si>
    <t>KI KV-L32 阀盖毛坯 (SW) (L30)</t>
  </si>
  <si>
    <t>KI KV-L32 阀盖毛坯 (SW) (L30)NPS1/2 1000WOG CF3M</t>
  </si>
  <si>
    <t>L32盖4</t>
  </si>
  <si>
    <t>200132202070401</t>
  </si>
  <si>
    <t>KI KV-L32 阀盖毛坯 (SW)</t>
  </si>
  <si>
    <t>NPS4 1000WOG CF3M</t>
  </si>
  <si>
    <t>KI KV-L32 阀盖毛坯 (SW)NPS4 1000WOG CF3M</t>
  </si>
  <si>
    <t>KI K-041颈</t>
  </si>
  <si>
    <t>041颈21/2</t>
  </si>
  <si>
    <t>200141218045202</t>
  </si>
  <si>
    <t>KI KV-L41 长颈新型手柄连接块毛坯 (四方45°)</t>
  </si>
  <si>
    <t>NPS21/2 CL150 CF8</t>
  </si>
  <si>
    <t>KI KV-L41 长颈新型手柄连接块毛坯 (四方45°)NPS21/2 CL150 CF8</t>
  </si>
  <si>
    <t>KV K-050盖</t>
  </si>
  <si>
    <t>050盖1</t>
  </si>
  <si>
    <t>200150202060101</t>
  </si>
  <si>
    <t>KI KV-L50 侧盖毛坯</t>
  </si>
  <si>
    <t>KI KV-L50 侧盖毛坯NPS1 1000WOG CF8M</t>
  </si>
  <si>
    <t>050盖1/2</t>
  </si>
  <si>
    <t>200150202065001</t>
  </si>
  <si>
    <t>KI KV-L50 侧盖毛坯NPS1/2 1000WOG CF8M</t>
  </si>
  <si>
    <t>050盖11/2</t>
  </si>
  <si>
    <t>200150202065101</t>
  </si>
  <si>
    <t>KI KV-L50 侧盖毛坯NPS11/2 1000WOG CF8M</t>
  </si>
  <si>
    <t>050盖11/4</t>
  </si>
  <si>
    <t>200150202068001</t>
  </si>
  <si>
    <t>KI KV-L50 侧盖毛坯NPS11/4 1000WOG CF8M</t>
  </si>
  <si>
    <t>050盖2</t>
  </si>
  <si>
    <t>200150202060201</t>
  </si>
  <si>
    <t>KI KV-L50 侧盖毛坯NPS2 1000WOG CF8M</t>
  </si>
  <si>
    <t>050盖3/4</t>
  </si>
  <si>
    <t>200150202068601</t>
  </si>
  <si>
    <t>KI KV-L50 侧盖毛坯NPS3/4 1000WOG CF8M</t>
  </si>
  <si>
    <t>KV K-M1F盖</t>
  </si>
  <si>
    <t>M1F盖2</t>
  </si>
  <si>
    <t>200014202060202</t>
  </si>
  <si>
    <t>KI KV-M1F 阀盖毛坯 (NACE)</t>
  </si>
  <si>
    <t>KI KV-M1F 阀盖毛坯 (NACE)NPS2 CL150 CF8M</t>
  </si>
  <si>
    <t>200014202060201</t>
  </si>
  <si>
    <t>KI KV-M1F 阀盖毛坯</t>
  </si>
  <si>
    <t>200014202090202</t>
  </si>
  <si>
    <t>KI KV-M1F 阀盖毛坯 (NACE)NPS2 CL150 WCB</t>
  </si>
  <si>
    <t>200014202090201</t>
  </si>
  <si>
    <t>M1F盖21/2</t>
  </si>
  <si>
    <t>200014202065202</t>
  </si>
  <si>
    <t>KI KV-M1F 阀盖毛坯 (NACE)NPS21/2 CL150 CF8M</t>
  </si>
  <si>
    <t>200014202095201</t>
  </si>
  <si>
    <t>KI KV-M1F 阀盖毛坯 (NACE)NPS21/2 CL150 WCB</t>
  </si>
  <si>
    <t>200014202040601</t>
  </si>
  <si>
    <t>NPS6 CL150 CF8</t>
  </si>
  <si>
    <t>200014202060602</t>
  </si>
  <si>
    <t>NPS6 CL150 ASTM A351-CF8M</t>
  </si>
  <si>
    <t>M1F盖3</t>
  </si>
  <si>
    <t>200014202060302</t>
  </si>
  <si>
    <t>KI KV-M1F 阀盖毛坯 (NACE)NPS3 CL150 CF8M</t>
  </si>
  <si>
    <t>200014202090302</t>
  </si>
  <si>
    <t>KI KV-M1F 阀盖毛坯 (NACE)NPS3 CL150 WCB</t>
  </si>
  <si>
    <t>200014202090301</t>
  </si>
  <si>
    <t>M1F盖4</t>
  </si>
  <si>
    <t>200014202060402</t>
  </si>
  <si>
    <t>KI KV-M1F 阀盖毛坯 (NACE)NPS4 CL150 CF8M</t>
  </si>
  <si>
    <t>200014202090402</t>
  </si>
  <si>
    <t>KI KV-M1F 阀盖毛坯 (NACE)NPS4 CL150 WCB</t>
  </si>
  <si>
    <t>M1F盖6</t>
  </si>
  <si>
    <t>200014202090602</t>
  </si>
  <si>
    <t>200014202730602</t>
  </si>
  <si>
    <t>NPS6 CL150 316N</t>
  </si>
  <si>
    <t>M1F盖11/2</t>
  </si>
  <si>
    <t>200014202065101</t>
  </si>
  <si>
    <t>KI KV-M1F 阀盖毛坯NPS11/2 CL150 CF8M</t>
  </si>
  <si>
    <t>030盖1/4</t>
  </si>
  <si>
    <t>200000202068201</t>
  </si>
  <si>
    <t>KI KV-M30 nắp phôi 阀盖毛坯</t>
  </si>
  <si>
    <t>KI KV-M30 nắp phôi 阀盖毛坯NPS1/4 1000WOG CF8M</t>
  </si>
  <si>
    <t>030盖2</t>
  </si>
  <si>
    <t>200000202060201</t>
  </si>
  <si>
    <t>KI KV-M30 nắp phôi 阀盖毛坯NPS2 1000WOG CF8M</t>
  </si>
  <si>
    <t>030盖21/2</t>
  </si>
  <si>
    <t>200000202065201</t>
  </si>
  <si>
    <t>KI KV-M30 nắp phôi 阀盖毛坯NPS21/2 1000WOG CF8M</t>
  </si>
  <si>
    <t>030盖3</t>
  </si>
  <si>
    <t>200000202060301</t>
  </si>
  <si>
    <t>KI KV-M30 nắp phôi 阀盖毛坯NPS3 1000WOG CF8M</t>
  </si>
  <si>
    <t>030盖3/8</t>
  </si>
  <si>
    <t>200000202068301</t>
  </si>
  <si>
    <t>KI KV-M30 nắp phôi 阀盖毛坯NPS3/8 1000WOG CF8M</t>
  </si>
  <si>
    <t>200000202065001</t>
  </si>
  <si>
    <t>KI KV-M30 侧盖毛坯</t>
  </si>
  <si>
    <t>KI KV-M30 侧盖毛坯NPS1/2 1000WOG CF8M</t>
  </si>
  <si>
    <t>200000202095001</t>
  </si>
  <si>
    <t>KI KV-M30 阀盖毛坯</t>
  </si>
  <si>
    <t>030盖4</t>
  </si>
  <si>
    <t>200000202060401</t>
  </si>
  <si>
    <t>KI KV-M30 侧盖毛坯NPS4 1000WOG CF8M</t>
  </si>
  <si>
    <t>200000202070401</t>
  </si>
  <si>
    <t>KI KV-M30 阀盖毛坯 (KV-L32/KV-L30)</t>
  </si>
  <si>
    <t>NPS4 1000WOG ASTM A351-CF3M</t>
  </si>
  <si>
    <t>200000202098201</t>
  </si>
  <si>
    <t>KI KV-M30 阀盖毛坯NPS1/4 1000WOG WCB</t>
  </si>
  <si>
    <t>200000202090201</t>
  </si>
  <si>
    <t>NPS2 1000WOG WCB</t>
  </si>
  <si>
    <t>KI KV-M30 阀盖毛坯NPS2 1000WOG WCB</t>
  </si>
  <si>
    <t>200000202045201</t>
  </si>
  <si>
    <t>NPS21/2 1000WOG CF8</t>
  </si>
  <si>
    <t>KI KV-M30 阀盖毛坯NPS21/2 1000WOG CF8</t>
  </si>
  <si>
    <t>200000202095201</t>
  </si>
  <si>
    <t>KI KV-M30 阀盖毛坯NPS21/2 1000WOG WCB</t>
  </si>
  <si>
    <t>200000202090301</t>
  </si>
  <si>
    <t>KI KV-M30 阀盖毛坯NPS3 1000WOG WCB</t>
  </si>
  <si>
    <t>200000202098301</t>
  </si>
  <si>
    <t>NPS3/8 1000WOG WCB</t>
  </si>
  <si>
    <t>KI KV-M30 阀盖毛坯NPS3/8 1000WOG WCB</t>
  </si>
  <si>
    <t>200000202078302</t>
  </si>
  <si>
    <t>NPS3/8 1000WOG ASTM A351-CF3M</t>
  </si>
  <si>
    <t>L32盖2</t>
  </si>
  <si>
    <t>200002202070202</t>
  </si>
  <si>
    <t>KI KV-M32 phôi nắp (SW) 阀盖毛坯 (SW)</t>
  </si>
  <si>
    <t>NPS2 1000WOG CF3M</t>
  </si>
  <si>
    <t>KI KV-M32 phôi nắp (SW) 阀盖毛坯 (SW)NPS2 1000WOG CF3M</t>
  </si>
  <si>
    <t>L32盖1</t>
  </si>
  <si>
    <t>200002202070101</t>
  </si>
  <si>
    <t>KI KV-M32 阀盖毛坯 (SW)</t>
  </si>
  <si>
    <t>NPS1 1000WOG CF3M</t>
  </si>
  <si>
    <t>KI KV-M32 阀盖毛坯 (SW)NPS1 1000WOG CF3M</t>
  </si>
  <si>
    <t>L32盖11/2</t>
  </si>
  <si>
    <t>200002202075101</t>
  </si>
  <si>
    <t>NPS11/2 1000WOG CF3M</t>
  </si>
  <si>
    <t>KI KV-M32 阀盖毛坯 (SW)NPS11/2 1000WOG CF3M</t>
  </si>
  <si>
    <t>L32盖11/4</t>
  </si>
  <si>
    <t>200002202078001</t>
  </si>
  <si>
    <t>NPS11/4 1000WOG CF3M</t>
  </si>
  <si>
    <t>KI KV-M32 阀盖毛坯 (SW)NPS11/4 1000WOG CF3M</t>
  </si>
  <si>
    <t>L32盖21/2</t>
  </si>
  <si>
    <t>200002202075201</t>
  </si>
  <si>
    <t>NPS21/2 1000WOG CF3M</t>
  </si>
  <si>
    <t>KI KV-M32 阀盖毛坯 (SW)NPS21/2 1000WOG CF3M</t>
  </si>
  <si>
    <t>L32盖3</t>
  </si>
  <si>
    <t>200002202070301</t>
  </si>
  <si>
    <t>NPS3 1000WOG CF3M</t>
  </si>
  <si>
    <t>KI KV-M32 阀盖毛坯 (SW)NPS3 1000WOG CF3M</t>
  </si>
  <si>
    <t>200002202078601</t>
  </si>
  <si>
    <t>KI KV-M32 阀盖毛坯 (SW，取消)</t>
  </si>
  <si>
    <t>KI KV-M32 阀盖毛坯 (SW，取消)NPS3/4 1000WOG CF3M</t>
  </si>
  <si>
    <t>212080201T90101</t>
  </si>
  <si>
    <t>Ladish KV-080 阀体毛坯 (NACE)</t>
  </si>
  <si>
    <t>NPS1 2000WOG ASTM A216-WCB磷化</t>
  </si>
  <si>
    <t>Ladish KV-080 阀体毛坯 (NACE)NPS1 2000WOG ASTM A216-WCB磷化</t>
  </si>
  <si>
    <t>212080201090101</t>
  </si>
  <si>
    <t>Ladish KV-080-ND 阀体毛坯</t>
  </si>
  <si>
    <t>Ladish KV-080-ND 阀体毛坯NPS1 CL800 ASTM A216-WCB</t>
  </si>
  <si>
    <t>212080201070102</t>
  </si>
  <si>
    <t>Ladish KV-080-ND 阀体毛坯NPS1 CL800 ASTM A351-CF3M</t>
  </si>
  <si>
    <t>212080201220101</t>
  </si>
  <si>
    <t>Ladish KV-080 阀体毛坯 (NACE)NPS1 2000WOG ASTM A351-CN7M</t>
  </si>
  <si>
    <t>212018201220101</t>
  </si>
  <si>
    <t>212080201960101</t>
  </si>
  <si>
    <t>Ladish KV-080 阀体毛坯 (NACE)NPS1 2000WOG ASTM A995-CD3MN</t>
  </si>
  <si>
    <t>212080201225001</t>
  </si>
  <si>
    <t>Ladish KV-080 阀体毛坯 (NACE)NPS1/2 2000WOG ASTM A351-CN7M</t>
  </si>
  <si>
    <t>212018201225001</t>
  </si>
  <si>
    <t>212080201965001</t>
  </si>
  <si>
    <t>Ladish KV-080 阀体毛坯 (NACE)NPS1/2 2000WOG ASTM A995-CD3MN</t>
  </si>
  <si>
    <t>212080201098601</t>
  </si>
  <si>
    <t>Ladish KV-080-ND 阀体毛坯NPS3/4 CL800 ASTM A216-WCB</t>
  </si>
  <si>
    <t>212080201T98601</t>
  </si>
  <si>
    <t>NPS3/4 2000WOG ASTM A216-WCB磷化</t>
  </si>
  <si>
    <t>Ladish KV-080 阀体毛坯 (NACE)NPS3/4 2000WOG ASTM A216-WCB磷化</t>
  </si>
  <si>
    <t>212080201078602</t>
  </si>
  <si>
    <t>Ladish KV-080-ND 阀体毛坯NPS3/4 CL800 ASTM A351-CF3M</t>
  </si>
  <si>
    <t>212080201228601</t>
  </si>
  <si>
    <t>Ladish KV-080 阀体毛坯 (NACE)NPS3/4 2000WOG ASTM A351-CN7M</t>
  </si>
  <si>
    <t>212018201228601</t>
  </si>
  <si>
    <t>212080201968601</t>
  </si>
  <si>
    <t>Ladish KV-080 阀体毛坯 (NACE)NPS3/4 2000WOG ASTM A995-CD3MN</t>
  </si>
  <si>
    <t>212080201075101</t>
  </si>
  <si>
    <t>Ladish KV-080 阀体毛坯 (英制芯棒)</t>
  </si>
  <si>
    <t>Ladish KV-080 阀体毛坯 (英制芯棒)NPS11/2 1500WOG CF3M</t>
  </si>
  <si>
    <t>212080201070201</t>
  </si>
  <si>
    <t>Ladish KV-080 阀体毛坯 (英制芯棒)NPS2 1500WOG CF3M</t>
  </si>
  <si>
    <t>212080201095101</t>
  </si>
  <si>
    <t>Ladish KV-080-ND 阀体毛坯NPS11/2 CL600 ASTM A216-WCB</t>
  </si>
  <si>
    <t>212080201T95101</t>
  </si>
  <si>
    <t>Ladish KV-080 阀体毛坯 (英制芯棒，NACE)</t>
  </si>
  <si>
    <t>NPS11/2 1500WOG ASTM A216-WCB磷化</t>
  </si>
  <si>
    <t>Ladish KV-080 阀体毛坯 (英制芯棒，NACE)NPS11/2 1500WOG ASTM A216-WCB磷化</t>
  </si>
  <si>
    <t>212080201075102</t>
  </si>
  <si>
    <t>Ladish KV-080-ND 阀体毛坯NPS11/2 CL600 ASTM A351-CF3M</t>
  </si>
  <si>
    <t>212080201225101</t>
  </si>
  <si>
    <t>Ladish KV-080 阀体毛坯 (英制芯棒，NACE)NPS11/2 1500WOG ASTM A351-CN7M</t>
  </si>
  <si>
    <t>212080201965101</t>
  </si>
  <si>
    <t>Ladish KV-080 阀体毛坯 (英制芯棒,NACE)</t>
  </si>
  <si>
    <t>Ladish KV-080 阀体毛坯 (英制芯棒,NACE)NPS11/2 1500WOG ASTM A995-CD3MN</t>
  </si>
  <si>
    <t>212080201T90201</t>
  </si>
  <si>
    <t>NPS2 1500WOG ASTM A216-WCB磷化</t>
  </si>
  <si>
    <t>Ladish KV-080 阀体毛坯 (英制芯棒，NACE)NPS2 1500WOG ASTM A216-WCB磷化</t>
  </si>
  <si>
    <t>212080201220201</t>
  </si>
  <si>
    <t>Ladish KV-080 阀体毛坯 (英制芯棒，NACE)NPS2 1500WOG ASTM A351-CN7M</t>
  </si>
  <si>
    <t>212080201960201</t>
  </si>
  <si>
    <t>Ladish KV-080 阀体毛坯 (英制芯棒,NACE)NPS2 1500WOG ASTM A995-CD3MN</t>
  </si>
  <si>
    <t>212080201070101</t>
  </si>
  <si>
    <t>Ladish KV-080 阀体毛坯</t>
  </si>
  <si>
    <t>Ladish KV-080 阀体毛坯NPS1 2000WOG CF3M</t>
  </si>
  <si>
    <t>212080201075001</t>
  </si>
  <si>
    <t>Ladish KV-080 阀体毛坯NPS1/2 2000WOG CF3M</t>
  </si>
  <si>
    <t>212080201075002</t>
  </si>
  <si>
    <t>Ladish KV-080-ND 阀体毛坯NPS1/2 CL800 ASTM A351-CF3M</t>
  </si>
  <si>
    <t>212080201095002</t>
  </si>
  <si>
    <t>Ladish KV-080-ND 阀体毛坯NPS1/2 CL800 ASTM A216-WCB</t>
  </si>
  <si>
    <t>212080201095001</t>
  </si>
  <si>
    <t>Ladish KV-080 阀体毛坯NPS1/2 2000WOG WCB</t>
  </si>
  <si>
    <t>212080201078601</t>
  </si>
  <si>
    <t>Ladish KV-080 阀体毛坯NPS3/4 1000WOG CF3M</t>
  </si>
  <si>
    <t>MB K-03</t>
  </si>
  <si>
    <t>XB1</t>
  </si>
  <si>
    <t>2055301040000600</t>
  </si>
  <si>
    <t>MB  K-03 XB</t>
  </si>
  <si>
    <t>MB  K-03 XB1 304</t>
  </si>
  <si>
    <t>2055301060000600</t>
  </si>
  <si>
    <t>MB  K-03 XB1 316</t>
  </si>
  <si>
    <t>XB1/2</t>
  </si>
  <si>
    <t>2055301040000400</t>
  </si>
  <si>
    <t>MB  K-03 XB1/2 304</t>
  </si>
  <si>
    <t>2055301060000400</t>
  </si>
  <si>
    <t>MB  K-03 XB1/2 316</t>
  </si>
  <si>
    <t>XB1/4</t>
  </si>
  <si>
    <t>2055301040000200</t>
  </si>
  <si>
    <t>MB  K-03 XB1/4 304</t>
  </si>
  <si>
    <t>2055301060000200</t>
  </si>
  <si>
    <t>MB  K-03 XB1/4 316</t>
  </si>
  <si>
    <t>XB1/8</t>
  </si>
  <si>
    <t>2055301040000100</t>
  </si>
  <si>
    <t>MB  K-03 XB1/8 304</t>
  </si>
  <si>
    <t>2055301060000100</t>
  </si>
  <si>
    <t>MB  K-03 XB1/8 316</t>
  </si>
  <si>
    <t>XB11/2</t>
  </si>
  <si>
    <t>2055301040000800</t>
  </si>
  <si>
    <t>MB  K-03 XB11/2 304</t>
  </si>
  <si>
    <t>2055301060000800</t>
  </si>
  <si>
    <t>MB  K-03 XB11/2 316</t>
  </si>
  <si>
    <t>2055301040000700</t>
  </si>
  <si>
    <t>MB  K-03 XB11/4 304</t>
  </si>
  <si>
    <t>XB11/4</t>
  </si>
  <si>
    <t>2055301060000700</t>
  </si>
  <si>
    <t>MB  K-03 XB11/4 316</t>
  </si>
  <si>
    <t>XB2</t>
  </si>
  <si>
    <t>2055301040000900</t>
  </si>
  <si>
    <t>MB  K-03 XB2 304</t>
  </si>
  <si>
    <t>2055301060000900</t>
  </si>
  <si>
    <t>MB  K-03 XB2 316</t>
  </si>
  <si>
    <t>XB21/2</t>
  </si>
  <si>
    <t>2055301040101000</t>
  </si>
  <si>
    <t>MB  K-03 XB21/2 304 NPT</t>
  </si>
  <si>
    <t>2055301060101000</t>
  </si>
  <si>
    <t>MB  K-03 XB21/2 316 NPT</t>
  </si>
  <si>
    <t>XB3</t>
  </si>
  <si>
    <t>2055301040001100</t>
  </si>
  <si>
    <t>MB  K-03 XB3 304</t>
  </si>
  <si>
    <t>2055301060001100</t>
  </si>
  <si>
    <t>MB  K-03 XB3 316</t>
  </si>
  <si>
    <t>XB3/4</t>
  </si>
  <si>
    <t>2055301040000500</t>
  </si>
  <si>
    <t>MB  K-03 XB3/4 304</t>
  </si>
  <si>
    <t>2055301060000500</t>
  </si>
  <si>
    <t>MB  K-03 XB3/4 316</t>
  </si>
  <si>
    <t>XB3/8</t>
  </si>
  <si>
    <t>2055301040000300</t>
  </si>
  <si>
    <t>MB  K-03 XB3/8 304</t>
  </si>
  <si>
    <t>2055301060000300</t>
  </si>
  <si>
    <t>MB  K-03 XB3/8 316</t>
  </si>
  <si>
    <t>XB4</t>
  </si>
  <si>
    <t>2055301040001200</t>
  </si>
  <si>
    <t>MB  K-03 XB4 304</t>
  </si>
  <si>
    <t>2055301060001200</t>
  </si>
  <si>
    <t>MB  K-03 XB4 316</t>
  </si>
  <si>
    <t>MB K-03 114</t>
  </si>
  <si>
    <t>114XB1</t>
  </si>
  <si>
    <t>2055302010100600</t>
  </si>
  <si>
    <t>MB 114 K-03 XB</t>
  </si>
  <si>
    <t>MB 114 K-03 XB1 CF8 NPT</t>
  </si>
  <si>
    <t>2055302020100600</t>
  </si>
  <si>
    <t>MB 114 K-03 XB1 CF8M NPT</t>
  </si>
  <si>
    <t>114XB1/2</t>
  </si>
  <si>
    <t>2055302010100400</t>
  </si>
  <si>
    <t>MB 114 K-03 XB1/2 CF8 NPT</t>
  </si>
  <si>
    <t>2055302020100400</t>
  </si>
  <si>
    <t>MB 114 K-03 XB1/2 CF8M NPT</t>
  </si>
  <si>
    <t>2015302020100400</t>
  </si>
  <si>
    <t>KI 114  KI-03 XB</t>
  </si>
  <si>
    <t>114XB1/4</t>
  </si>
  <si>
    <t>2055302010100200</t>
  </si>
  <si>
    <t>MB 114 K-03 XB1/4 CF8 NPT</t>
  </si>
  <si>
    <t>2055302020100200</t>
  </si>
  <si>
    <t>MB 114 K-03 XB1/4 CF8M NPT</t>
  </si>
  <si>
    <t>2015302020100200</t>
  </si>
  <si>
    <t>KI 114  KI-03 XB1/4 CF8M NPT</t>
  </si>
  <si>
    <t>114XB1/8</t>
  </si>
  <si>
    <t>2055302010100100</t>
  </si>
  <si>
    <t>MB 114 K-03 XB1/8 CF8 NPT</t>
  </si>
  <si>
    <t>2055302010700100</t>
  </si>
  <si>
    <t>1/8 CF8 BSPT</t>
  </si>
  <si>
    <t>2055302020100100</t>
  </si>
  <si>
    <t>MB 114 K-03 XB1/8 CF8M NPT</t>
  </si>
  <si>
    <t>2015302020100100</t>
  </si>
  <si>
    <t>KI 114  KI-03 XB1/8 CF8M NPT</t>
  </si>
  <si>
    <t>114XB11/2</t>
  </si>
  <si>
    <t>2055302010100800</t>
  </si>
  <si>
    <t>MB 114 K-03 XB11/2 CF8 NPT</t>
  </si>
  <si>
    <t>2055302020100800</t>
  </si>
  <si>
    <t>MB 114 K-03 XB11/2 CF8M NPT</t>
  </si>
  <si>
    <t>2015302020100800</t>
  </si>
  <si>
    <t>KI 114  KI-03 XB11/2 CF8M NPT</t>
  </si>
  <si>
    <t>114XB11/4</t>
  </si>
  <si>
    <t>2055302010100700</t>
  </si>
  <si>
    <t>MB 114 K-03 XB11/4 CF8 NPT</t>
  </si>
  <si>
    <t>2055302020100700</t>
  </si>
  <si>
    <t>MB 114 K-03 XB11/4 CF8M NPT</t>
  </si>
  <si>
    <t>2015302020100700</t>
  </si>
  <si>
    <t>KI 114  KI-03 XB11/4 CF8M NPT</t>
  </si>
  <si>
    <t>114XB4</t>
  </si>
  <si>
    <t>2055302010101200</t>
  </si>
  <si>
    <t>MB 114 K-03 XB4 CF8 NPT</t>
  </si>
  <si>
    <t>2055302020101200</t>
  </si>
  <si>
    <t>MB 114 K-03 XB4 CF8M NPT</t>
  </si>
  <si>
    <t>114XB2</t>
  </si>
  <si>
    <t>2055302010100900</t>
  </si>
  <si>
    <t>MB 114 K-03 XB2 CF8 NPT</t>
  </si>
  <si>
    <t>2055302020100900</t>
  </si>
  <si>
    <t>MB 114 K-03 XB2 CF8M NPT</t>
  </si>
  <si>
    <t>2015302020100900</t>
  </si>
  <si>
    <t>KI 114  KI-03 XB2 CF8M NPT</t>
  </si>
  <si>
    <t>114XB21/2</t>
  </si>
  <si>
    <t>2055302010101000</t>
  </si>
  <si>
    <t>MB 114 K-03 XB21/2 CF8 NPT</t>
  </si>
  <si>
    <t>2055302020101000</t>
  </si>
  <si>
    <t>MB 114 K-03 XB21/2 CF8M NPT</t>
  </si>
  <si>
    <t>114XB3</t>
  </si>
  <si>
    <t>2055302010101100</t>
  </si>
  <si>
    <t>MB 114 K-03 XB3 CF8 NPT</t>
  </si>
  <si>
    <t>2055302020101100</t>
  </si>
  <si>
    <t>MB 114 K-03 XB3 CF8M NPT</t>
  </si>
  <si>
    <t>114XB3/4</t>
  </si>
  <si>
    <t>2055302010100500</t>
  </si>
  <si>
    <t>MB 114 K-03 XB3/4 CF8 NPT</t>
  </si>
  <si>
    <t>2055302020100500</t>
  </si>
  <si>
    <t>MB 114 K-03 XB3/4 CF8M NPT</t>
  </si>
  <si>
    <t>2015302020100500</t>
  </si>
  <si>
    <t>KI 114  KI-03 XB3/4 CF8M NPT</t>
  </si>
  <si>
    <t>114XB3/8</t>
  </si>
  <si>
    <t>2055302010100300</t>
  </si>
  <si>
    <t>MB 114 K-03 XB3/8 CF8 NPT</t>
  </si>
  <si>
    <t>2055302020100300</t>
  </si>
  <si>
    <t>MB 114 K-03 XB3/8 CF8M NPT</t>
  </si>
  <si>
    <t>2015302020100300</t>
  </si>
  <si>
    <t>MB K-072</t>
  </si>
  <si>
    <t>HN1</t>
  </si>
  <si>
    <t>2055841040000610</t>
  </si>
  <si>
    <t>MB  K-072 HN 热处理</t>
  </si>
  <si>
    <t>MB  K-072 HN 热处理1 304</t>
  </si>
  <si>
    <t>2055841060000610</t>
  </si>
  <si>
    <t>MB  K-072 HN 热处理1 316</t>
  </si>
  <si>
    <t>HN1/2</t>
  </si>
  <si>
    <t>2055841040000410</t>
  </si>
  <si>
    <t>MB  K-072 HN 热处理1/2 304</t>
  </si>
  <si>
    <t>2055841060000410</t>
  </si>
  <si>
    <t>MB  K-072 HN 热处理1/2 316</t>
  </si>
  <si>
    <t>HN1/4</t>
  </si>
  <si>
    <t>2055841040000210</t>
  </si>
  <si>
    <t>MB  K-072 HN 热处理1/4 304</t>
  </si>
  <si>
    <t>2055841060000210</t>
  </si>
  <si>
    <t>MB  K-072 HN 热处理1/4 316</t>
  </si>
  <si>
    <t>HN1/8</t>
  </si>
  <si>
    <t>2055841040000110</t>
  </si>
  <si>
    <t>MB  K-072 HN 热处理1/8 304</t>
  </si>
  <si>
    <t>HN11/2</t>
  </si>
  <si>
    <t>2055841040000810</t>
  </si>
  <si>
    <t>MB  K-072 HN 热处理11/2 304</t>
  </si>
  <si>
    <t>2055841060000810</t>
  </si>
  <si>
    <t>MB  K-072 HN 热处理11/2 316</t>
  </si>
  <si>
    <t>HN11/4</t>
  </si>
  <si>
    <t>2055841040000710</t>
  </si>
  <si>
    <t>MB  K-072 HN 热处理11/4 304</t>
  </si>
  <si>
    <t>2055841060000710</t>
  </si>
  <si>
    <t>MB  K-072 HN 热处理11/4 316</t>
  </si>
  <si>
    <t>HN2</t>
  </si>
  <si>
    <t>2055841040000910</t>
  </si>
  <si>
    <t>MB  K-072 HN 热处理2 304</t>
  </si>
  <si>
    <t>2055841060000910</t>
  </si>
  <si>
    <t>MB  K-072 HN 热处理2 316</t>
  </si>
  <si>
    <t>HN21/2</t>
  </si>
  <si>
    <t>2055841040101010</t>
  </si>
  <si>
    <t>MB  K-072 HN 热处理21/2 304 NPT</t>
  </si>
  <si>
    <t>2055841060101010</t>
  </si>
  <si>
    <t>HN3</t>
  </si>
  <si>
    <t>2055841040001110</t>
  </si>
  <si>
    <t>MB  K-072 HN 热处理3 304</t>
  </si>
  <si>
    <t>2055841060001110</t>
  </si>
  <si>
    <t>MB  K-072 HN 热处理3 316</t>
  </si>
  <si>
    <t>HN3/4</t>
  </si>
  <si>
    <t>2055841040000510</t>
  </si>
  <si>
    <t>MB  K-072 HN 热处理3/4 304</t>
  </si>
  <si>
    <t>2055841060000510</t>
  </si>
  <si>
    <t>MB  K-072 HN 热处理3/4 316</t>
  </si>
  <si>
    <t>HN3/8</t>
  </si>
  <si>
    <t>2055841040000310</t>
  </si>
  <si>
    <t>MB  K-072 HN 热处理3/8 304</t>
  </si>
  <si>
    <t>2055841060000310</t>
  </si>
  <si>
    <t>MB  K-072 HN 热处理3/8 316</t>
  </si>
  <si>
    <t>2055841040000600</t>
  </si>
  <si>
    <t>MB  K-072 HN</t>
  </si>
  <si>
    <t>MB  K-072 HN1 304</t>
  </si>
  <si>
    <t>2055841040000400</t>
  </si>
  <si>
    <t>MB  K-072 HN1/2 304</t>
  </si>
  <si>
    <t>2055841040000200</t>
  </si>
  <si>
    <t>MB  K-072 HN1/4 304</t>
  </si>
  <si>
    <t>2055841040100100</t>
  </si>
  <si>
    <t>1/8 304 NPT</t>
  </si>
  <si>
    <t>MB  K-072 HN1/8 304 NPT</t>
  </si>
  <si>
    <t>2055841060000100</t>
  </si>
  <si>
    <t>MB  K-072 HN1/8 316</t>
  </si>
  <si>
    <t>2055841040000800</t>
  </si>
  <si>
    <t>MB  K-072 HN11/2 304</t>
  </si>
  <si>
    <t>2055841040000900</t>
  </si>
  <si>
    <t>MB  K-072 HN2 304</t>
  </si>
  <si>
    <t>2055841040000500</t>
  </si>
  <si>
    <t>MB  K-072 HN3/4 304</t>
  </si>
  <si>
    <t>2055841040000300</t>
  </si>
  <si>
    <t>MB  K-072 HN3/8 304</t>
  </si>
  <si>
    <t>MB K-07A</t>
  </si>
  <si>
    <t>RHN1*1/2</t>
  </si>
  <si>
    <t>2055721040002410</t>
  </si>
  <si>
    <t>MB  K-07A RHN 热处理</t>
  </si>
  <si>
    <t>MB  K-07A RHN 热处理1*1/2 304</t>
  </si>
  <si>
    <t>2055721060002410</t>
  </si>
  <si>
    <t>MB  K-07A RHN 热处理1*1/2 316</t>
  </si>
  <si>
    <t>RHN1*3/4</t>
  </si>
  <si>
    <t>2055721040002310</t>
  </si>
  <si>
    <t>MB  K-07A RHN 热处理1*3/4 304</t>
  </si>
  <si>
    <t>2055721060002310</t>
  </si>
  <si>
    <t>MB  K-07A RHN 热处理1*3/4 316</t>
  </si>
  <si>
    <t>RHN1*3/8</t>
  </si>
  <si>
    <t>2055721040002510</t>
  </si>
  <si>
    <t>MB  K-07A RHN 热处理1*3/8 304</t>
  </si>
  <si>
    <t>2055721060002510</t>
  </si>
  <si>
    <t>MB  K-07A RHN 热处理1*3/8 316</t>
  </si>
  <si>
    <t>RHN1/2*1/4</t>
  </si>
  <si>
    <t>2055721040001710</t>
  </si>
  <si>
    <t>MB  K-07A RHN 热处理1/2*1/4 304</t>
  </si>
  <si>
    <t>2055721060001710</t>
  </si>
  <si>
    <t>MB  K-07A RHN 热处理1/2*1/4 316</t>
  </si>
  <si>
    <t>RHN1/2*1/8</t>
  </si>
  <si>
    <t>2055721040001810</t>
  </si>
  <si>
    <t>MB  K-07A RHN 热处理1/2*1/8 304</t>
  </si>
  <si>
    <t>2055721060001810</t>
  </si>
  <si>
    <t>MB  K-07A RHN 热处理1/2*1/8 316</t>
  </si>
  <si>
    <t>RHN1/2*3/8</t>
  </si>
  <si>
    <t>2055721040001610</t>
  </si>
  <si>
    <t>MB  K-07A RHN 热处理1/2*3/8 304</t>
  </si>
  <si>
    <t>2055721060001610</t>
  </si>
  <si>
    <t>MB  K-07A RHN 热处理1/2*3/8 316</t>
  </si>
  <si>
    <t>RHN1/4*1/8</t>
  </si>
  <si>
    <t>2055721040001310</t>
  </si>
  <si>
    <t>MB  K-07A RHN 热处理1/4*1/8 304</t>
  </si>
  <si>
    <t>2055721060001310</t>
  </si>
  <si>
    <t>MB  K-07A RHN 热处理1/4*1/8 316</t>
  </si>
  <si>
    <t>RHN11/2*1</t>
  </si>
  <si>
    <t>2055721040003510</t>
  </si>
  <si>
    <t>MB  K-07A RHN 热处理11/2*1 304</t>
  </si>
  <si>
    <t>2055721060003510</t>
  </si>
  <si>
    <t>MB  K-07A RHN 热处理11/2*1 316</t>
  </si>
  <si>
    <t>RHN11/2*11/4</t>
  </si>
  <si>
    <t>2055721040003410</t>
  </si>
  <si>
    <t>MB  K-07A RHN 热处理11/2*11/4 304</t>
  </si>
  <si>
    <t>2055721060003410</t>
  </si>
  <si>
    <t>MB  K-07A RHN 热处理11/2*11/4 316</t>
  </si>
  <si>
    <t>RHN11/2*3/4</t>
  </si>
  <si>
    <t>2055721040003610</t>
  </si>
  <si>
    <t>MB  K-07A RHN 热处理11/2*3/4 304</t>
  </si>
  <si>
    <t>2055721060003610</t>
  </si>
  <si>
    <t>MB  K-07A RHN 热处理11/2*3/4 316</t>
  </si>
  <si>
    <t>RHN11/4*1</t>
  </si>
  <si>
    <t>2055721040002810</t>
  </si>
  <si>
    <t>MB  K-07A RHN 热处理11/4*1 304</t>
  </si>
  <si>
    <t>2055721060002810</t>
  </si>
  <si>
    <t>MB  K-07A RHN 热处理11/4*1 316</t>
  </si>
  <si>
    <t>RHN11/4*3/4</t>
  </si>
  <si>
    <t>2055721040002910</t>
  </si>
  <si>
    <t>MB  K-07A RHN 热处理11/4*3/4 304</t>
  </si>
  <si>
    <t>2055721060002910</t>
  </si>
  <si>
    <t>MB  K-07A RHN 热处理11/4*3/4 316</t>
  </si>
  <si>
    <t>RHN2*1</t>
  </si>
  <si>
    <t>2055721040004210</t>
  </si>
  <si>
    <t>MB  K-07A RHN 热处理2*1 304</t>
  </si>
  <si>
    <t>2055721060004210</t>
  </si>
  <si>
    <t>MB  K-07A RHN 热处理2*1 316</t>
  </si>
  <si>
    <t>RHN2*11/2</t>
  </si>
  <si>
    <t>2055721040004010</t>
  </si>
  <si>
    <t>MB  K-07A RHN 热处理2*11/2 304</t>
  </si>
  <si>
    <t>2055721060004010</t>
  </si>
  <si>
    <t>MB  K-07A RHN 热处理2*11/2 316</t>
  </si>
  <si>
    <t>RHN2*11/4</t>
  </si>
  <si>
    <t>2055721040004110</t>
  </si>
  <si>
    <t>MB  K-07A RHN 热处理2*11/4 304</t>
  </si>
  <si>
    <t>2055721060004110</t>
  </si>
  <si>
    <t>MB  K-07A RHN 热处理2*11/4 316</t>
  </si>
  <si>
    <t>RHN3/4*1/2</t>
  </si>
  <si>
    <t>2055721040001910</t>
  </si>
  <si>
    <t>MB  K-07A RHN 热处理3/4*1/2 304</t>
  </si>
  <si>
    <t>2055721060001910</t>
  </si>
  <si>
    <t>MB  K-07A RHN 热处理3/4*1/2 316</t>
  </si>
  <si>
    <t>RHN3/4*1/4</t>
  </si>
  <si>
    <t>2055721040002110</t>
  </si>
  <si>
    <t>MB  K-07A RHN 热处理3/4*1/4 304</t>
  </si>
  <si>
    <t>2055721060002110</t>
  </si>
  <si>
    <t>MB  K-07A RHN 热处理3/4*1/4 316</t>
  </si>
  <si>
    <t>RHN3/4*3/8</t>
  </si>
  <si>
    <t>2055721040002010</t>
  </si>
  <si>
    <t>MB  K-07A RHN 热处理3/4*3/8 304</t>
  </si>
  <si>
    <t>2055721060002010</t>
  </si>
  <si>
    <t>MB  K-07A RHN 热处理3/4*3/8 316</t>
  </si>
  <si>
    <t>RHN3/8*1/4</t>
  </si>
  <si>
    <t>2055721040001410</t>
  </si>
  <si>
    <t>MB  K-07A RHN 热处理3/8*1/4 304</t>
  </si>
  <si>
    <t>2055721060001410</t>
  </si>
  <si>
    <t>MB  K-07A RHN 热处理3/8*1/4 316</t>
  </si>
  <si>
    <t>RHN3/8*1/8</t>
  </si>
  <si>
    <t>2055721040001510</t>
  </si>
  <si>
    <t>MB  K-07A RHN 热处理3/8*1/8 304</t>
  </si>
  <si>
    <t>2055721060001510</t>
  </si>
  <si>
    <t>3/8*1/8 316</t>
  </si>
  <si>
    <t>MB  K-07A RHN 热处理3/8*1/8 316</t>
  </si>
  <si>
    <t>MB K-07E</t>
  </si>
  <si>
    <t>HWN1</t>
  </si>
  <si>
    <t>2055761040000600</t>
  </si>
  <si>
    <t>MB  K-07E HWN</t>
  </si>
  <si>
    <t>MB  K-07E HWN1 304</t>
  </si>
  <si>
    <t>2055761060000600</t>
  </si>
  <si>
    <t>MB  K-07E HWN1 316</t>
  </si>
  <si>
    <t>HWN1/2</t>
  </si>
  <si>
    <t>2055761040000400</t>
  </si>
  <si>
    <t>MB  K-07E HWN1/2 304</t>
  </si>
  <si>
    <t>HWN1/4</t>
  </si>
  <si>
    <t>2055761040000200</t>
  </si>
  <si>
    <t>MB  K-07E HWN1/4 304</t>
  </si>
  <si>
    <t>HWN11/2</t>
  </si>
  <si>
    <t>2055761040000800</t>
  </si>
  <si>
    <t>MB  K-07E HWN11/2 304</t>
  </si>
  <si>
    <t>HWN11/4</t>
  </si>
  <si>
    <t>2055761040000700</t>
  </si>
  <si>
    <t>MB  K-07E HWN11/4 304</t>
  </si>
  <si>
    <t>2055761060000700</t>
  </si>
  <si>
    <t>MB  K-07E HWN11/4 316</t>
  </si>
  <si>
    <t>HWN2</t>
  </si>
  <si>
    <t>2055761040000900</t>
  </si>
  <si>
    <t>MB  K-07E HWN2 304</t>
  </si>
  <si>
    <t>2055761060000900</t>
  </si>
  <si>
    <t>MB  K-07E HWN2 316</t>
  </si>
  <si>
    <t>HWN21/2</t>
  </si>
  <si>
    <t>2055761040101000</t>
  </si>
  <si>
    <t>MB  K-07E HWN21/2 304 NPT</t>
  </si>
  <si>
    <t>HWN3/4</t>
  </si>
  <si>
    <t>2055761040000500</t>
  </si>
  <si>
    <t>MB  K-07E HWN3/4 304</t>
  </si>
  <si>
    <t>2057441060000800</t>
  </si>
  <si>
    <t>MB  K-07E NI HWN</t>
  </si>
  <si>
    <t>MB  K-07E NI HWN11/2 316</t>
  </si>
  <si>
    <t>2057441060000700</t>
  </si>
  <si>
    <t>MB  K-07E NI HWN11/4 316</t>
  </si>
  <si>
    <t>2057441060000900</t>
  </si>
  <si>
    <t>MB  K-07E NI HWN2 316</t>
  </si>
  <si>
    <t>2057441060000200</t>
  </si>
  <si>
    <t>MB  K-07E-Ni HWN</t>
  </si>
  <si>
    <t>MB  K-07E-Ni HWN1/4 316</t>
  </si>
  <si>
    <t>2057441060101000</t>
  </si>
  <si>
    <t>MB  K-07E-NI HWN</t>
  </si>
  <si>
    <t>MB  K-07E-NI HWN21/2 316 NPT</t>
  </si>
  <si>
    <t>HWN3</t>
  </si>
  <si>
    <t>2057441060101100</t>
  </si>
  <si>
    <t>3 316 NPT</t>
  </si>
  <si>
    <t>MB  K-07E-NI HWN3 316 NPT</t>
  </si>
  <si>
    <t>MBC -OM-07</t>
  </si>
  <si>
    <t>OM071/4</t>
  </si>
  <si>
    <t>242661820061</t>
  </si>
  <si>
    <t>MBC-OM-07</t>
  </si>
  <si>
    <t>MBC-OM-071/4inch 316 NPT 毛坯</t>
  </si>
  <si>
    <t>KI K-08B 114</t>
  </si>
  <si>
    <t>114PP1</t>
  </si>
  <si>
    <t>2015822020100600</t>
  </si>
  <si>
    <t>KI 114  KI-08B PP</t>
  </si>
  <si>
    <t>KI 114  KI-08B PP1 CF8M NPT</t>
  </si>
  <si>
    <t>114PP1/2</t>
  </si>
  <si>
    <t>2015822010100400</t>
  </si>
  <si>
    <t>KI 114  KI-08B PP1/2 CF8 NPT</t>
  </si>
  <si>
    <t>2015822020100400</t>
  </si>
  <si>
    <t>KI 114  KI-08B PP1/2 CF8M NPT</t>
  </si>
  <si>
    <t>114PP1/4</t>
  </si>
  <si>
    <t>2015822010100200</t>
  </si>
  <si>
    <t>KI 114  KI-08B PP1/4 CF8 NPT</t>
  </si>
  <si>
    <t>2015822020100200</t>
  </si>
  <si>
    <t>KI 114  KI-08B PP1/4 CF8M NPT</t>
  </si>
  <si>
    <t>114PP1/8</t>
  </si>
  <si>
    <t>2015822020100100</t>
  </si>
  <si>
    <t>KI 114  KI-08B PP1/8 CF8M NPT</t>
  </si>
  <si>
    <t>114PP11/2</t>
  </si>
  <si>
    <t>2015822010100800</t>
  </si>
  <si>
    <t>KI 114  KI-08B PP11/2 CF8 NPT</t>
  </si>
  <si>
    <t>2015822020100800</t>
  </si>
  <si>
    <t>KI 114  KI-08B PP11/2 CF8M NPT</t>
  </si>
  <si>
    <t>114PP2</t>
  </si>
  <si>
    <t>2015822010100900</t>
  </si>
  <si>
    <t>KI 114  KI-08B PP2 CF8 NPT</t>
  </si>
  <si>
    <t>2015822020100900</t>
  </si>
  <si>
    <t>KI 114  KI-08B PP2 CF8M NPT</t>
  </si>
  <si>
    <t>114PP21/2</t>
  </si>
  <si>
    <t>2015822020101000</t>
  </si>
  <si>
    <t>KI 114  KI-08B PP21/2 CF8M NPT</t>
  </si>
  <si>
    <t>114PP3</t>
  </si>
  <si>
    <t>2015822020101100</t>
  </si>
  <si>
    <t>KI 114  KI-08B PP3 CF8M NPT</t>
  </si>
  <si>
    <t>114PP3/4</t>
  </si>
  <si>
    <t>2015822020100500</t>
  </si>
  <si>
    <t>KI 114  KI-08B PP3/4 CF8M NPT</t>
  </si>
  <si>
    <t>114PP3/8</t>
  </si>
  <si>
    <t>2015822020100300</t>
  </si>
  <si>
    <t>KI 114  KI-08B PP3/8 CF8M NPT</t>
  </si>
  <si>
    <t>MB K-08</t>
  </si>
  <si>
    <t>PFCO1</t>
  </si>
  <si>
    <t>2055801040000600</t>
  </si>
  <si>
    <t>MB  K-08 PFCO</t>
  </si>
  <si>
    <t>MB  K-08 PFCO1 304</t>
  </si>
  <si>
    <t>2055801060000600</t>
  </si>
  <si>
    <t>MB  K-08 PFCO1 316</t>
  </si>
  <si>
    <t>PFCO1/2</t>
  </si>
  <si>
    <t>2055801040000400</t>
  </si>
  <si>
    <t>MB  K-08 PFCO1/2 304</t>
  </si>
  <si>
    <t>2055801060000400</t>
  </si>
  <si>
    <t>MB  K-08 PFCO1/2 316</t>
  </si>
  <si>
    <t>PFCO1/4</t>
  </si>
  <si>
    <t>2055801040000200</t>
  </si>
  <si>
    <t>MB  K-08 PFCO1/4 304</t>
  </si>
  <si>
    <t>2055801060000200</t>
  </si>
  <si>
    <t>MB  K-08 PFCO1/4 316</t>
  </si>
  <si>
    <t>PFCO1/8</t>
  </si>
  <si>
    <t>2055801040000100</t>
  </si>
  <si>
    <t>MB  K-08 PFCO1/8 304</t>
  </si>
  <si>
    <t>2055801060000100</t>
  </si>
  <si>
    <t>MB  K-08 PFCO1/8 316</t>
  </si>
  <si>
    <t>PFCO11/2</t>
  </si>
  <si>
    <t>2055801040000800</t>
  </si>
  <si>
    <t>MB  K-08 PFCO11/2 304</t>
  </si>
  <si>
    <t>2055801060000800</t>
  </si>
  <si>
    <t>MB  K-08 PFCO11/2 316</t>
  </si>
  <si>
    <t>PFCO11/4</t>
  </si>
  <si>
    <t>2055801040000700</t>
  </si>
  <si>
    <t>MB  K-08 PFCO11/4 304</t>
  </si>
  <si>
    <t>2055801060000700</t>
  </si>
  <si>
    <t>MB  K-08 PFCO11/4 316</t>
  </si>
  <si>
    <t>PFCO2</t>
  </si>
  <si>
    <t>2055801040000900</t>
  </si>
  <si>
    <t>MB  K-08 PFCO2 304</t>
  </si>
  <si>
    <t>2055801060000900</t>
  </si>
  <si>
    <t>MB  K-08 PFCO2 316</t>
  </si>
  <si>
    <t>PFCO21/2</t>
  </si>
  <si>
    <t>2055801040101000</t>
  </si>
  <si>
    <t>MB  K-08 PFCO21/2 304 NPT</t>
  </si>
  <si>
    <t>2055801060101000</t>
  </si>
  <si>
    <t>PFCO3</t>
  </si>
  <si>
    <t>2055801040001100</t>
  </si>
  <si>
    <t>MB  K-08 PFCO3 304</t>
  </si>
  <si>
    <t>2055801060001100</t>
  </si>
  <si>
    <t>PFCO3/4</t>
  </si>
  <si>
    <t>2055801040000500</t>
  </si>
  <si>
    <t>MB  K-08 PFCO3/4 304</t>
  </si>
  <si>
    <t>2055801060000500</t>
  </si>
  <si>
    <t>MB  K-08 PFCO3/4 316</t>
  </si>
  <si>
    <t>PFCO3/8</t>
  </si>
  <si>
    <t>2055801040000300</t>
  </si>
  <si>
    <t>MB  K-08 PFCO3/8 304</t>
  </si>
  <si>
    <t>2055801060000300</t>
  </si>
  <si>
    <t>MB  K-08 PFCO3/8 316</t>
  </si>
  <si>
    <t>PFCO4</t>
  </si>
  <si>
    <t>2055801040001200</t>
  </si>
  <si>
    <t>MB  K-08 PFCO4 304</t>
  </si>
  <si>
    <t>2055801060001200</t>
  </si>
  <si>
    <t>MB  K-08 PFCO4 316</t>
  </si>
  <si>
    <t>MB K-08 114</t>
  </si>
  <si>
    <t>114PFCO1</t>
  </si>
  <si>
    <t>2055802010100600</t>
  </si>
  <si>
    <t>MB 114 K-08 PFCO</t>
  </si>
  <si>
    <t>MB 114 K-08 PFCO1 CF8 NPT</t>
  </si>
  <si>
    <t>2055802020100600</t>
  </si>
  <si>
    <t>MB 114 K-08 PFCO1 CF8M NPT</t>
  </si>
  <si>
    <t>114PFCO1/2</t>
  </si>
  <si>
    <t>2055802010100400</t>
  </si>
  <si>
    <t>MB 114 K-08 PFCO1/2 CF8 NPT</t>
  </si>
  <si>
    <t>2055802020100400</t>
  </si>
  <si>
    <t>MB 114 K-08 PFCO1/2 CF8M NPT</t>
  </si>
  <si>
    <t>114PFCO1/4</t>
  </si>
  <si>
    <t>2055802010100200</t>
  </si>
  <si>
    <t>MB 114 K-08 PFCO1/4 CF8 NPT</t>
  </si>
  <si>
    <t>2055802020100200</t>
  </si>
  <si>
    <t>MB 114 K-08 PFCO1/4 CF8M NPT</t>
  </si>
  <si>
    <t>114PFCO1/8</t>
  </si>
  <si>
    <t>2055802010100100</t>
  </si>
  <si>
    <t>MB 114 K-08 PFCO1/8 CF8 NPT</t>
  </si>
  <si>
    <t>2055802020100100</t>
  </si>
  <si>
    <t>MB 114 K-08 PFCO1/8 CF8M NPT</t>
  </si>
  <si>
    <t>114PFCO11/2</t>
  </si>
  <si>
    <t>2055802010100800</t>
  </si>
  <si>
    <t>MB 114 K-08 PFCO11/2 CF8 NPT</t>
  </si>
  <si>
    <t>2055802020100800</t>
  </si>
  <si>
    <t>MB 114 K-08 PFCO11/2 CF8M NPT</t>
  </si>
  <si>
    <t>114PFCO11/4</t>
  </si>
  <si>
    <t>2055802010100700</t>
  </si>
  <si>
    <t>MB 114 K-08 PFCO11/4 CF8 NPT</t>
  </si>
  <si>
    <t>2055802020100700</t>
  </si>
  <si>
    <t>MB 114 K-08 PFCO11/4 CF8M NPT</t>
  </si>
  <si>
    <t>114PFCO2</t>
  </si>
  <si>
    <t>2055802010100900</t>
  </si>
  <si>
    <t>MB 114 K-08 PFCO2 CF8 NPT</t>
  </si>
  <si>
    <t>2055802020100900</t>
  </si>
  <si>
    <t>MB 114 K-08 PFCO2 CF8M NPT</t>
  </si>
  <si>
    <t>114PFCO21/2</t>
  </si>
  <si>
    <t>2055802010101000</t>
  </si>
  <si>
    <t>MB 114 K-08 PFCO21/2 CF8 NPT</t>
  </si>
  <si>
    <t>2055802020101000</t>
  </si>
  <si>
    <t>MB 114 K-08 PFCO21/2 CF8M NPT</t>
  </si>
  <si>
    <t>114PFCO3</t>
  </si>
  <si>
    <t>2055802010101100</t>
  </si>
  <si>
    <t>MB 114 K-08 PFCO3 CF8 NPT</t>
  </si>
  <si>
    <t>2055802020101100</t>
  </si>
  <si>
    <t>MB 114 K-08 PFCO3 CF8M NPT</t>
  </si>
  <si>
    <t>114PFCO3/4</t>
  </si>
  <si>
    <t>2055802010100500</t>
  </si>
  <si>
    <t>MB 114 K-08 PFCO3/4 CF8 NPT</t>
  </si>
  <si>
    <t>2055802020100500</t>
  </si>
  <si>
    <t>MB 114 K-08 PFCO3/4 CF8M NPT</t>
  </si>
  <si>
    <t>114PFCO3/8</t>
  </si>
  <si>
    <t>2055802010100300</t>
  </si>
  <si>
    <t>MB 114 K-08 PFCO3/8 CF8 NPT</t>
  </si>
  <si>
    <t>2055802020100300</t>
  </si>
  <si>
    <t>MB 114 K-08 PFCO3/8 CF8M NPT</t>
  </si>
  <si>
    <t>114PFCO4</t>
  </si>
  <si>
    <t>2055802010101200</t>
  </si>
  <si>
    <t>MB 114 K-08 PFCO4 CF8 NPT</t>
  </si>
  <si>
    <t>2055802020101200</t>
  </si>
  <si>
    <t>MB 114 K-08 PFCO4 CF8M NPT</t>
  </si>
  <si>
    <t>MB K-08B</t>
  </si>
  <si>
    <t>PP1</t>
  </si>
  <si>
    <t>2055821040000600</t>
  </si>
  <si>
    <t>MB  K-08B PP</t>
  </si>
  <si>
    <t>MB  K-08B PP1 304</t>
  </si>
  <si>
    <t>2055821060000600</t>
  </si>
  <si>
    <t>MB  K-08B PP1 316</t>
  </si>
  <si>
    <t>PP1/2</t>
  </si>
  <si>
    <t>2055821040000400</t>
  </si>
  <si>
    <t>MB  K-08B PP1/2 304</t>
  </si>
  <si>
    <t>2055821060000400</t>
  </si>
  <si>
    <t>MB  K-08B PP1/2 316</t>
  </si>
  <si>
    <t>PP1/4</t>
  </si>
  <si>
    <t>2055821040000200</t>
  </si>
  <si>
    <t>MB  K-08B PP1/4 304</t>
  </si>
  <si>
    <t>2055821060000200</t>
  </si>
  <si>
    <t>MB  K-08B PP1/4 316</t>
  </si>
  <si>
    <t>PP1/8</t>
  </si>
  <si>
    <t>2055821040000100</t>
  </si>
  <si>
    <t>MB  K-08B PP1/8 304</t>
  </si>
  <si>
    <t>2055821060000100</t>
  </si>
  <si>
    <t>MB  K-08B PP1/8 316</t>
  </si>
  <si>
    <t>PP11/2</t>
  </si>
  <si>
    <t>2055821040000800</t>
  </si>
  <si>
    <t>MB  K-08B PP11/2 304</t>
  </si>
  <si>
    <t>2055821060000800</t>
  </si>
  <si>
    <t>MB  K-08B PP11/2 316</t>
  </si>
  <si>
    <t>PP11/4</t>
  </si>
  <si>
    <t>2055821040000700</t>
  </si>
  <si>
    <t>MB  K-08B PP11/4 304</t>
  </si>
  <si>
    <t>2055821060000700</t>
  </si>
  <si>
    <t>MB  K-08B PP11/4 316</t>
  </si>
  <si>
    <t>PP2</t>
  </si>
  <si>
    <t>2055821040000900</t>
  </si>
  <si>
    <t>MB  K-08B PP2 304</t>
  </si>
  <si>
    <t>2055821060000900</t>
  </si>
  <si>
    <t>MB  K-08B PP2 316</t>
  </si>
  <si>
    <t>PP21/2</t>
  </si>
  <si>
    <t>2055821040101000</t>
  </si>
  <si>
    <t>MB  K-08B PP21/2 304 NPT</t>
  </si>
  <si>
    <t>2055821060101000</t>
  </si>
  <si>
    <t>MB  K-08B PP21/2 316 NPT</t>
  </si>
  <si>
    <t>PP3</t>
  </si>
  <si>
    <t>2055821040001100</t>
  </si>
  <si>
    <t>MB  K-08B PP3 304</t>
  </si>
  <si>
    <t>2055821060001100</t>
  </si>
  <si>
    <t>MB  K-08B PP3 316</t>
  </si>
  <si>
    <t>PP3/4</t>
  </si>
  <si>
    <t>2055821040000500</t>
  </si>
  <si>
    <t>MB  K-08B PP3/4 304</t>
  </si>
  <si>
    <t>2055821060000500</t>
  </si>
  <si>
    <t>MB  K-08B PP3/4 316</t>
  </si>
  <si>
    <t>PP3/8</t>
  </si>
  <si>
    <t>2055821040000300</t>
  </si>
  <si>
    <t>MB  K-08B PP3/8 304</t>
  </si>
  <si>
    <t>2055821060000300</t>
  </si>
  <si>
    <t>MB  K-08B PP3/8 316</t>
  </si>
  <si>
    <t>PP4</t>
  </si>
  <si>
    <t>2055821040001200</t>
  </si>
  <si>
    <t>MB  K-08B PP4 304</t>
  </si>
  <si>
    <t>2055821060001200</t>
  </si>
  <si>
    <t>MB  K-08B PP4 316</t>
  </si>
  <si>
    <t>MB K-08B 114</t>
  </si>
  <si>
    <t>2055822010100600</t>
  </si>
  <si>
    <t>MB 114 K-08B PP</t>
  </si>
  <si>
    <t>MB 114 K-08B PP1 CF8 NPT</t>
  </si>
  <si>
    <t>2015822010100600</t>
  </si>
  <si>
    <t>2055822020100600</t>
  </si>
  <si>
    <t>MB 114 K-08B PP1 CF8M NPT</t>
  </si>
  <si>
    <t>2055822010100400</t>
  </si>
  <si>
    <t>MB 114 K-08B PP1/2 CF8 NPT</t>
  </si>
  <si>
    <t>2055822020100400</t>
  </si>
  <si>
    <t>MB 114 K-08B PP1/2 CF8M NPT</t>
  </si>
  <si>
    <t>2055822010100200</t>
  </si>
  <si>
    <t>MB 114 K-08B PP1/4 CF8 NPT</t>
  </si>
  <si>
    <t>2055822020100200</t>
  </si>
  <si>
    <t>MB 114 K-08B PP1/4 CF8M NPT</t>
  </si>
  <si>
    <t>2055822010100100</t>
  </si>
  <si>
    <t>MB 114 K-08B PP1/8 CF8 NPT</t>
  </si>
  <si>
    <t>2015822010100100</t>
  </si>
  <si>
    <t>2055822020100100</t>
  </si>
  <si>
    <t>MB 114 K-08B PP1/8 CF8M NPT</t>
  </si>
  <si>
    <t>2055822010100800</t>
  </si>
  <si>
    <t>MB 114 K-08B PP11/2 CF8 NPT</t>
  </si>
  <si>
    <t>2055822020100800</t>
  </si>
  <si>
    <t>MB 114 K-08B PP11/2 CF8M NPT</t>
  </si>
  <si>
    <t>114PP11/4</t>
  </si>
  <si>
    <t>2055822010100700</t>
  </si>
  <si>
    <t>MB 114 K-08B PP11/4 CF8 NPT</t>
  </si>
  <si>
    <t>2015822010100700</t>
  </si>
  <si>
    <t>2055822020100700</t>
  </si>
  <si>
    <t>MB 114 K-08B PP11/4 CF8M NPT</t>
  </si>
  <si>
    <t>2015822020100700</t>
  </si>
  <si>
    <t>KI 114  KI-08B PP11/4 CF8M NPT</t>
  </si>
  <si>
    <t>2055822010100900</t>
  </si>
  <si>
    <t>MB 114 K-08B PP2 CF8 NPT</t>
  </si>
  <si>
    <t>2055822020100900</t>
  </si>
  <si>
    <t>MB 114 K-08B PP2 CF8M NPT</t>
  </si>
  <si>
    <t>2055822010101000</t>
  </si>
  <si>
    <t>MB 114 K-08B PP21/2 CF8 NPT</t>
  </si>
  <si>
    <t>2055822020101000</t>
  </si>
  <si>
    <t>MB 114 K-08B PP21/2 CF8M NPT</t>
  </si>
  <si>
    <t>2055822010101100</t>
  </si>
  <si>
    <t>MB 114 K-08B PP3 CF8 NPT</t>
  </si>
  <si>
    <t>2015822010101100</t>
  </si>
  <si>
    <t>2055822020101100</t>
  </si>
  <si>
    <t>MB 114 K-08B PP3 CF8M NPT</t>
  </si>
  <si>
    <t>2055822010100500</t>
  </si>
  <si>
    <t>MB 114 K-08B PP3/4 CF8 NPT</t>
  </si>
  <si>
    <t>2015822010100500</t>
  </si>
  <si>
    <t>2055822020100500</t>
  </si>
  <si>
    <t>MB 114 K-08B PP3/4 CF8M NPT</t>
  </si>
  <si>
    <t>2055822010100300</t>
  </si>
  <si>
    <t>MB 114 K-08B PP3/8 CF8 NPT</t>
  </si>
  <si>
    <t>2015822010100300</t>
  </si>
  <si>
    <t>2055822020100300</t>
  </si>
  <si>
    <t>MB 114 K-08B PP3/8 CF8M NPT</t>
  </si>
  <si>
    <t>114PP4</t>
  </si>
  <si>
    <t>2055822010101200</t>
  </si>
  <si>
    <t>MB 114 K-08B PP4 CF8 NPT</t>
  </si>
  <si>
    <t>2015822010101200</t>
  </si>
  <si>
    <t>2055822020101200</t>
  </si>
  <si>
    <t>MB 114 K-08B PP4 CF8M NPT</t>
  </si>
  <si>
    <t>2015822020101200</t>
  </si>
  <si>
    <t>KI 114  KI-08B PP4 CF8M NPT</t>
  </si>
  <si>
    <t>MB K-08B1 114</t>
  </si>
  <si>
    <t>2055862020100600</t>
  </si>
  <si>
    <t>MB 114 K-08B1 PP实心方头</t>
  </si>
  <si>
    <t>MB 114 K-08B1 PP实心方头1 CF8M NPT</t>
  </si>
  <si>
    <t>2055862010100400</t>
  </si>
  <si>
    <t>MB 114 K-08B1 PP实心方头1/2 CF8 NPT</t>
  </si>
  <si>
    <t>2055862020100400</t>
  </si>
  <si>
    <t>MB 114 K-08B1 PP实心方头1/2 CF8M NPT</t>
  </si>
  <si>
    <t>2055862010100800</t>
  </si>
  <si>
    <t>MB 114 K-08B1 PP实心方头11/2 CF8 NPT</t>
  </si>
  <si>
    <t>2055862020100800</t>
  </si>
  <si>
    <t>MB 114 K-08B1 PP实心方头11/2 CF8M NPT</t>
  </si>
  <si>
    <t>2055862010100700</t>
  </si>
  <si>
    <t>MB 114 K-08B1 PP实心方头11/4 CF8 NPT</t>
  </si>
  <si>
    <t>2055862010100900</t>
  </si>
  <si>
    <t>MB 114 K-08B1 PP实心方头2 CF8 NPT</t>
  </si>
  <si>
    <t>2055862020100900</t>
  </si>
  <si>
    <t>MB 114 K-08B1 PP实心方头2 CF8M NPT</t>
  </si>
  <si>
    <t>2055862010100500</t>
  </si>
  <si>
    <t>MB 114 K-08B1 PP实心方头3/4 CF8 NPT</t>
  </si>
  <si>
    <t>114PP13/4</t>
  </si>
  <si>
    <t>2055862020100500</t>
  </si>
  <si>
    <t>MB 114 K-08B1 PP实心方头3/4 CF8M NPT</t>
  </si>
  <si>
    <t>114PP111/4</t>
  </si>
  <si>
    <t>2055862020100700</t>
  </si>
  <si>
    <t>MB 114 K-08B1 PP实心方头11/4 CF8M NPT</t>
  </si>
  <si>
    <t>114PP11</t>
  </si>
  <si>
    <t>2055862010100600</t>
  </si>
  <si>
    <t xml:space="preserve">MB 114 K-08B1 PP实心方头 </t>
  </si>
  <si>
    <t>MB 114 K-08B1 PP实心方头 1 CF8 NPT</t>
  </si>
  <si>
    <t>KI K-09 114</t>
  </si>
  <si>
    <t>114HB1*1/2</t>
  </si>
  <si>
    <t>2015902020102400</t>
  </si>
  <si>
    <t>KI 114  KI-09 HB</t>
  </si>
  <si>
    <t>1*1/2 CF8M NPT</t>
  </si>
  <si>
    <t>KI 114  KI-09 HB1*1/2 CF8M NPT</t>
  </si>
  <si>
    <t>114HB1*3/4</t>
  </si>
  <si>
    <t>2015902020102300</t>
  </si>
  <si>
    <t>1*3/4 CF8M NPT</t>
  </si>
  <si>
    <t>KI 114  KI-09 HB1*3/4 CF8M NPT</t>
  </si>
  <si>
    <t>114HB1/2*1/4</t>
  </si>
  <si>
    <t>2015902020101700</t>
  </si>
  <si>
    <t>1/2*1/4 CF8M NPT</t>
  </si>
  <si>
    <t>KI 114  KI-09 HB1/2*1/4 CF8M NPT</t>
  </si>
  <si>
    <t>2015902010101700</t>
  </si>
  <si>
    <t>1/2*1/4 CF8 NPT</t>
  </si>
  <si>
    <t>114HB1/2*3/8</t>
  </si>
  <si>
    <t>2015902020101600</t>
  </si>
  <si>
    <t>1/2*3/8 CF8M NPT</t>
  </si>
  <si>
    <t>KI 114  KI-09 HB1/2*3/8 CF8M NPT</t>
  </si>
  <si>
    <t>114HB1/4*1/8</t>
  </si>
  <si>
    <t>2015902020101300</t>
  </si>
  <si>
    <t>1/4*1/8 CF8M NPT</t>
  </si>
  <si>
    <t>KI 114  KI-09 HB1/4*1/8 CF8M NPT</t>
  </si>
  <si>
    <t>114HB11/2*1</t>
  </si>
  <si>
    <t>2015902010103500</t>
  </si>
  <si>
    <t>11/2*1 CF8 NPT</t>
  </si>
  <si>
    <t>KI 114  KI-09 HB11/2*1 CF8 NPT</t>
  </si>
  <si>
    <t>2015902020103500</t>
  </si>
  <si>
    <t>11/2*1 CF8M NPT</t>
  </si>
  <si>
    <t>KI 114  KI-09 HB11/2*1 CF8M NPT</t>
  </si>
  <si>
    <t>114HB11/2*3/4</t>
  </si>
  <si>
    <t>2015902020103600</t>
  </si>
  <si>
    <t>11/2*3/4 CF8M NPT</t>
  </si>
  <si>
    <t>KI 114  KI-09 HB11/2*3/4 CF8M NPT</t>
  </si>
  <si>
    <t>114HB11/4*1</t>
  </si>
  <si>
    <t>2015902020102800</t>
  </si>
  <si>
    <t>11/4*1 CF8M NPT</t>
  </si>
  <si>
    <t>KI 114  KI-09 HB11/4*1 CF8M NPT</t>
  </si>
  <si>
    <t>114HB11/4*3/4</t>
  </si>
  <si>
    <t>2015902020102900</t>
  </si>
  <si>
    <t>11/4*3/4 CF8M NPT</t>
  </si>
  <si>
    <t>KI 114  KI-09 HB11/4*3/4 CF8M NPT</t>
  </si>
  <si>
    <t>114HB2*1</t>
  </si>
  <si>
    <t>2015902010104200</t>
  </si>
  <si>
    <t>2*1 CF8 NPT</t>
  </si>
  <si>
    <t>KI 114  KI-09 HB2*1 CF8 NPT</t>
  </si>
  <si>
    <t>114HB3*2</t>
  </si>
  <si>
    <t>2015902020105500</t>
  </si>
  <si>
    <t>3*2 CF8M NPT</t>
  </si>
  <si>
    <t>KI 114  KI-09 HB3*2 CF8M NPT</t>
  </si>
  <si>
    <t>114HB3/4*1/2</t>
  </si>
  <si>
    <t>2015902020101900</t>
  </si>
  <si>
    <t>3/4*1/2 CF8M NPT</t>
  </si>
  <si>
    <t>KI 114  KI-09 HB3/4*1/2 CF8M NPT</t>
  </si>
  <si>
    <t>114HB3/8*1/4</t>
  </si>
  <si>
    <t>2015902020101400</t>
  </si>
  <si>
    <t>3/8*1/4 CF8M NPT</t>
  </si>
  <si>
    <t>KI 114  KI-09 HB3/8*1/4 CF8M NPT</t>
  </si>
  <si>
    <t>114HB3/8*1/8</t>
  </si>
  <si>
    <t>2015902020101500</t>
  </si>
  <si>
    <t>3/8*1/8 CF8M NPT</t>
  </si>
  <si>
    <t>KI 114  KI-09 HB3/8*1/8 CF8M NPT</t>
  </si>
  <si>
    <t>MB K-09</t>
  </si>
  <si>
    <t>HB1*1/2</t>
  </si>
  <si>
    <t>2055901040002400</t>
  </si>
  <si>
    <t>MB  K-09 HB</t>
  </si>
  <si>
    <t>MB  K-09 HB1*1/2 304</t>
  </si>
  <si>
    <t>2055901060002400</t>
  </si>
  <si>
    <t>MB  K-09 HB1*1/2 316</t>
  </si>
  <si>
    <t>HB1*1/4</t>
  </si>
  <si>
    <t>2055901040002600</t>
  </si>
  <si>
    <t>MB  K-09 HB1*1/4 304</t>
  </si>
  <si>
    <t>2055901060002600</t>
  </si>
  <si>
    <t>MB  K-09 HB1*1/4 316</t>
  </si>
  <si>
    <t>HB1*1/8</t>
  </si>
  <si>
    <t>2055901040002700</t>
  </si>
  <si>
    <t>1*1/8 304</t>
  </si>
  <si>
    <t>MB  K-09 HB1*1/8 304</t>
  </si>
  <si>
    <t>2055901060002700</t>
  </si>
  <si>
    <t>1*1/8 316</t>
  </si>
  <si>
    <t>MB  K-09 HB1*1/8 316</t>
  </si>
  <si>
    <t>HB1*3/4</t>
  </si>
  <si>
    <t>2055901040002300</t>
  </si>
  <si>
    <t>MB  K-09 HB1*3/4 304</t>
  </si>
  <si>
    <t>2055901060002300</t>
  </si>
  <si>
    <t>MB  K-09 HB1*3/4 316</t>
  </si>
  <si>
    <t>HB1*3/8</t>
  </si>
  <si>
    <t>2055901040002500</t>
  </si>
  <si>
    <t>MB  K-09 HB1*3/8 304</t>
  </si>
  <si>
    <t>2055901060002500</t>
  </si>
  <si>
    <t>MB  K-09 HB1*3/8 316</t>
  </si>
  <si>
    <t>HB1/2*1/4</t>
  </si>
  <si>
    <t>2055901040001700</t>
  </si>
  <si>
    <t>MB  K-09 HB1/2*1/4 304</t>
  </si>
  <si>
    <t>2055901060001700</t>
  </si>
  <si>
    <t>MB  K-09 HB1/2*1/4 316</t>
  </si>
  <si>
    <t>HB1/2*1/8</t>
  </si>
  <si>
    <t>2055901040001800</t>
  </si>
  <si>
    <t>MB  K-09 HB1/2*1/8 304</t>
  </si>
  <si>
    <t>2055901060001800</t>
  </si>
  <si>
    <t>MB  K-09 HB1/2*1/8 316</t>
  </si>
  <si>
    <t>HB1/2*3/8</t>
  </si>
  <si>
    <t>2055901040001600</t>
  </si>
  <si>
    <t>MB  K-09 HB1/2*3/8 304</t>
  </si>
  <si>
    <t>2055901060001600</t>
  </si>
  <si>
    <t>MB  K-09 HB1/2*3/8 316</t>
  </si>
  <si>
    <t>HB1/4*1/8</t>
  </si>
  <si>
    <t>2055901040001300</t>
  </si>
  <si>
    <t>MB  K-09 HB1/4*1/8 304</t>
  </si>
  <si>
    <t>2055901060001300</t>
  </si>
  <si>
    <t>MB  K-09 HB1/4*1/8 316</t>
  </si>
  <si>
    <t>HB11/2*1</t>
  </si>
  <si>
    <t>2055901040003500</t>
  </si>
  <si>
    <t>MB  K-09 HB11/2*1 304</t>
  </si>
  <si>
    <t>2055901060003500</t>
  </si>
  <si>
    <t>MB  K-09 HB11/2*1 316</t>
  </si>
  <si>
    <t>HB11/2*1/2</t>
  </si>
  <si>
    <t>2055901040003700</t>
  </si>
  <si>
    <t>11/2*1/2 304</t>
  </si>
  <si>
    <t>MB  K-09 HB11/2*1/2 304</t>
  </si>
  <si>
    <t>2055901060003700</t>
  </si>
  <si>
    <t>11/2*1/2 316</t>
  </si>
  <si>
    <t>MB  K-09 HB11/2*1/2 316</t>
  </si>
  <si>
    <t>HB11/2*1/4</t>
  </si>
  <si>
    <t>2055901040003900</t>
  </si>
  <si>
    <t>11/2*1/4 304</t>
  </si>
  <si>
    <t>MB  K-09 HB11/2*1/4 304</t>
  </si>
  <si>
    <t>2055901060003900</t>
  </si>
  <si>
    <t>11/2*1/4 316</t>
  </si>
  <si>
    <t>MB  K-09 HB11/2*1/4 316</t>
  </si>
  <si>
    <t>HB11/2*11/4</t>
  </si>
  <si>
    <t>2055901040003400</t>
  </si>
  <si>
    <t>MB  K-09 HB11/2*11/4 304</t>
  </si>
  <si>
    <t>2055901060003400</t>
  </si>
  <si>
    <t>MB  K-09 HB11/2*11/4 316</t>
  </si>
  <si>
    <t>HB11/2*3/4</t>
  </si>
  <si>
    <t>2055901040003600</t>
  </si>
  <si>
    <t>MB  K-09 HB11/2*3/4 304</t>
  </si>
  <si>
    <t>2055901060003600</t>
  </si>
  <si>
    <t>MB  K-09 HB11/2*3/4 316</t>
  </si>
  <si>
    <t>HB11/2*3/8</t>
  </si>
  <si>
    <t>2055901040003800</t>
  </si>
  <si>
    <t>11/2*3/8 304</t>
  </si>
  <si>
    <t>MB  K-09 HB11/2*3/8 304</t>
  </si>
  <si>
    <t>2055901060003800</t>
  </si>
  <si>
    <t>11/2*3/8 316</t>
  </si>
  <si>
    <t>MB  K-09 HB11/2*3/8 316</t>
  </si>
  <si>
    <t>HB11/4*1</t>
  </si>
  <si>
    <t>2055901040002800</t>
  </si>
  <si>
    <t>MB  K-09 HB11/4*1 304</t>
  </si>
  <si>
    <t>2055901060002800</t>
  </si>
  <si>
    <t>MB  K-09 HB11/4*1 316</t>
  </si>
  <si>
    <t>HB11/4*1/2</t>
  </si>
  <si>
    <t>2055901040003000</t>
  </si>
  <si>
    <t>11/4*1/2 304</t>
  </si>
  <si>
    <t>MB  K-09 HB11/4*1/2 304</t>
  </si>
  <si>
    <t>2055901060003000</t>
  </si>
  <si>
    <t>11/4*1/2 316</t>
  </si>
  <si>
    <t>MB  K-09 HB11/4*1/2 316</t>
  </si>
  <si>
    <t>HB11/4*1/4</t>
  </si>
  <si>
    <t>2055901040003200</t>
  </si>
  <si>
    <t>11/4*1/4 304</t>
  </si>
  <si>
    <t>MB  K-09 HB11/4*1/4 304</t>
  </si>
  <si>
    <t>2055901060003200</t>
  </si>
  <si>
    <t>11/4*1/4 316</t>
  </si>
  <si>
    <t>MB  K-09 HB11/4*1/4 316</t>
  </si>
  <si>
    <t>HB11/4*1/8</t>
  </si>
  <si>
    <t>2055901040003300</t>
  </si>
  <si>
    <t>11/4*1/8 304</t>
  </si>
  <si>
    <t>MB  K-09 HB11/4*1/8 304</t>
  </si>
  <si>
    <t>2055901060003300</t>
  </si>
  <si>
    <t>11/4*1/8 316</t>
  </si>
  <si>
    <t>MB  K-09 HB11/4*1/8 316</t>
  </si>
  <si>
    <t>HB11/4*3/4</t>
  </si>
  <si>
    <t>2055901040002900</t>
  </si>
  <si>
    <t>MB  K-09 HB11/4*3/4 304</t>
  </si>
  <si>
    <t>2055901060002900</t>
  </si>
  <si>
    <t>MB  K-09 HB11/4*3/4 316</t>
  </si>
  <si>
    <t>HB11/4*3/8</t>
  </si>
  <si>
    <t>2055901040003100</t>
  </si>
  <si>
    <t>11/4*3/8 304</t>
  </si>
  <si>
    <t>MB  K-09 HB11/4*3/8 304</t>
  </si>
  <si>
    <t>2055901060003100</t>
  </si>
  <si>
    <t>11/4*3/8 316</t>
  </si>
  <si>
    <t>MB  K-09 HB11/4*3/8 316</t>
  </si>
  <si>
    <t>HB2*1</t>
  </si>
  <si>
    <t>2055901040004200</t>
  </si>
  <si>
    <t>MB  K-09 HB2*1 304</t>
  </si>
  <si>
    <t>2055901060004200</t>
  </si>
  <si>
    <t>MB  K-09 HB2*1 316</t>
  </si>
  <si>
    <t>HB2*1/2</t>
  </si>
  <si>
    <t>2055901040004400</t>
  </si>
  <si>
    <t>2*1/2 304</t>
  </si>
  <si>
    <t>MB  K-09 HB2*1/2 304</t>
  </si>
  <si>
    <t>2055901060004400</t>
  </si>
  <si>
    <t>2*1/2 316</t>
  </si>
  <si>
    <t>MB  K-09 HB2*1/2 316</t>
  </si>
  <si>
    <t>HB2*1/4</t>
  </si>
  <si>
    <t>2055901040004600</t>
  </si>
  <si>
    <t>2*1/4 304</t>
  </si>
  <si>
    <t>MB  K-09 HB2*1/4 304</t>
  </si>
  <si>
    <t>2055901060104600</t>
  </si>
  <si>
    <t>2*1/4 316 NPT</t>
  </si>
  <si>
    <t>MB  K-09 HB2*1/4 316 NPT</t>
  </si>
  <si>
    <t>HB2*11/2</t>
  </si>
  <si>
    <t>2055901040004000</t>
  </si>
  <si>
    <t>MB  K-09 HB2*11/2 304</t>
  </si>
  <si>
    <t>2055901060004000</t>
  </si>
  <si>
    <t>MB  K-09 HB2*11/2 316</t>
  </si>
  <si>
    <t>HB2*11/4</t>
  </si>
  <si>
    <t>2055901040004100</t>
  </si>
  <si>
    <t>MB  K-09 HB2*11/4 304</t>
  </si>
  <si>
    <t>2055901060004100</t>
  </si>
  <si>
    <t>MB  K-09 HB2*11/4 316</t>
  </si>
  <si>
    <t>HB2*3/4</t>
  </si>
  <si>
    <t>2055901040004300</t>
  </si>
  <si>
    <t>2*3/4 304</t>
  </si>
  <si>
    <t>MB  K-09 HB2*3/4 304</t>
  </si>
  <si>
    <t>2055901060004300</t>
  </si>
  <si>
    <t>2*3/4 316</t>
  </si>
  <si>
    <t>MB  K-09 HB2*3/4 316</t>
  </si>
  <si>
    <t>HB2*3/8</t>
  </si>
  <si>
    <t>2055901040104500</t>
  </si>
  <si>
    <t>2*3/8 304 NPT</t>
  </si>
  <si>
    <t>MB  K-09 HB2*3/8 304 NPT</t>
  </si>
  <si>
    <t>2055901060004500</t>
  </si>
  <si>
    <t>2*3/8 316</t>
  </si>
  <si>
    <t>MB  K-09 HB2*3/8 316</t>
  </si>
  <si>
    <t>HB21/2*1</t>
  </si>
  <si>
    <t>2055901040005000</t>
  </si>
  <si>
    <t>21/2*1 304</t>
  </si>
  <si>
    <t>MB  K-09 HB21/2*1 304</t>
  </si>
  <si>
    <t>2055901060105000</t>
  </si>
  <si>
    <t>21/2*1 316 NPT</t>
  </si>
  <si>
    <t>MB  K-09 HB21/2*1 316 NPT</t>
  </si>
  <si>
    <t>HB21/2*1/2</t>
  </si>
  <si>
    <t>2055901040005200</t>
  </si>
  <si>
    <t>21/2*1/2 304</t>
  </si>
  <si>
    <t>MB  K-09 HB21/2*1/2 304</t>
  </si>
  <si>
    <t>2055901060105200</t>
  </si>
  <si>
    <t>21/2*1/2 316 NPT</t>
  </si>
  <si>
    <t>MB  K-09 HB21/2*1/2 316 NPT</t>
  </si>
  <si>
    <t>HB21/2*11/2</t>
  </si>
  <si>
    <t>2055901040004800</t>
  </si>
  <si>
    <t>21/2*11/2 304</t>
  </si>
  <si>
    <t>MB  K-09 HB21/2*11/2 304</t>
  </si>
  <si>
    <t>2055901060104800</t>
  </si>
  <si>
    <t>21/2*11/2 316 NPT</t>
  </si>
  <si>
    <t>MB  K-09 HB21/2*11/2 316 NPT</t>
  </si>
  <si>
    <t>HB21/2*11/4</t>
  </si>
  <si>
    <t>2055901040004900</t>
  </si>
  <si>
    <t>21/2*11/4 304</t>
  </si>
  <si>
    <t>MB  K-09 HB21/2*11/4 304</t>
  </si>
  <si>
    <t>2055901060104900</t>
  </si>
  <si>
    <t>21/2*11/4 316 NPT</t>
  </si>
  <si>
    <t>MB  K-09 HB21/2*11/4 316 NPT</t>
  </si>
  <si>
    <t>HB21/2*2</t>
  </si>
  <si>
    <t>2055901040004700</t>
  </si>
  <si>
    <t>21/2*2 304</t>
  </si>
  <si>
    <t>MB  K-09 HB21/2*2 304</t>
  </si>
  <si>
    <t>2055901060104700</t>
  </si>
  <si>
    <t>21/2*2 316 NPT</t>
  </si>
  <si>
    <t>MB  K-09 HB21/2*2 316 NPT</t>
  </si>
  <si>
    <t>HB21/2*3/4</t>
  </si>
  <si>
    <t>2055901040005100</t>
  </si>
  <si>
    <t>21/2*3/4 304</t>
  </si>
  <si>
    <t>MB  K-09 HB21/2*3/4 304</t>
  </si>
  <si>
    <t>2055901060105100</t>
  </si>
  <si>
    <t>21/2*3/4 316 NPT</t>
  </si>
  <si>
    <t>MB  K-09 HB21/2*3/4 316 NPT</t>
  </si>
  <si>
    <t>HB3*1</t>
  </si>
  <si>
    <t>2055901040105800</t>
  </si>
  <si>
    <t>3*1 304 NPT</t>
  </si>
  <si>
    <t>MB  K-09 HB3*1 304 NPT</t>
  </si>
  <si>
    <t>2055901060005800</t>
  </si>
  <si>
    <t>3*1 316</t>
  </si>
  <si>
    <t>MB  K-09 HB3*1 316</t>
  </si>
  <si>
    <t>HB3*11/2</t>
  </si>
  <si>
    <t>2055901040005600</t>
  </si>
  <si>
    <t>3*11/2 304</t>
  </si>
  <si>
    <t>MB  K-09 HB3*11/2 304</t>
  </si>
  <si>
    <t>2055901060005600</t>
  </si>
  <si>
    <t>3*11/2 316</t>
  </si>
  <si>
    <t>MB  K-09 HB3*11/2 316</t>
  </si>
  <si>
    <t>HB3*11/4</t>
  </si>
  <si>
    <t>2055901040005700</t>
  </si>
  <si>
    <t>3*11/4 304</t>
  </si>
  <si>
    <t>MB  K-09 HB3*11/4 304</t>
  </si>
  <si>
    <t>2055901060005700</t>
  </si>
  <si>
    <t>3*11/4 316</t>
  </si>
  <si>
    <t>HB3*2</t>
  </si>
  <si>
    <t>2055901040005500</t>
  </si>
  <si>
    <t>3*2 304</t>
  </si>
  <si>
    <t>MB  K-09 HB3*2 304</t>
  </si>
  <si>
    <t>2055901060005500</t>
  </si>
  <si>
    <t>3*2 316</t>
  </si>
  <si>
    <t>MB  K-09 HB3*2 316</t>
  </si>
  <si>
    <t>HB3*21/2</t>
  </si>
  <si>
    <t>2055901040005400</t>
  </si>
  <si>
    <t>3*21/2 304</t>
  </si>
  <si>
    <t>MB  K-09 HB3*21/2 304</t>
  </si>
  <si>
    <t>2055901060105400</t>
  </si>
  <si>
    <t>3*21/2 316 NPT</t>
  </si>
  <si>
    <t>MB  K-09 HB3*21/2 316 NPT</t>
  </si>
  <si>
    <t>HB3/4*1/2</t>
  </si>
  <si>
    <t>2055901040001900</t>
  </si>
  <si>
    <t>MB  K-09 HB3/4*1/2 304</t>
  </si>
  <si>
    <t>2055901060001900</t>
  </si>
  <si>
    <t>MB  K-09 HB3/4*1/2 316</t>
  </si>
  <si>
    <t>HB3/4*1/4</t>
  </si>
  <si>
    <t>2055901040002100</t>
  </si>
  <si>
    <t>MB  K-09 HB3/4*1/4 304</t>
  </si>
  <si>
    <t>2055901060002100</t>
  </si>
  <si>
    <t>MB  K-09 HB3/4*1/4 316</t>
  </si>
  <si>
    <t>HB3/4*1/8</t>
  </si>
  <si>
    <t>2055901040002200</t>
  </si>
  <si>
    <t>3/4*1/8 304</t>
  </si>
  <si>
    <t>MB  K-09 HB3/4*1/8 304</t>
  </si>
  <si>
    <t>2055901060002200</t>
  </si>
  <si>
    <t>3/4*1/8 316</t>
  </si>
  <si>
    <t>MB  K-09 HB3/4*1/8 316</t>
  </si>
  <si>
    <t>HB3/4*3/8</t>
  </si>
  <si>
    <t>2055901040002000</t>
  </si>
  <si>
    <t>MB  K-09 HB3/4*3/8 304</t>
  </si>
  <si>
    <t>2055901060002000</t>
  </si>
  <si>
    <t>MB  K-09 HB3/4*3/8 316</t>
  </si>
  <si>
    <t>HB3/8*1/4</t>
  </si>
  <si>
    <t>2055901040001400</t>
  </si>
  <si>
    <t>MB  K-09 HB3/8*1/4 304</t>
  </si>
  <si>
    <t>2055901060001400</t>
  </si>
  <si>
    <t>MB  K-09 HB3/8*1/4 316</t>
  </si>
  <si>
    <t>HB3/8*1/8</t>
  </si>
  <si>
    <t>2055901040001500</t>
  </si>
  <si>
    <t>MB  K-09 HB3/8*1/8 304</t>
  </si>
  <si>
    <t>2055901060001500</t>
  </si>
  <si>
    <t>MB  K-09 HB3/8*1/8 316</t>
  </si>
  <si>
    <t>HB4*1</t>
  </si>
  <si>
    <t>2055901040006500</t>
  </si>
  <si>
    <t>4*1 304</t>
  </si>
  <si>
    <t>MB  K-09 HB4*1 304</t>
  </si>
  <si>
    <t>HB4*11/2</t>
  </si>
  <si>
    <t>2055901040006300</t>
  </si>
  <si>
    <t>4*11/2 304</t>
  </si>
  <si>
    <t>MB  K-09 HB4*11/2 304</t>
  </si>
  <si>
    <t>HB4*2</t>
  </si>
  <si>
    <t>2055901040006200</t>
  </si>
  <si>
    <t>4*2 304</t>
  </si>
  <si>
    <t>MB  K-09 HB4*2 304</t>
  </si>
  <si>
    <t>2055901060006200</t>
  </si>
  <si>
    <t>4*2 316</t>
  </si>
  <si>
    <t>MB  K-09 HB4*2 316</t>
  </si>
  <si>
    <t>HB4*21/2</t>
  </si>
  <si>
    <t>2055901060106100</t>
  </si>
  <si>
    <t>4*21/2 316 NPT</t>
  </si>
  <si>
    <t>MB  K-09 HB4*21/2 316 NPT</t>
  </si>
  <si>
    <t>2055901040006100</t>
  </si>
  <si>
    <t>4*21/2 304</t>
  </si>
  <si>
    <t>MB  K-09 HB4*21/2 304</t>
  </si>
  <si>
    <t>HB4*3</t>
  </si>
  <si>
    <t>2055901040006000</t>
  </si>
  <si>
    <t>4*3 304</t>
  </si>
  <si>
    <t>MB  K-09 HB4*3 304</t>
  </si>
  <si>
    <t>2055901060006000</t>
  </si>
  <si>
    <t>4*3 316</t>
  </si>
  <si>
    <t>MB  K-09 HB4*3 316</t>
  </si>
  <si>
    <t>MB K-09 114</t>
  </si>
  <si>
    <t>2055902010102400</t>
  </si>
  <si>
    <t>MB 114 K-09 HB</t>
  </si>
  <si>
    <t>1*1/2 CF8 NPT</t>
  </si>
  <si>
    <t>MB 114 K-09 HB1*1/2 CF8 NPT</t>
  </si>
  <si>
    <t>2055902020102400</t>
  </si>
  <si>
    <t>MB 114 K-09 HB1*1/2 CF8M NPT</t>
  </si>
  <si>
    <t>114HB1*1/4</t>
  </si>
  <si>
    <t>2055902010102600</t>
  </si>
  <si>
    <t>1*1/4 CF8 NPT</t>
  </si>
  <si>
    <t>MB 114 K-09 HB1*1/4 CF8 NPT</t>
  </si>
  <si>
    <t>2055902020102600</t>
  </si>
  <si>
    <t>1*1/4 CF8M NPT</t>
  </si>
  <si>
    <t>MB 114 K-09 HB1*1/4 CF8M NPT</t>
  </si>
  <si>
    <t>2015902020102600</t>
  </si>
  <si>
    <t>KI 114  KI-09 HB1*1/4 CF8M NPT</t>
  </si>
  <si>
    <t>114HB1*1/8</t>
  </si>
  <si>
    <t>2055902010102700</t>
  </si>
  <si>
    <t>1*1/8 CF8 NPT</t>
  </si>
  <si>
    <t>MB 114 K-09 HB1*1/8 CF8 NPT</t>
  </si>
  <si>
    <t>2055902020102700</t>
  </si>
  <si>
    <t>1*1/8 CF8M NPT</t>
  </si>
  <si>
    <t>MB 114 K-09 HB1*1/8 CF8M NPT</t>
  </si>
  <si>
    <t>2055902010102300</t>
  </si>
  <si>
    <t>1*3/4 CF8 NPT</t>
  </si>
  <si>
    <t>MB 114 K-09 HB1*3/4 CF8 NPT</t>
  </si>
  <si>
    <t>2055902020102300</t>
  </si>
  <si>
    <t>MB 114 K-09 HB1*3/4 CF8M NPT</t>
  </si>
  <si>
    <t>114HB1*3/8</t>
  </si>
  <si>
    <t>2055902010102500</t>
  </si>
  <si>
    <t>1*3/8 CF8 NPT</t>
  </si>
  <si>
    <t>MB 114 K-09 HB1*3/8 CF8 NPT</t>
  </si>
  <si>
    <t>2055902020102500</t>
  </si>
  <si>
    <t>1*3/8 CF8M NPT</t>
  </si>
  <si>
    <t>MB 114 K-09 HB1*3/8 CF8M NPT</t>
  </si>
  <si>
    <t>2015902020102500</t>
  </si>
  <si>
    <t>2055902010101700</t>
  </si>
  <si>
    <t>MB 114 K-09 HB1/2*1/4 CF8 NPT</t>
  </si>
  <si>
    <t>2055902020101700</t>
  </si>
  <si>
    <t>MB 114 K-09 HB1/2*1/4 CF8M NPT</t>
  </si>
  <si>
    <t>114HB1/2*1/8</t>
  </si>
  <si>
    <t>2055902010101800</t>
  </si>
  <si>
    <t>1/2*1/8 CF8 NPT</t>
  </si>
  <si>
    <t>MB 114 K-09 HB1/2*1/8 CF8 NPT</t>
  </si>
  <si>
    <t>2055902020101800</t>
  </si>
  <si>
    <t>1/2*1/8 CF8M NPT</t>
  </si>
  <si>
    <t>MB 114 K-09 HB1/2*1/8 CF8M NPT</t>
  </si>
  <si>
    <t>2015902020101800</t>
  </si>
  <si>
    <t>KI 114  KI-09 HB1/2*1/8 CF8M NPT</t>
  </si>
  <si>
    <t>2055902010101600</t>
  </si>
  <si>
    <t>1/2*3/8 CF8 NPT</t>
  </si>
  <si>
    <t>MB 114 K-09 HB1/2*3/8 CF8 NPT</t>
  </si>
  <si>
    <t>2015902010101600</t>
  </si>
  <si>
    <t>2055902020101600</t>
  </si>
  <si>
    <t>MB 114 K-09 HB1/2*3/8 CF8M NPT</t>
  </si>
  <si>
    <t>2055902010701300</t>
  </si>
  <si>
    <t>1/4*1/8 CF8 BSPT</t>
  </si>
  <si>
    <t>MB 114 K-09 HB1/4*1/8 CF8 BSPT</t>
  </si>
  <si>
    <t>2055902010101300</t>
  </si>
  <si>
    <t>1/4*1/8 CF8 NPT</t>
  </si>
  <si>
    <t>MB 114 K-09 HB1/4*1/8 CF8 NPT</t>
  </si>
  <si>
    <t>2055902020101300</t>
  </si>
  <si>
    <t>MB 114 K-09 HB1/4*1/8 CF8M NPT</t>
  </si>
  <si>
    <t>2055902010103500</t>
  </si>
  <si>
    <t>MB 114 K-09 HB11/2*1 CF8 NPT</t>
  </si>
  <si>
    <t>2055902020103500</t>
  </si>
  <si>
    <t>MB 114 K-09 HB11/2*1 CF8M NPT</t>
  </si>
  <si>
    <t>114HB11/2*1/2</t>
  </si>
  <si>
    <t>2055902010103700</t>
  </si>
  <si>
    <t>11/2*1/2 CF8 NPT</t>
  </si>
  <si>
    <t>MB 114 K-09 HB11/2*1/2 CF8 NPT</t>
  </si>
  <si>
    <t>2055902020103700</t>
  </si>
  <si>
    <t>11/2*1/2 CF8M NPT</t>
  </si>
  <si>
    <t>MB 114 K-09 HB11/2*1/2 CF8M NPT</t>
  </si>
  <si>
    <t>2015902020103700</t>
  </si>
  <si>
    <t>KI 114  KI-09 HB11/2*1/2 CF8M NPT</t>
  </si>
  <si>
    <t>114HB11/2*1/4</t>
  </si>
  <si>
    <t>2055902010103900</t>
  </si>
  <si>
    <t>11/2*1/4 CF8 NPT</t>
  </si>
  <si>
    <t>MB 114 K-09 HB11/2*1/4 CF8 NPT</t>
  </si>
  <si>
    <t>2055902020103900</t>
  </si>
  <si>
    <t>11/2*1/4 CF8M NPT</t>
  </si>
  <si>
    <t>MB 114 K-09 HB11/2*1/4 CF8M NPT</t>
  </si>
  <si>
    <t>2015902020103900</t>
  </si>
  <si>
    <t>KI 114  KI-09 HB11/2*1/4 CF8M NPT</t>
  </si>
  <si>
    <t>114HB11/2*11/4</t>
  </si>
  <si>
    <t>2055902010103400</t>
  </si>
  <si>
    <t>11/2*11/4 CF8 NPT</t>
  </si>
  <si>
    <t>MB 114 K-09 HB11/2*11/4 CF8 NPT</t>
  </si>
  <si>
    <t>2055902020103400</t>
  </si>
  <si>
    <t>11/2*11/4 CF8M NPT</t>
  </si>
  <si>
    <t>MB 114 K-09 HB11/2*11/4 CF8M NPT</t>
  </si>
  <si>
    <t>2015902020103400</t>
  </si>
  <si>
    <t>2055902010103600</t>
  </si>
  <si>
    <t>11/2*3/4 CF8 NPT</t>
  </si>
  <si>
    <t>MB 114 K-09 HB11/2*3/4 CF8 NPT</t>
  </si>
  <si>
    <t>2015902010103600</t>
  </si>
  <si>
    <t>KI 114  KI-09 HB11/2*3/4 CF8 NPT</t>
  </si>
  <si>
    <t>2055902020103600</t>
  </si>
  <si>
    <t>MB 114 K-09 HB11/2*3/4 CF8M NPT</t>
  </si>
  <si>
    <t>114HB11/2*3/8</t>
  </si>
  <si>
    <t>2055902010103800</t>
  </si>
  <si>
    <t>11/2*3/8 CF8 NPT</t>
  </si>
  <si>
    <t>MB 114 K-09 HB11/2*3/8 CF8 NPT</t>
  </si>
  <si>
    <t>2055902020103800</t>
  </si>
  <si>
    <t>11/2*3/8 CF8M NPT</t>
  </si>
  <si>
    <t>MB 114 K-09 HB11/2*3/8 CF8M NPT</t>
  </si>
  <si>
    <t>2015902020103800</t>
  </si>
  <si>
    <t>2055902010102800</t>
  </si>
  <si>
    <t>11/4*1 CF8 NPT</t>
  </si>
  <si>
    <t>MB 114 K-09 HB11/4*1 CF8 NPT</t>
  </si>
  <si>
    <t>2055902020102800</t>
  </si>
  <si>
    <t>MB 114 K-09 HB11/4*1 CF8M NPT</t>
  </si>
  <si>
    <t>114HB11/4*1/2</t>
  </si>
  <si>
    <t>2055902010103000</t>
  </si>
  <si>
    <t>11/4*1/2 CF8 NPT</t>
  </si>
  <si>
    <t>MB 114 K-09 HB11/4*1/2 CF8 NPT</t>
  </si>
  <si>
    <t>2055902020103000</t>
  </si>
  <si>
    <t>11/4*1/2 CF8M NPT</t>
  </si>
  <si>
    <t>MB 114 K-09 HB11/4*1/2 CF8M NPT</t>
  </si>
  <si>
    <t>2015902020103000</t>
  </si>
  <si>
    <t>KI 114  KI-09 HB11/4*1/2 CF8M NPT</t>
  </si>
  <si>
    <t>114HB11/4*1/4</t>
  </si>
  <si>
    <t>2055902010103200</t>
  </si>
  <si>
    <t>11/4*1/4 CF8 NPT</t>
  </si>
  <si>
    <t>MB 114 K-09 HB11/4*1/4 CF8 NPT</t>
  </si>
  <si>
    <t>2055902020103200</t>
  </si>
  <si>
    <t>11/4*1/4 CF8M NPT</t>
  </si>
  <si>
    <t>MB 114 K-09 HB11/4*1/4 CF8M NPT</t>
  </si>
  <si>
    <t>2015902020103200</t>
  </si>
  <si>
    <t>2055902010102900</t>
  </si>
  <si>
    <t>11/4*3/4 CF8 NPT</t>
  </si>
  <si>
    <t>MB 114 K-09 HB11/4*3/4 CF8 NPT</t>
  </si>
  <si>
    <t>2055902020102900</t>
  </si>
  <si>
    <t>MB 114 K-09 HB11/4*3/4 CF8M NPT</t>
  </si>
  <si>
    <t>114HB11/4*3/8</t>
  </si>
  <si>
    <t>2055902010103100</t>
  </si>
  <si>
    <t>11/4*3/8 CF8 NPT</t>
  </si>
  <si>
    <t>MB 114 K-09 HB11/4*3/8 CF8 NPT</t>
  </si>
  <si>
    <t>2055902020103100</t>
  </si>
  <si>
    <t>11/4*3/8 CF8M NPT</t>
  </si>
  <si>
    <t>MB 114 K-09 HB11/4*3/8 CF8M NPT</t>
  </si>
  <si>
    <t>2015902020103100</t>
  </si>
  <si>
    <t>2055902010104200</t>
  </si>
  <si>
    <t>MB 114 K-09 HB2*1 CF8 NPT</t>
  </si>
  <si>
    <t>2055902020104200</t>
  </si>
  <si>
    <t>2*1 CF8M NPT</t>
  </si>
  <si>
    <t>MB 114 K-09 HB2*1 CF8M NPT</t>
  </si>
  <si>
    <t>114HB2*1/2</t>
  </si>
  <si>
    <t>2055902010104400</t>
  </si>
  <si>
    <t>2*1/2 CF8 NPT</t>
  </si>
  <si>
    <t>MB 114 K-09 HB2*1/2 CF8 NPT</t>
  </si>
  <si>
    <t>2055902020104400</t>
  </si>
  <si>
    <t>2*1/2 CF8M NPT</t>
  </si>
  <si>
    <t>MB 114 K-09 HB2*1/2 CF8M NPT</t>
  </si>
  <si>
    <t>2015902020104400</t>
  </si>
  <si>
    <t>KI 114  KI-09 HB2*1/2 CF8M NPT</t>
  </si>
  <si>
    <t>114HB2*1/4</t>
  </si>
  <si>
    <t>2055902010104600</t>
  </si>
  <si>
    <t>2*1/4 CF8 NPT</t>
  </si>
  <si>
    <t>MB 114 K-09 HB2*1/4 CF8 NPT</t>
  </si>
  <si>
    <t>2055902020004600</t>
  </si>
  <si>
    <t>2*1/4 CF8M</t>
  </si>
  <si>
    <t>MB 114 K-09 HB2*1/4 CF8M</t>
  </si>
  <si>
    <t>114HB2*11/2</t>
  </si>
  <si>
    <t>2055902010104000</t>
  </si>
  <si>
    <t>2*11/2 CF8 NPT</t>
  </si>
  <si>
    <t>MB 114 K-09 HB2*11/2 CF8 NPT</t>
  </si>
  <si>
    <t>2055902020104000</t>
  </si>
  <si>
    <t>2*11/2 CF8M NPT</t>
  </si>
  <si>
    <t>MB 114 K-09 HB2*11/2 CF8M NPT</t>
  </si>
  <si>
    <t>2015902020104000</t>
  </si>
  <si>
    <t>114HB2*11/4</t>
  </si>
  <si>
    <t>2055902010104100</t>
  </si>
  <si>
    <t>2*11/4 CF8 NPT</t>
  </si>
  <si>
    <t>MB 114 K-09 HB2*11/4 CF8 NPT</t>
  </si>
  <si>
    <t>2055902020104100</t>
  </si>
  <si>
    <t>2*11/4 CF8M NPT</t>
  </si>
  <si>
    <t>MB 114 K-09 HB2*11/4 CF8M NPT</t>
  </si>
  <si>
    <t>2015902020104100</t>
  </si>
  <si>
    <t>114HB2*3/4</t>
  </si>
  <si>
    <t>2055902010104300</t>
  </si>
  <si>
    <t>2*3/4 CF8 NPT</t>
  </si>
  <si>
    <t>MB 114 K-09 HB2*3/4 CF8 NPT</t>
  </si>
  <si>
    <t>2055902020104300</t>
  </si>
  <si>
    <t>2*3/4 CF8M NPT</t>
  </si>
  <si>
    <t>MB 114 K-09 HB2*3/4 CF8M NPT</t>
  </si>
  <si>
    <t>2015902020104300</t>
  </si>
  <si>
    <t>114HB2*3/8</t>
  </si>
  <si>
    <t>2055902010104500</t>
  </si>
  <si>
    <t>2*3/8 CF8 NPT</t>
  </si>
  <si>
    <t>MB 114 K-09 HB2*3/8 CF8 NPT</t>
  </si>
  <si>
    <t>2055902020004500</t>
  </si>
  <si>
    <t>2*3/8 CF8M</t>
  </si>
  <si>
    <t>MB 114 K-09 HB2*3/8 CF8M</t>
  </si>
  <si>
    <t>2015902020104500</t>
  </si>
  <si>
    <t>2*3/8 CF8M NPT</t>
  </si>
  <si>
    <t>114HB21/2*1</t>
  </si>
  <si>
    <t>2055902010105000</t>
  </si>
  <si>
    <t>21/2*1 CF8 NPT</t>
  </si>
  <si>
    <t>MB 114 K-09 HB21/2*1 CF8 NPT</t>
  </si>
  <si>
    <t>2055902020105000</t>
  </si>
  <si>
    <t>21/2*1 CF8M NPT</t>
  </si>
  <si>
    <t>MB 114 K-09 HB21/2*1 CF8M NPT</t>
  </si>
  <si>
    <t>114HB21/2*1/2</t>
  </si>
  <si>
    <t>2055902010105200</t>
  </si>
  <si>
    <t>21/2*1/2 CF8 NPT</t>
  </si>
  <si>
    <t>MB 114 K-09 HB21/2*1/2 CF8 NPT</t>
  </si>
  <si>
    <t>2055902020105200</t>
  </si>
  <si>
    <t>21/2*1/2 CF8M NPT</t>
  </si>
  <si>
    <t>MB 114 K-09 HB21/2*1/2 CF8M NPT</t>
  </si>
  <si>
    <t>114HB21/2*11/2</t>
  </si>
  <si>
    <t>2055902010104800</t>
  </si>
  <si>
    <t>21/2*11/2 CF8 NPT</t>
  </si>
  <si>
    <t>MB 114 K-09 HB21/2*11/2 CF8 NPT</t>
  </si>
  <si>
    <t>2055902020104800</t>
  </si>
  <si>
    <t>21/2*11/2 CF8M NPT</t>
  </si>
  <si>
    <t>MB 114 K-09 HB21/2*11/2 CF8M NPT</t>
  </si>
  <si>
    <t>2015902020104800</t>
  </si>
  <si>
    <t>114HB21/2*11/4</t>
  </si>
  <si>
    <t>2055902010104900</t>
  </si>
  <si>
    <t>21/2*11/4 CF8 NPT</t>
  </si>
  <si>
    <t>MB 114 K-09 HB21/2*11/4 CF8 NPT</t>
  </si>
  <si>
    <t>2055902020104900</t>
  </si>
  <si>
    <t>21/2*11/4 CF8M NPT</t>
  </si>
  <si>
    <t>MB 114 K-09 HB21/2*11/4 CF8M NPT</t>
  </si>
  <si>
    <t>114HB21/2*2</t>
  </si>
  <si>
    <t>2055902010104700</t>
  </si>
  <si>
    <t>21/2*2 CF8 NPT</t>
  </si>
  <si>
    <t>MB 114 K-09 HB21/2*2 CF8 NPT</t>
  </si>
  <si>
    <t>2055902020104700</t>
  </si>
  <si>
    <t>21/2*2 CF8M NPT</t>
  </si>
  <si>
    <t>MB 114 K-09 HB21/2*2 CF8M NPT</t>
  </si>
  <si>
    <t>2015902020104700</t>
  </si>
  <si>
    <t>114HB21/2*3/4</t>
  </si>
  <si>
    <t>2055902010105100</t>
  </si>
  <si>
    <t>21/2*3/4 CF8 NPT</t>
  </si>
  <si>
    <t>MB 114 K-09 HB21/2*3/4 CF8 NPT</t>
  </si>
  <si>
    <t>2055902020105100</t>
  </si>
  <si>
    <t>21/2*3/4 CF8M NPT</t>
  </si>
  <si>
    <t>MB 114 K-09 HB21/2*3/4 CF8M NPT</t>
  </si>
  <si>
    <t>114HB3*1</t>
  </si>
  <si>
    <t>2055902010105800</t>
  </si>
  <si>
    <t>3*1 CF8 NPT</t>
  </si>
  <si>
    <t>MB 114 K-09 HB3*1 CF8 NPT</t>
  </si>
  <si>
    <t>2055902020105800</t>
  </si>
  <si>
    <t>3*1 CF8M NPT</t>
  </si>
  <si>
    <t>MB 114 K-09 HB3*1 CF8M NPT</t>
  </si>
  <si>
    <t>114HB3*11/2</t>
  </si>
  <si>
    <t>2055902010105600</t>
  </si>
  <si>
    <t>3*11/2 CF8 NPT</t>
  </si>
  <si>
    <t>MB 114 K-09 HB3*11/2 CF8 NPT</t>
  </si>
  <si>
    <t>2055902020105600</t>
  </si>
  <si>
    <t>3*11/2 CF8M NPT</t>
  </si>
  <si>
    <t>MB 114 K-09 HB3*11/2 CF8M NPT</t>
  </si>
  <si>
    <t>114HB3*11/4</t>
  </si>
  <si>
    <t>2055902010105700</t>
  </si>
  <si>
    <t>3*11/4 CF8 NPT</t>
  </si>
  <si>
    <t>MB 114 K-09 HB3*11/4 CF8 NPT</t>
  </si>
  <si>
    <t>2055902020105700</t>
  </si>
  <si>
    <t>3*11/4 CF8M NPT</t>
  </si>
  <si>
    <t>MB 114 K-09 HB3*11/4 CF8M NPT</t>
  </si>
  <si>
    <t>2055902010105500</t>
  </si>
  <si>
    <t>3*2 CF8 NPT</t>
  </si>
  <si>
    <t>MB 114 K-09 HB3*2 CF8 NPT</t>
  </si>
  <si>
    <t>2055902020105500</t>
  </si>
  <si>
    <t>MB 114 K-09 HB3*2 CF8M NPT</t>
  </si>
  <si>
    <t>114HB3*21/2</t>
  </si>
  <si>
    <t>2055902010105400</t>
  </si>
  <si>
    <t>3*21/2 CF8 NPT</t>
  </si>
  <si>
    <t>MB 114 K-09 HB3*21/2 CF8 NPT</t>
  </si>
  <si>
    <t>2055902020105400</t>
  </si>
  <si>
    <t>3*21/2 CF8M NPT</t>
  </si>
  <si>
    <t>MB 114 K-09 HB3*21/2 CF8M NPT</t>
  </si>
  <si>
    <t>2015902020105400</t>
  </si>
  <si>
    <t>114HB3*3/4</t>
  </si>
  <si>
    <t>2055902010105300</t>
  </si>
  <si>
    <t>3*3/4 CF8 NPT</t>
  </si>
  <si>
    <t>MB 114 K-09 HB3*3/4 CF8 NPT</t>
  </si>
  <si>
    <t>2055902020105300</t>
  </si>
  <si>
    <t>3*3/4 CF8M NPT</t>
  </si>
  <si>
    <t>MB 114 K-09 HB3*3/4 CF8M NPT</t>
  </si>
  <si>
    <t>2055902010101900</t>
  </si>
  <si>
    <t>3/4*1/2 CF8 NPT</t>
  </si>
  <si>
    <t>MB 114 K-09 HB3/4*1/2 CF8 NPT</t>
  </si>
  <si>
    <t>2055902020101900</t>
  </si>
  <si>
    <t>MB 114 K-09 HB3/4*1/2 CF8M NPT</t>
  </si>
  <si>
    <t>114HB3/4*1/4</t>
  </si>
  <si>
    <t>2055902010102100</t>
  </si>
  <si>
    <t>3/4*1/4 CF8 NPT</t>
  </si>
  <si>
    <t>MB 114 K-09 HB3/4*1/4 CF8 NPT</t>
  </si>
  <si>
    <t>2015902010102100</t>
  </si>
  <si>
    <t>KI 114  KI-09 HB3/4*1/4 CF8 NPT</t>
  </si>
  <si>
    <t>2055902020102100</t>
  </si>
  <si>
    <t>3/4*1/4 CF8M NPT</t>
  </si>
  <si>
    <t>MB 114 K-09 HB3/4*1/4 CF8M NPT</t>
  </si>
  <si>
    <t>2015902020102100</t>
  </si>
  <si>
    <t>114HB3/4*1/8</t>
  </si>
  <si>
    <t>2055902010102200</t>
  </si>
  <si>
    <t>3/4*1/8 CF8 NPT</t>
  </si>
  <si>
    <t>MB 114 K-09 HB3/4*1/8 CF8 NPT</t>
  </si>
  <si>
    <t>2055902020102200</t>
  </si>
  <si>
    <t>3/4*1/8 CF8M NPT</t>
  </si>
  <si>
    <t>MB 114 K-09 HB3/4*1/8 CF8M NPT</t>
  </si>
  <si>
    <t>2015902020102200</t>
  </si>
  <si>
    <t>114HB3/4*3/8</t>
  </si>
  <si>
    <t>2055902010102000</t>
  </si>
  <si>
    <t>3/4*3/8 CF8 NPT</t>
  </si>
  <si>
    <t>MB 114 K-09 HB3/4*3/8 CF8 NPT</t>
  </si>
  <si>
    <t>2055902020102000</t>
  </si>
  <si>
    <t>3/4*3/8 CF8M NPT</t>
  </si>
  <si>
    <t>MB 114 K-09 HB3/4*3/8 CF8M NPT</t>
  </si>
  <si>
    <t>2055902010701400</t>
  </si>
  <si>
    <t>3/8*1/4 CF8 BSPT</t>
  </si>
  <si>
    <t>MB 114 K-09 HB3/8*1/4 CF8 BSPT</t>
  </si>
  <si>
    <t>2055902010101400</t>
  </si>
  <si>
    <t>3/8*1/4 CF8 NPT</t>
  </si>
  <si>
    <t>MB 114 K-09 HB3/8*1/4 CF8 NPT</t>
  </si>
  <si>
    <t>2055902020101400</t>
  </si>
  <si>
    <t>MB 114 K-09 HB3/8*1/4 CF8M NPT</t>
  </si>
  <si>
    <t>2055902010701500</t>
  </si>
  <si>
    <t>3/8*1/8 CF8 BSPT</t>
  </si>
  <si>
    <t>MB 114 K-09 HB3/8*1/8 CF8 BSPT</t>
  </si>
  <si>
    <t>2055902010101500</t>
  </si>
  <si>
    <t>3/8*1/8 CF8 NPT</t>
  </si>
  <si>
    <t>MB 114 K-09 HB3/8*1/8 CF8 NPT</t>
  </si>
  <si>
    <t>2055902020101500</t>
  </si>
  <si>
    <t>MB 114 K-09 HB3/8*1/8 CF8M NPT</t>
  </si>
  <si>
    <t>114HB4*1</t>
  </si>
  <si>
    <t>2055902010106500</t>
  </si>
  <si>
    <t>4*1 CF8 NPT</t>
  </si>
  <si>
    <t>MB 114 K-09 HB4*1 CF8 NPT</t>
  </si>
  <si>
    <t>2055902020106500</t>
  </si>
  <si>
    <t>4*1 CF8M NPT</t>
  </si>
  <si>
    <t>MB 114 K-09 HB4*1 CF8M NPT</t>
  </si>
  <si>
    <t>114HB4*11/2</t>
  </si>
  <si>
    <t>2055902010106300</t>
  </si>
  <si>
    <t>4*11/2 CF8 NPT</t>
  </si>
  <si>
    <t>MB 114 K-09 HB4*11/2 CF8 NPT</t>
  </si>
  <si>
    <t>2055902020106300</t>
  </si>
  <si>
    <t>4*11/2 CF8M NPT</t>
  </si>
  <si>
    <t>MB 114 K-09 HB4*11/2 CF8M NPT</t>
  </si>
  <si>
    <t>114HB4*2</t>
  </si>
  <si>
    <t>2055902010106200</t>
  </si>
  <si>
    <t>4*2 CF8 NPT</t>
  </si>
  <si>
    <t>MB 114 K-09 HB4*2 CF8 NPT</t>
  </si>
  <si>
    <t>2055902020106200</t>
  </si>
  <si>
    <t>4*2 CF8M NPT</t>
  </si>
  <si>
    <t>MB 114 K-09 HB4*2 CF8M NPT</t>
  </si>
  <si>
    <t>114HB4*21/2</t>
  </si>
  <si>
    <t>2055902020106100</t>
  </si>
  <si>
    <t>4*21/2 CF8M NPT</t>
  </si>
  <si>
    <t>MB 114 K-09 HB4*21/2 CF8M NPT</t>
  </si>
  <si>
    <t>2055902010106100</t>
  </si>
  <si>
    <t>4*21/2 CF8 NPT</t>
  </si>
  <si>
    <t>MB 114 K-09 HB4*21/2 CF8 NPT</t>
  </si>
  <si>
    <t>114HB4*3</t>
  </si>
  <si>
    <t>2055902010106000</t>
  </si>
  <si>
    <t>4*3 CF8 NPT</t>
  </si>
  <si>
    <t>MB 114 K-09 HB4*3 CF8 NPT</t>
  </si>
  <si>
    <t>2055902020106000</t>
  </si>
  <si>
    <t>4*3 CF8M NPT</t>
  </si>
  <si>
    <t>MB 114 K-09 HB4*3 CF8M NPT</t>
  </si>
  <si>
    <t>KI K-10A 114</t>
  </si>
  <si>
    <t>114CB1</t>
  </si>
  <si>
    <t>2015012010000600</t>
  </si>
  <si>
    <t>KI 114  KI-10A CB</t>
  </si>
  <si>
    <t>KI 114  KI-10A CB1 CF8</t>
  </si>
  <si>
    <t>2015012020000600</t>
  </si>
  <si>
    <t>KI 114  KI-10A CB1 CF8M</t>
  </si>
  <si>
    <t>114CB1/2</t>
  </si>
  <si>
    <t>2015012020000400</t>
  </si>
  <si>
    <t>KI 114  KI-10A CB1/2 CF8M</t>
  </si>
  <si>
    <t>114CB1/8</t>
  </si>
  <si>
    <t>2015012010000100</t>
  </si>
  <si>
    <t>KI 114  KI-10A CB1/8 CF8</t>
  </si>
  <si>
    <t>114CB11/2</t>
  </si>
  <si>
    <t>2015012020000800</t>
  </si>
  <si>
    <t>KI 114  KI-10A CB11/2 CF8M</t>
  </si>
  <si>
    <t>114CB3/4</t>
  </si>
  <si>
    <t>2015012010000500</t>
  </si>
  <si>
    <t>KI 114  KI-10A CB3/4 CF8</t>
  </si>
  <si>
    <t>2015012020000500</t>
  </si>
  <si>
    <t>KI 114  KI-10A CB3/4 CF8M</t>
  </si>
  <si>
    <t>MB K-10A</t>
  </si>
  <si>
    <t>CB1</t>
  </si>
  <si>
    <t>2055011040000600</t>
  </si>
  <si>
    <t>MB  K-10A CB</t>
  </si>
  <si>
    <t>MB  K-10A CB1 304</t>
  </si>
  <si>
    <t>2055011060000600</t>
  </si>
  <si>
    <t>MB  K-10A CB1 316</t>
  </si>
  <si>
    <t>CB1/2</t>
  </si>
  <si>
    <t>2055011040000400</t>
  </si>
  <si>
    <t>MB  K-10A CB1/2 304</t>
  </si>
  <si>
    <t>2055011060000400</t>
  </si>
  <si>
    <t>MB  K-10A CB1/2 316</t>
  </si>
  <si>
    <t>CB1/4</t>
  </si>
  <si>
    <t>2055011040000200</t>
  </si>
  <si>
    <t>MB  K-10A CB1/4 304</t>
  </si>
  <si>
    <t>2055011060000200</t>
  </si>
  <si>
    <t>MB  K-10A CB1/4 316</t>
  </si>
  <si>
    <t>CB1/8</t>
  </si>
  <si>
    <t>2055011040000100</t>
  </si>
  <si>
    <t>MB  K-10A CB1/8 304</t>
  </si>
  <si>
    <t>2055011060000100</t>
  </si>
  <si>
    <t>MB  K-10A CB1/8 316</t>
  </si>
  <si>
    <t>CB11/2</t>
  </si>
  <si>
    <t>2055011040000800</t>
  </si>
  <si>
    <t>MB  K-10A CB11/2 304</t>
  </si>
  <si>
    <t>2055011060000800</t>
  </si>
  <si>
    <t>MB  K-10A CB11/2 316</t>
  </si>
  <si>
    <t>CB11/4</t>
  </si>
  <si>
    <t>2055011040000700</t>
  </si>
  <si>
    <t>MB  K-10A CB11/4 304</t>
  </si>
  <si>
    <t>2055011060000700</t>
  </si>
  <si>
    <t>MB  K-10A CB11/4 316</t>
  </si>
  <si>
    <t>CB2</t>
  </si>
  <si>
    <t>2055011040000900</t>
  </si>
  <si>
    <t>MB  K-10A CB2 304</t>
  </si>
  <si>
    <t>2055011060000900</t>
  </si>
  <si>
    <t>MB  K-10A CB2 316</t>
  </si>
  <si>
    <t>CB21/2</t>
  </si>
  <si>
    <t>2055011040101000</t>
  </si>
  <si>
    <t>MB  K-10A CB21/2 304 NPT</t>
  </si>
  <si>
    <t>2055011060101000</t>
  </si>
  <si>
    <t>MB  K-10A CB21/2 316 NPT</t>
  </si>
  <si>
    <t>CB3</t>
  </si>
  <si>
    <t>2055011040001100</t>
  </si>
  <si>
    <t>MB  K-10A CB3 304</t>
  </si>
  <si>
    <t>2055011060001100</t>
  </si>
  <si>
    <t>MB  K-10A CB3 316</t>
  </si>
  <si>
    <t>CB3/4</t>
  </si>
  <si>
    <t>2055011040000500</t>
  </si>
  <si>
    <t>MB  K-10A CB3/4 304</t>
  </si>
  <si>
    <t>2055011060000500</t>
  </si>
  <si>
    <t>MB  K-10A CB3/4 316</t>
  </si>
  <si>
    <t>CB3/8</t>
  </si>
  <si>
    <t>2055011040000300</t>
  </si>
  <si>
    <t>MB  K-10A CB3/8 304</t>
  </si>
  <si>
    <t>2055011060000300</t>
  </si>
  <si>
    <t>MB  K-10A CB3/8 316</t>
  </si>
  <si>
    <t>CB4</t>
  </si>
  <si>
    <t>2055011040001200</t>
  </si>
  <si>
    <t>MB  K-10A CB4 304</t>
  </si>
  <si>
    <t>2055011060001200</t>
  </si>
  <si>
    <t>MB  K-10A CB4 316</t>
  </si>
  <si>
    <t>MB K-10A 114</t>
  </si>
  <si>
    <t>2055012010000600</t>
  </si>
  <si>
    <t>MB 114 K-10A CB</t>
  </si>
  <si>
    <t>MB 114 K-10A CB1 CF8</t>
  </si>
  <si>
    <t>2055012020000600</t>
  </si>
  <si>
    <t>MB 114 K-10A CB1 CF8M</t>
  </si>
  <si>
    <t>2055012010000400</t>
  </si>
  <si>
    <t>MB 114 K-10A CB1/2 CF8</t>
  </si>
  <si>
    <t>2055012020000400</t>
  </si>
  <si>
    <t>MB 114 K-10A CB1/2 CF8M</t>
  </si>
  <si>
    <t>114CB1/4</t>
  </si>
  <si>
    <t>2055012010000200</t>
  </si>
  <si>
    <t>MB 114 K-10A CB1/4 CF8</t>
  </si>
  <si>
    <t>2055012020000200</t>
  </si>
  <si>
    <t>MB 114 K-10A CB1/4 CF8M</t>
  </si>
  <si>
    <t>2055012010000100</t>
  </si>
  <si>
    <t>MB 114 K-10A CB1/8 CF8</t>
  </si>
  <si>
    <t>2055012020000100</t>
  </si>
  <si>
    <t>MB 114 K-10A CB1/8 CF8M</t>
  </si>
  <si>
    <t>2015012020000100</t>
  </si>
  <si>
    <t>KI 114  KI-10A CB1/8 CF8M</t>
  </si>
  <si>
    <t>2055012010000800</t>
  </si>
  <si>
    <t>MB 114 K-10A CB11/2 CF8</t>
  </si>
  <si>
    <t>2055012020000800</t>
  </si>
  <si>
    <t>MB 114 K-10A CB11/2 CF8M</t>
  </si>
  <si>
    <t>114CB11/4</t>
  </si>
  <si>
    <t>2055012010000700</t>
  </si>
  <si>
    <t>MB 114 K-10A CB11/4 CF8</t>
  </si>
  <si>
    <t>114CB2</t>
  </si>
  <si>
    <t>2055012010000900</t>
  </si>
  <si>
    <t>MB 114 K-10A CB2 CF8</t>
  </si>
  <si>
    <t>2055012020000900</t>
  </si>
  <si>
    <t>MB 114 K-10A CB2 CF8M</t>
  </si>
  <si>
    <t>2015012020000900</t>
  </si>
  <si>
    <t>114CB21/2</t>
  </si>
  <si>
    <t>2055012010001000</t>
  </si>
  <si>
    <t>MB 114 K-10A CB21/2 CF8</t>
  </si>
  <si>
    <t>2055012020001000</t>
  </si>
  <si>
    <t>MB 114 K-10A CB21/2 CF8M</t>
  </si>
  <si>
    <t>2015012020001000</t>
  </si>
  <si>
    <t>114CB3</t>
  </si>
  <si>
    <t>2055012010001100</t>
  </si>
  <si>
    <t>MB 114 K-10A CB3 CF8</t>
  </si>
  <si>
    <t>2055012020001100</t>
  </si>
  <si>
    <t>MB 114 K-10A CB3 CF8M</t>
  </si>
  <si>
    <t>2015012020001100</t>
  </si>
  <si>
    <t>2055012010000500</t>
  </si>
  <si>
    <t>MB 114 K-10A CB3/4 CF8</t>
  </si>
  <si>
    <t>2055012020000500</t>
  </si>
  <si>
    <t>MB 114 K-10A CB3/4 CF8M</t>
  </si>
  <si>
    <t>114CB3/8</t>
  </si>
  <si>
    <t>2055012010000300</t>
  </si>
  <si>
    <t>MB 114 K-10A CB3/8 CF8</t>
  </si>
  <si>
    <t>2055012020000300</t>
  </si>
  <si>
    <t>MB 114 K-10A CB3/8 CF8M</t>
  </si>
  <si>
    <t>2015012020000300</t>
  </si>
  <si>
    <t>KI 114  KI-10A CB3/8 CF8M</t>
  </si>
  <si>
    <t>114CB4</t>
  </si>
  <si>
    <t>2055012010001200</t>
  </si>
  <si>
    <t>MB 114 K-10A CB4 CF8</t>
  </si>
  <si>
    <t>2055012020001200</t>
  </si>
  <si>
    <t>MB 114 K-10A CB4 CF8M</t>
  </si>
  <si>
    <t>2015012020101200</t>
  </si>
  <si>
    <t>KI 114 K-10A CB</t>
  </si>
  <si>
    <t>2055012020000700</t>
  </si>
  <si>
    <t>MB 114 K-10A CB11/4 CF8M</t>
  </si>
  <si>
    <t>2015012020000700</t>
  </si>
  <si>
    <t>2015012020000200</t>
  </si>
  <si>
    <t>KI 114  KI-10A CB1/4 CF8M</t>
  </si>
  <si>
    <t>MB K-16</t>
  </si>
  <si>
    <t>WS1</t>
  </si>
  <si>
    <t>2055071040000600</t>
  </si>
  <si>
    <t>MB  K-16 WS</t>
  </si>
  <si>
    <t>MB  K-16 WS1 304</t>
  </si>
  <si>
    <t>2055071060000600</t>
  </si>
  <si>
    <t>MB  K-16 WS1 316</t>
  </si>
  <si>
    <t>WS1/2</t>
  </si>
  <si>
    <t>2055071040000400</t>
  </si>
  <si>
    <t>MB  K-16 WS1/2 304</t>
  </si>
  <si>
    <t>2055071060000400</t>
  </si>
  <si>
    <t>MB  K-16 WS1/2 316</t>
  </si>
  <si>
    <t>WS1/4</t>
  </si>
  <si>
    <t>2055071040000200</t>
  </si>
  <si>
    <t>MB  K-16 WS1/4 304</t>
  </si>
  <si>
    <t>2055071060000200</t>
  </si>
  <si>
    <t>MB  K-16 WS1/4 316</t>
  </si>
  <si>
    <t>WS1/8</t>
  </si>
  <si>
    <t>2055071040000100</t>
  </si>
  <si>
    <t>MB  K-16 WS1/8 304</t>
  </si>
  <si>
    <t>2055071060000100</t>
  </si>
  <si>
    <t>MB  K-16 WS1/8 316</t>
  </si>
  <si>
    <t>WS11/2</t>
  </si>
  <si>
    <t>2055071040000800</t>
  </si>
  <si>
    <t>MB  K-16 WS11/2 304</t>
  </si>
  <si>
    <t>2055071060000800</t>
  </si>
  <si>
    <t>MB  K-16 WS11/2 316</t>
  </si>
  <si>
    <t>WS11/4</t>
  </si>
  <si>
    <t>2055071040000700</t>
  </si>
  <si>
    <t>MB  K-16 WS11/4 304</t>
  </si>
  <si>
    <t>2055071060000700</t>
  </si>
  <si>
    <t>MB  K-16 WS11/4 316</t>
  </si>
  <si>
    <t>WS2</t>
  </si>
  <si>
    <t>2055071040000900</t>
  </si>
  <si>
    <t>MB  K-16 WS2 304</t>
  </si>
  <si>
    <t>2055071060000900</t>
  </si>
  <si>
    <t>MB  K-16 WS2 316</t>
  </si>
  <si>
    <t>WS21/2</t>
  </si>
  <si>
    <t>2055071040101000</t>
  </si>
  <si>
    <t>MB  K-16 WS21/2 304 NPT</t>
  </si>
  <si>
    <t>2055071060101000</t>
  </si>
  <si>
    <t>MB  K-16 WS21/2 316 NPT</t>
  </si>
  <si>
    <t>WS3</t>
  </si>
  <si>
    <t>2055071040001100</t>
  </si>
  <si>
    <t>MB  K-16 WS3 304</t>
  </si>
  <si>
    <t>2055071060001100</t>
  </si>
  <si>
    <t>MB  K-16 WS3 316</t>
  </si>
  <si>
    <t>WS3/4</t>
  </si>
  <si>
    <t>2055071040000500</t>
  </si>
  <si>
    <t>MB  K-16 WS3/4 304</t>
  </si>
  <si>
    <t>2055071060000500</t>
  </si>
  <si>
    <t>MB  K-16 WS3/4 316</t>
  </si>
  <si>
    <t>WS3/8</t>
  </si>
  <si>
    <t>2055071040000300</t>
  </si>
  <si>
    <t>MB  K-16 WS3/8 304</t>
  </si>
  <si>
    <t>WS4</t>
  </si>
  <si>
    <t>2055071040001200</t>
  </si>
  <si>
    <t>MB  K-16 WS4 304</t>
  </si>
  <si>
    <t>2055071060001200</t>
  </si>
  <si>
    <t>MB  K-16 WS4 316</t>
  </si>
  <si>
    <t>MB K-11</t>
  </si>
  <si>
    <t>LN1</t>
  </si>
  <si>
    <t>2055091061000600</t>
  </si>
  <si>
    <t>MB  K-11 LN</t>
  </si>
  <si>
    <t>1 316 NPSL</t>
  </si>
  <si>
    <t>MB  K-11 LN1 316 NPSL</t>
  </si>
  <si>
    <t>2055091040000600</t>
  </si>
  <si>
    <t>MB  K-11 LN1 304</t>
  </si>
  <si>
    <t>LN1/2</t>
  </si>
  <si>
    <t>2055091040000400</t>
  </si>
  <si>
    <t>MB  K-11 LN1/2 304</t>
  </si>
  <si>
    <t>2055091061000400</t>
  </si>
  <si>
    <t>1/2 316 NPSL</t>
  </si>
  <si>
    <t>MB  K-11 LN1/2 316 NPSL</t>
  </si>
  <si>
    <t>LN1/4</t>
  </si>
  <si>
    <t>2055091040000200</t>
  </si>
  <si>
    <t>MB  K-11 LN1/4 304</t>
  </si>
  <si>
    <t>2055091061000200</t>
  </si>
  <si>
    <t>1/4 316 NPSL</t>
  </si>
  <si>
    <t>MB  K-11 LN1/4 316 NPSL</t>
  </si>
  <si>
    <t>LN1/8</t>
  </si>
  <si>
    <t>2055091040000100</t>
  </si>
  <si>
    <t>MB  K-11 LN1/8 304</t>
  </si>
  <si>
    <t>2055091061000100</t>
  </si>
  <si>
    <t>1/8 316 NPSL</t>
  </si>
  <si>
    <t>MB  K-11 LN1/8 316 NPSL</t>
  </si>
  <si>
    <t>LN11/2</t>
  </si>
  <si>
    <t>2055091040000800</t>
  </si>
  <si>
    <t>MB  K-11 LN11/2 304</t>
  </si>
  <si>
    <t>2055091061000800</t>
  </si>
  <si>
    <t>11/2 316 NPSL</t>
  </si>
  <si>
    <t>MB  K-11 LN11/2 316 NPSL</t>
  </si>
  <si>
    <t>LN11/4</t>
  </si>
  <si>
    <t>2055091040000700</t>
  </si>
  <si>
    <t>MB  K-11 LN11/4 304</t>
  </si>
  <si>
    <t>2055091061000700</t>
  </si>
  <si>
    <t>11/4 316 NPSL</t>
  </si>
  <si>
    <t>MB  K-11 LN11/4 316 NPSL</t>
  </si>
  <si>
    <t>LN2</t>
  </si>
  <si>
    <t>2055091040000900</t>
  </si>
  <si>
    <t>MB  K-11 LN2 304</t>
  </si>
  <si>
    <t>2055091061000900</t>
  </si>
  <si>
    <t>2 316 NPSL</t>
  </si>
  <si>
    <t>MB  K-11 LN2 316 NPSL</t>
  </si>
  <si>
    <t>LN21/2</t>
  </si>
  <si>
    <t>2055091040001000</t>
  </si>
  <si>
    <t>21/2 304</t>
  </si>
  <si>
    <t>MB  K-11 LN21/2 304</t>
  </si>
  <si>
    <t>2055091061001000</t>
  </si>
  <si>
    <t>21/2 316 NPSL</t>
  </si>
  <si>
    <t>LN3</t>
  </si>
  <si>
    <t>2055091040001100</t>
  </si>
  <si>
    <t>MB  K-11 LN3 304</t>
  </si>
  <si>
    <t>2055091061001100</t>
  </si>
  <si>
    <t>3 316 NPSL</t>
  </si>
  <si>
    <t>MB  K-11 LN3 316 NPSL</t>
  </si>
  <si>
    <t>LN3/4</t>
  </si>
  <si>
    <t>2055091040000500</t>
  </si>
  <si>
    <t>MB  K-11 LN3/4 304</t>
  </si>
  <si>
    <t>2055091061000500</t>
  </si>
  <si>
    <t>3/4 316 NPSL</t>
  </si>
  <si>
    <t>MB  K-11 LN3/4 316 NPSL</t>
  </si>
  <si>
    <t>LN3/8</t>
  </si>
  <si>
    <t>2055091040000300</t>
  </si>
  <si>
    <t>MB  K-11 LN3/8 304</t>
  </si>
  <si>
    <t>LN4</t>
  </si>
  <si>
    <t>2055091040001200</t>
  </si>
  <si>
    <t>MB  K-11 LN4 304</t>
  </si>
  <si>
    <t>MB K-11 114</t>
  </si>
  <si>
    <t>114LN1</t>
  </si>
  <si>
    <t>2055092011000600</t>
  </si>
  <si>
    <t>MB 114 K-11 LN</t>
  </si>
  <si>
    <t>1 CF8 NPSL</t>
  </si>
  <si>
    <t>MB 114 K-11 LN1 CF8 NPSL</t>
  </si>
  <si>
    <t>2055092021000600</t>
  </si>
  <si>
    <t>1 CF8M NPSL</t>
  </si>
  <si>
    <t>MB 114 K-11 LN1 CF8M NPSL</t>
  </si>
  <si>
    <t>114LN1/2</t>
  </si>
  <si>
    <t>2055092011000400</t>
  </si>
  <si>
    <t>1/2 CF8 NPSL</t>
  </si>
  <si>
    <t>MB 114 K-11 LN1/2 CF8 NPSL</t>
  </si>
  <si>
    <t>2055092021000400</t>
  </si>
  <si>
    <t>1/2 CF8M NPSL</t>
  </si>
  <si>
    <t>MB 114 K-11 LN1/2 CF8M NPSL</t>
  </si>
  <si>
    <t>114LN1/4</t>
  </si>
  <si>
    <t>2055092011000200</t>
  </si>
  <si>
    <t>1/4 CF8 NPSL</t>
  </si>
  <si>
    <t>MB 114 K-11 LN1/4 CF8 NPSL</t>
  </si>
  <si>
    <t>2055092021000200</t>
  </si>
  <si>
    <t>1/4 CF8M NPSL</t>
  </si>
  <si>
    <t>MB 114 K-11 LN1/4 CF8M NPSL</t>
  </si>
  <si>
    <t>114LN1/8</t>
  </si>
  <si>
    <t>2055092011000100</t>
  </si>
  <si>
    <t>1/8 CF8 NPSL</t>
  </si>
  <si>
    <t>MB 114 K-11 LN1/8 CF8 NPSL</t>
  </si>
  <si>
    <t>2055092021000100</t>
  </si>
  <si>
    <t>1/8 CF8M NPSL</t>
  </si>
  <si>
    <t>MB 114 K-11 LN1/8 CF8M NPSL</t>
  </si>
  <si>
    <t>114LN11/2</t>
  </si>
  <si>
    <t>2055092011000800</t>
  </si>
  <si>
    <t>11/2 CF8 NPSL</t>
  </si>
  <si>
    <t>MB 114 K-11 LN11/2 CF8 NPSL</t>
  </si>
  <si>
    <t>2055092021000800</t>
  </si>
  <si>
    <t>11/2 CF8M NPSL</t>
  </si>
  <si>
    <t>MB 114 K-11 LN11/2 CF8M NPSL</t>
  </si>
  <si>
    <t>114LN11/4</t>
  </si>
  <si>
    <t>2055092011000700</t>
  </si>
  <si>
    <t>11/4 CF8 NPSL</t>
  </si>
  <si>
    <t>MB 114 K-11 LN11/4 CF8 NPSL</t>
  </si>
  <si>
    <t>2055092021000700</t>
  </si>
  <si>
    <t>11/4 CF8M NPSL</t>
  </si>
  <si>
    <t>MB 114 K-11 LN11/4 CF8M NPSL</t>
  </si>
  <si>
    <t>114LN2</t>
  </si>
  <si>
    <t>2055092011000900</t>
  </si>
  <si>
    <t>2 CF8 NPSL</t>
  </si>
  <si>
    <t>MB 114 K-11 LN2 CF8 NPSL</t>
  </si>
  <si>
    <t>2055092021000900</t>
  </si>
  <si>
    <t>2 CF8M NPSL</t>
  </si>
  <si>
    <t>MB 114 K-11 LN2 CF8M NPSL</t>
  </si>
  <si>
    <t>114LN21/2</t>
  </si>
  <si>
    <t>2055092011001000</t>
  </si>
  <si>
    <t>21/2 CF8 NPSL</t>
  </si>
  <si>
    <t>MB 114 K-11 LN21/2 CF8 NPSL</t>
  </si>
  <si>
    <t>2055092021001000</t>
  </si>
  <si>
    <t>21/2 CF8M NPSL</t>
  </si>
  <si>
    <t>MB 114 K-11 LN21/2 CF8M NPSL</t>
  </si>
  <si>
    <t>114LN3</t>
  </si>
  <si>
    <t>2055092011001100</t>
  </si>
  <si>
    <t>3 CF8 NPSL</t>
  </si>
  <si>
    <t>MB 114 K-11 LN3 CF8 NPSL</t>
  </si>
  <si>
    <t>2055092021001100</t>
  </si>
  <si>
    <t>3 CF8M NPSL</t>
  </si>
  <si>
    <t>MB 114 K-11 LN3 CF8M NPSL</t>
  </si>
  <si>
    <t>114LN3/4</t>
  </si>
  <si>
    <t>2055092011000500</t>
  </si>
  <si>
    <t>3/4 CF8 NPSL</t>
  </si>
  <si>
    <t>MB 114 K-11 LN3/4 CF8 NPSL</t>
  </si>
  <si>
    <t>2055092021000500</t>
  </si>
  <si>
    <t>3/4 CF8M NPSL</t>
  </si>
  <si>
    <t>MB 114 K-11 LN3/4 CF8M NPSL</t>
  </si>
  <si>
    <t>114LN3/8</t>
  </si>
  <si>
    <t>2055092010000300</t>
  </si>
  <si>
    <t>MB 114 K-11 LN3/8 CF8</t>
  </si>
  <si>
    <t>2055092021000300</t>
  </si>
  <si>
    <t>3/8 CF8M NPSL</t>
  </si>
  <si>
    <t>MB 114 K-11 LN3/8 CF8M NPSL</t>
  </si>
  <si>
    <t>114LN4</t>
  </si>
  <si>
    <t>2055092011001200</t>
  </si>
  <si>
    <t>4 CF8 NPSL</t>
  </si>
  <si>
    <t>MB 114 K-11 LN4 CF8 NPSL</t>
  </si>
  <si>
    <t>KI K-12B</t>
  </si>
  <si>
    <t>SPP1</t>
  </si>
  <si>
    <t>2015621040100600</t>
  </si>
  <si>
    <t>KI  K-12B SPP</t>
  </si>
  <si>
    <t>1 304 NPT</t>
  </si>
  <si>
    <t>KI  K-12B SPP1 304 NPT</t>
  </si>
  <si>
    <t>2015621060100600</t>
  </si>
  <si>
    <t>1 316 NPT</t>
  </si>
  <si>
    <t>KI  K-12B SPP1 316 NPT</t>
  </si>
  <si>
    <t>SPP1/2</t>
  </si>
  <si>
    <t>2015621040100400</t>
  </si>
  <si>
    <t>1/2 304 NPT</t>
  </si>
  <si>
    <t>KI  K-12B SPP1/2 304 NPT</t>
  </si>
  <si>
    <t>2015621060100400</t>
  </si>
  <si>
    <t>1/2 316 NPT</t>
  </si>
  <si>
    <t>KI  K-12B SPP1/2 316 NPT</t>
  </si>
  <si>
    <t>SPP1/4</t>
  </si>
  <si>
    <t>2015621040100200</t>
  </si>
  <si>
    <t>1/4 304 NPT</t>
  </si>
  <si>
    <t>KI  K-12B SPP1/4 304 NPT</t>
  </si>
  <si>
    <t>2015621060100200</t>
  </si>
  <si>
    <t>1/4 316 NPT</t>
  </si>
  <si>
    <t>KI  K-12B SPP1/4 316 NPT</t>
  </si>
  <si>
    <t>SPP1/8</t>
  </si>
  <si>
    <t>2015621040100100</t>
  </si>
  <si>
    <t>KI  K-12B SPP1/8 304 NPT</t>
  </si>
  <si>
    <t>2015621060100100</t>
  </si>
  <si>
    <t>1/8 316 NPT</t>
  </si>
  <si>
    <t>KI  K-12B SPP1/8 316 NPT</t>
  </si>
  <si>
    <t>SPP11/2</t>
  </si>
  <si>
    <t>2015621040100800</t>
  </si>
  <si>
    <t>11/2 304 NPT</t>
  </si>
  <si>
    <t>KI  K-12B SPP11/2 304 NPT</t>
  </si>
  <si>
    <t>2015621060100800</t>
  </si>
  <si>
    <t>11/2 316 NPT</t>
  </si>
  <si>
    <t>KI  K-12B SPP11/2 316 NPT</t>
  </si>
  <si>
    <t>SPP11/4</t>
  </si>
  <si>
    <t>2015621040100700</t>
  </si>
  <si>
    <t>11/4 304 NPT</t>
  </si>
  <si>
    <t>KI  K-12B SPP11/4 304 NPT</t>
  </si>
  <si>
    <t>2015621060100700</t>
  </si>
  <si>
    <t>11/4 316 NPT</t>
  </si>
  <si>
    <t>KI  K-12B SPP11/4 316 NPT</t>
  </si>
  <si>
    <t>SPP2</t>
  </si>
  <si>
    <t>2015621040100900</t>
  </si>
  <si>
    <t>2 304 NPT</t>
  </si>
  <si>
    <t>KI  K-12B SPP2 304 NPT</t>
  </si>
  <si>
    <t>2015621060100900</t>
  </si>
  <si>
    <t>2 316 NPT</t>
  </si>
  <si>
    <t>KI  K-12B SPP2 316 NPT</t>
  </si>
  <si>
    <t>SPP21/2</t>
  </si>
  <si>
    <t>2015621040101000</t>
  </si>
  <si>
    <t>KI  K-12B SPP21/2 304 NPT</t>
  </si>
  <si>
    <t>2015621060101000</t>
  </si>
  <si>
    <t>KI  K-12B SPP21/2 316 NPT</t>
  </si>
  <si>
    <t>SPP3</t>
  </si>
  <si>
    <t>2015621040101100</t>
  </si>
  <si>
    <t>3 304 NPT</t>
  </si>
  <si>
    <t>KI  K-12B SPP3 304 NPT</t>
  </si>
  <si>
    <t>2015621060101100</t>
  </si>
  <si>
    <t>KI  K-12B SPP3 316 NPT</t>
  </si>
  <si>
    <t>SPP3/4</t>
  </si>
  <si>
    <t>2015621040100500</t>
  </si>
  <si>
    <t>3/4 304 NPT</t>
  </si>
  <si>
    <t>KI  K-12B SPP3/4 304 NPT</t>
  </si>
  <si>
    <t>2015621060100500</t>
  </si>
  <si>
    <t>3/4 316 NPT</t>
  </si>
  <si>
    <t>KI  K-12B SPP3/4 316 NPT</t>
  </si>
  <si>
    <t>SPP3/8</t>
  </si>
  <si>
    <t>2015621040100300</t>
  </si>
  <si>
    <t>3/8 304 NPT</t>
  </si>
  <si>
    <t>KI  K-12B SPP3/8 304 NPT</t>
  </si>
  <si>
    <t>2015621060100300</t>
  </si>
  <si>
    <t>3/8 316 NPT</t>
  </si>
  <si>
    <t>KI  K-12B SPP3/8 316 NPT</t>
  </si>
  <si>
    <t>SPP4</t>
  </si>
  <si>
    <t>2015621040101200</t>
  </si>
  <si>
    <t>4 304 NPT</t>
  </si>
  <si>
    <t>KI  K-12B SPP4 304 NPT</t>
  </si>
  <si>
    <t>2015621060101200</t>
  </si>
  <si>
    <t>4 316 NPT</t>
  </si>
  <si>
    <t>KI  K-12B SPP4 316 NPT</t>
  </si>
  <si>
    <t>KI K-12BN</t>
  </si>
  <si>
    <t>SPPN1</t>
  </si>
  <si>
    <t>2015891040100600</t>
  </si>
  <si>
    <t>KI  K-12BN SPPN</t>
  </si>
  <si>
    <t>KI  K-12BN SPPN1 304 NPT</t>
  </si>
  <si>
    <t>2015891060100600</t>
  </si>
  <si>
    <t>KI  K-12BN SPPN1 316 NPT</t>
  </si>
  <si>
    <t>SPPN1/2</t>
  </si>
  <si>
    <t>2015891040100400</t>
  </si>
  <si>
    <t>KI  K-12BN SPPN1/2 304 NPT</t>
  </si>
  <si>
    <t>2015891060100400</t>
  </si>
  <si>
    <t>KI  K-12BN SPPN1/2 316 NPT</t>
  </si>
  <si>
    <t>SPPN1/4</t>
  </si>
  <si>
    <t>2015891040100200</t>
  </si>
  <si>
    <t>KI  K-12BN SPPN1/4 304 NPT</t>
  </si>
  <si>
    <t>2015891060100200</t>
  </si>
  <si>
    <t>KI  K-12BN SPPN1/4 316 NPT</t>
  </si>
  <si>
    <t>SPPN1/8</t>
  </si>
  <si>
    <t>2015891040100100</t>
  </si>
  <si>
    <t>KI  K-12BN SPPN1/8 304 NPT</t>
  </si>
  <si>
    <t>2015891060100100</t>
  </si>
  <si>
    <t>KI  K-12BN SPPN1/8 316 NPT</t>
  </si>
  <si>
    <t>SPPN11/2</t>
  </si>
  <si>
    <t>2015891040100800</t>
  </si>
  <si>
    <t>KI  K-12BN SPPN11/2 304 NPT</t>
  </si>
  <si>
    <t>2015891060100800</t>
  </si>
  <si>
    <t>KI  K-12BN SPPN11/2 316 NPT</t>
  </si>
  <si>
    <t>SPPN11/4</t>
  </si>
  <si>
    <t>2015891040100700</t>
  </si>
  <si>
    <t>KI  K-12BN SPPN11/4 304 NPT</t>
  </si>
  <si>
    <t>2015891060100700</t>
  </si>
  <si>
    <t>KI  K-12BN SPPN11/4 316 NPT</t>
  </si>
  <si>
    <t>SPPN2</t>
  </si>
  <si>
    <t>2015891040100900</t>
  </si>
  <si>
    <t>KI  K-12BN SPPN2 304 NPT</t>
  </si>
  <si>
    <t>2015891060100900</t>
  </si>
  <si>
    <t>KI  K-12BN SPPN2 316 NPT</t>
  </si>
  <si>
    <t>SPPN21/2</t>
  </si>
  <si>
    <t>2015891040101000</t>
  </si>
  <si>
    <t>KI  K-12BN SPPN21/2 304 NPT</t>
  </si>
  <si>
    <t>SPPN3/4</t>
  </si>
  <si>
    <t>2015891040100500</t>
  </si>
  <si>
    <t>KI  K-12BN SPPN3/4 304 NPT</t>
  </si>
  <si>
    <t>2015891060100500</t>
  </si>
  <si>
    <t>KI  K-12BN SPPN3/4 316 NPT</t>
  </si>
  <si>
    <t>SPPN3/8</t>
  </si>
  <si>
    <t>2015891040100300</t>
  </si>
  <si>
    <t>KI  K-12BN SPPN3/8 304 NPT</t>
  </si>
  <si>
    <t>2015891060100300</t>
  </si>
  <si>
    <t>KI  K-12BN SPPN3/8 316 NPT</t>
  </si>
  <si>
    <t>KI K-12C</t>
  </si>
  <si>
    <t>HSPP1</t>
  </si>
  <si>
    <t>2015631040100600</t>
  </si>
  <si>
    <t>KI  K-12C HSPP</t>
  </si>
  <si>
    <t>KI  K-12C HSPP1 304 NPT</t>
  </si>
  <si>
    <t>2015631060100600</t>
  </si>
  <si>
    <t>KI  K-12C HSPP1 316 NPT</t>
  </si>
  <si>
    <t>HSPP1/2</t>
  </si>
  <si>
    <t>2015631040100400</t>
  </si>
  <si>
    <t>KI  K-12C HSPP1/2 304 NPT</t>
  </si>
  <si>
    <t>2015631060100400</t>
  </si>
  <si>
    <t>KI  K-12C HSPP1/2 316 NPT</t>
  </si>
  <si>
    <t>HSPP1/4</t>
  </si>
  <si>
    <t>2015631040100200</t>
  </si>
  <si>
    <t>KI  K-12C HSPP1/4 304 NPT</t>
  </si>
  <si>
    <t>2015631060100200</t>
  </si>
  <si>
    <t>KI  K-12C HSPP1/4 316 NPT</t>
  </si>
  <si>
    <t>HSPP1/8</t>
  </si>
  <si>
    <t>2015631040100100</t>
  </si>
  <si>
    <t>KI  K-12C HSPP1/8 304 NPT</t>
  </si>
  <si>
    <t>2015631060100100</t>
  </si>
  <si>
    <t>KI  K-12C HSPP1/8 316 NPT</t>
  </si>
  <si>
    <t>HSPP11/2</t>
  </si>
  <si>
    <t>2015631040100800</t>
  </si>
  <si>
    <t>KI  K-12C HSPP11/2 304 NPT</t>
  </si>
  <si>
    <t>2015631060100800</t>
  </si>
  <si>
    <t>KI  K-12C HSPP11/2 316 NPT</t>
  </si>
  <si>
    <t>HSPP11/4</t>
  </si>
  <si>
    <t>2015631040100700</t>
  </si>
  <si>
    <t>KI  K-12C HSPP11/4 304 NPT</t>
  </si>
  <si>
    <t>2015631060100700</t>
  </si>
  <si>
    <t>KI  K-12C HSPP11/4 316 NPT</t>
  </si>
  <si>
    <t>HSPP2</t>
  </si>
  <si>
    <t>2015631040100900</t>
  </si>
  <si>
    <t>KI  K-12C HSPP2 304 NPT</t>
  </si>
  <si>
    <t>2015631060100900</t>
  </si>
  <si>
    <t>KI  K-12C HSPP2 316 NPT</t>
  </si>
  <si>
    <t>HSPP21/2</t>
  </si>
  <si>
    <t>2015631040101000</t>
  </si>
  <si>
    <t>KI  K-12C HSPP21/2 304 NPT</t>
  </si>
  <si>
    <t>2015631060101000</t>
  </si>
  <si>
    <t>KI  K-12C HSPP21/2 316 NPT</t>
  </si>
  <si>
    <t>HSPP3</t>
  </si>
  <si>
    <t>2015631040101100</t>
  </si>
  <si>
    <t>KI  K-12C HSPP3 304 NPT</t>
  </si>
  <si>
    <t>2015631060101100</t>
  </si>
  <si>
    <t>KI  K-12C HSPP3 316 NPT</t>
  </si>
  <si>
    <t>HSPP3/4</t>
  </si>
  <si>
    <t>2015631040100500</t>
  </si>
  <si>
    <t>KI  K-12C HSPP3/4 304 NPT</t>
  </si>
  <si>
    <t>2015631060100500</t>
  </si>
  <si>
    <t>KI  K-12C HSPP3/4 316 NPT</t>
  </si>
  <si>
    <t>HSPP3/8</t>
  </si>
  <si>
    <t>2015631040100300</t>
  </si>
  <si>
    <t>KI  K-12C HSPP3/8 304 NPT</t>
  </si>
  <si>
    <t>2015631060100300</t>
  </si>
  <si>
    <t>KI  K-12C HSPP3/8 316 NPT</t>
  </si>
  <si>
    <t>HSPP4</t>
  </si>
  <si>
    <t>2015631040101200</t>
  </si>
  <si>
    <t>KI  K-12C HSPP4 304 NPT</t>
  </si>
  <si>
    <t>2015631060101200</t>
  </si>
  <si>
    <t>KI  K-12C HSPP4 316 NPT</t>
  </si>
  <si>
    <t>KI K-12CN</t>
  </si>
  <si>
    <t>2015571040100600</t>
  </si>
  <si>
    <t>KI  K-12CN HSPPN</t>
  </si>
  <si>
    <t>KI  K-12CN HSPPN1 304 NPT</t>
  </si>
  <si>
    <t>2015571060100600</t>
  </si>
  <si>
    <t>KI  K-12CN HSPPN1 316 NPT</t>
  </si>
  <si>
    <t>2015571040100400</t>
  </si>
  <si>
    <t>KI  K-12CN HSPPN1/2 304 NPT</t>
  </si>
  <si>
    <t>2015571060100400</t>
  </si>
  <si>
    <t>KI  K-12CN HSPPN1/2 316 NPT</t>
  </si>
  <si>
    <t>2015571040100200</t>
  </si>
  <si>
    <t>KI  K-12CN HSPPN1/4 304 NPT</t>
  </si>
  <si>
    <t>2015571060100200</t>
  </si>
  <si>
    <t>KI  K-12CN HSPPN1/4 316 NPT</t>
  </si>
  <si>
    <t>2015571040100100</t>
  </si>
  <si>
    <t>KI  K-12CN HSPPN1/8 304 NPT</t>
  </si>
  <si>
    <t>2015571060100100</t>
  </si>
  <si>
    <t>KI  K-12CN HSPPN1/8 316 NPT</t>
  </si>
  <si>
    <t>2015571040100800</t>
  </si>
  <si>
    <t>KI  K-12CN HSPPN11/2 304 NPT</t>
  </si>
  <si>
    <t>2015571040100700</t>
  </si>
  <si>
    <t>KI  K-12CN HSPPN11/4 304 NPT</t>
  </si>
  <si>
    <t>2015571060100700</t>
  </si>
  <si>
    <t>KI  K-12CN HSPPN11/4 316 NPT</t>
  </si>
  <si>
    <t>2015571040100900</t>
  </si>
  <si>
    <t>KI  K-12CN HSPPN2 304 NPT</t>
  </si>
  <si>
    <t>2015571060100900</t>
  </si>
  <si>
    <t>KI  K-12CN HSPPN2 316 NPT</t>
  </si>
  <si>
    <t>2015571040101000</t>
  </si>
  <si>
    <t>KI  K-12CN HSPPN21/2 304 NPT</t>
  </si>
  <si>
    <t>SPPN3</t>
  </si>
  <si>
    <t>2015571060101100</t>
  </si>
  <si>
    <t>KI  K-12CN HSPPN3 316 NPT</t>
  </si>
  <si>
    <t>2015571040100500</t>
  </si>
  <si>
    <t>KI  K-12CN HSPPN3/4 304 NPT</t>
  </si>
  <si>
    <t>2015571040100300</t>
  </si>
  <si>
    <t>KI  K-12CN HSPPN3/8 304 NPT</t>
  </si>
  <si>
    <t>2015571060100300</t>
  </si>
  <si>
    <t>KI  K-12CN HSPPN3/8 316 NPT</t>
  </si>
  <si>
    <t>SPPN4</t>
  </si>
  <si>
    <t>2015571040101200</t>
  </si>
  <si>
    <t>KI  K-12CN HSPPN4 304 NPT</t>
  </si>
  <si>
    <t>KI K-12L 114</t>
  </si>
  <si>
    <t>114SPP1</t>
  </si>
  <si>
    <t>2015342010100600</t>
  </si>
  <si>
    <t>KI 114  KI-12L 114SPP</t>
  </si>
  <si>
    <t>KI 114  KI-12L 114SPP1 CF8 NPT</t>
  </si>
  <si>
    <t>2015342020100600</t>
  </si>
  <si>
    <t>KI 114  KI-12L 114SPP1 CF8M NPT</t>
  </si>
  <si>
    <t>114SPP1/2</t>
  </si>
  <si>
    <t>2015342010100400</t>
  </si>
  <si>
    <t>KI 114  KI-12L 114SPP1/2 CF8 NPT</t>
  </si>
  <si>
    <t>2015342020100400</t>
  </si>
  <si>
    <t>KI 114  KI-12L 114SPP1/2 CF8M NPT</t>
  </si>
  <si>
    <t>114SPP1/4</t>
  </si>
  <si>
    <t>2015342010100200</t>
  </si>
  <si>
    <t>KI 114  KI-12L 114SPP1/4 CF8 NPT</t>
  </si>
  <si>
    <t>114SPP1/8</t>
  </si>
  <si>
    <t>2015342010100100</t>
  </si>
  <si>
    <t>KI 114  KI-12L 114SPP1/8 CF8 NPT</t>
  </si>
  <si>
    <t>2015342020100100</t>
  </si>
  <si>
    <t>KI 114  KI-12L 114SPP1/8 CF8M NPT</t>
  </si>
  <si>
    <t>114SPP11/2</t>
  </si>
  <si>
    <t>2015342010100800</t>
  </si>
  <si>
    <t>KI 114  KI-12L 114SPP11/2 CF8 NPT</t>
  </si>
  <si>
    <t>2015342020100800</t>
  </si>
  <si>
    <t>KI 114  KI-12L 114SPP11/2 CF8M NPT</t>
  </si>
  <si>
    <t>114SPP11/4</t>
  </si>
  <si>
    <t>2015342010100700</t>
  </si>
  <si>
    <t>KI 114  KI-12L 114SPP11/4 CF8 NPT</t>
  </si>
  <si>
    <t>2015342020100700</t>
  </si>
  <si>
    <t>KI 114  KI-12L 114SPP11/4 CF8M NPT</t>
  </si>
  <si>
    <t>114SPP2</t>
  </si>
  <si>
    <t>2015342010100900</t>
  </si>
  <si>
    <t>KI 114  KI-12L 114SPP2 CF8 NPT</t>
  </si>
  <si>
    <t>2015342020100900</t>
  </si>
  <si>
    <t>KI 114  KI-12L 114SPP2 CF8M NPT</t>
  </si>
  <si>
    <t>114SPP21/2</t>
  </si>
  <si>
    <t>2015342010101000</t>
  </si>
  <si>
    <t>KI 114  KI-12L 114SPP21/2 CF8 NPT</t>
  </si>
  <si>
    <t>2015342020101000</t>
  </si>
  <si>
    <t>KI 114  KI-12L 114SPP21/2 CF8M NPT</t>
  </si>
  <si>
    <t>114SPP3</t>
  </si>
  <si>
    <t>2015342010101100</t>
  </si>
  <si>
    <t>KI 114  KI-12L 114SPP3 CF8 NPT</t>
  </si>
  <si>
    <t>2015342020101100</t>
  </si>
  <si>
    <t>KI 114  KI-12L 114SPP3 CF8M NPT</t>
  </si>
  <si>
    <t>114SPP3/4</t>
  </si>
  <si>
    <t>2015342010100500</t>
  </si>
  <si>
    <t>KI 114  KI-12L 114SPP3/4 CF8 NPT</t>
  </si>
  <si>
    <t>2015342020100500</t>
  </si>
  <si>
    <t>KI 114  KI-12L 114SPP3/4 CF8M NPT</t>
  </si>
  <si>
    <t>114SPP3/8</t>
  </si>
  <si>
    <t>2015342010100300</t>
  </si>
  <si>
    <t>KI 114  KI-12L 114SPP3/8 CF8 NPT</t>
  </si>
  <si>
    <t>2015342020100300</t>
  </si>
  <si>
    <t>KI 114  KI-12L 114SPP3/8 CF8M NPT</t>
  </si>
  <si>
    <t>114SPP4</t>
  </si>
  <si>
    <t>2015342010101200</t>
  </si>
  <si>
    <t>KI 114  KI-12L 114SPP4 CF8 NPT</t>
  </si>
  <si>
    <t>2015342020101200</t>
  </si>
  <si>
    <t>KI 114  KI-12L 114SPP4 CF8M NPT</t>
  </si>
  <si>
    <t>2015622020100200</t>
  </si>
  <si>
    <t>KI 114  KI-12L SPP</t>
  </si>
  <si>
    <t>KI 114  KI-12L SPP1/4 CF8M NPT</t>
  </si>
  <si>
    <t>KI K-12M 114</t>
  </si>
  <si>
    <t>2015352010100600</t>
  </si>
  <si>
    <t>KI 114  KI-12M 114HSPP</t>
  </si>
  <si>
    <t>KI 114  KI-12M 114HSPP1 CF8 NPT</t>
  </si>
  <si>
    <t>114HSPP1</t>
  </si>
  <si>
    <t>2015352020100600</t>
  </si>
  <si>
    <t>KI 114  KI-12M 114HSPP1 CF8M NPT</t>
  </si>
  <si>
    <t>2015352010100400</t>
  </si>
  <si>
    <t>KI 114  KI-12M 114HSPP1/2 CF8 NPT</t>
  </si>
  <si>
    <t>114HSPP1/2</t>
  </si>
  <si>
    <t>2015352020100400</t>
  </si>
  <si>
    <t>KI 114  KI-12M 114HSPP1/2 CF8M NPT</t>
  </si>
  <si>
    <t>2015352010100200</t>
  </si>
  <si>
    <t>KI 114  KI-12M 114HSPP1/4 CF8 NPT</t>
  </si>
  <si>
    <t>114HSPP1/4</t>
  </si>
  <si>
    <t>2015352020100200</t>
  </si>
  <si>
    <t>KI 114  KI-12M 114HSPP1/4 CF8M NPT</t>
  </si>
  <si>
    <t>2015352010100100</t>
  </si>
  <si>
    <t>KI 114  KI-12M 114HSPP1/8 CF8 NPT</t>
  </si>
  <si>
    <t>114HSPP1/8</t>
  </si>
  <si>
    <t>2015352020100100</t>
  </si>
  <si>
    <t>KI 114  KI-12M 114HSPP1/8 CF8M NPT</t>
  </si>
  <si>
    <t>2015352010100800</t>
  </si>
  <si>
    <t>KI 114  KI-12M 114HSPP11/2 CF8 NPT</t>
  </si>
  <si>
    <t>114HSPP11/2</t>
  </si>
  <si>
    <t>2015352020100800</t>
  </si>
  <si>
    <t>KI 114  KI-12M 114HSPP11/2 CF8M NPT</t>
  </si>
  <si>
    <t>2015352010100700</t>
  </si>
  <si>
    <t>KI 114  KI-12M 114HSPP11/4 CF8 NPT</t>
  </si>
  <si>
    <t>114HSPP11/4</t>
  </si>
  <si>
    <t>2015352020100700</t>
  </si>
  <si>
    <t>KI 114  KI-12M 114HSPP11/4 CF8M NPT</t>
  </si>
  <si>
    <t>2015352010100900</t>
  </si>
  <si>
    <t>KI 114  KI-12M 114HSPP2 CF8 NPT</t>
  </si>
  <si>
    <t>114HSPP2</t>
  </si>
  <si>
    <t>2015352020100900</t>
  </si>
  <si>
    <t>KI 114  KI-12M 114HSPP2 CF8M NPT</t>
  </si>
  <si>
    <t>2015352010101000</t>
  </si>
  <si>
    <t>KI 114  KI-12M 114HSPP21/2 CF8 NPT</t>
  </si>
  <si>
    <t>114HSPP21/2</t>
  </si>
  <si>
    <t>2015352020101000</t>
  </si>
  <si>
    <t>KI 114  KI-12M 114HSPP21/2 CF8M NPT</t>
  </si>
  <si>
    <t>2015352010101100</t>
  </si>
  <si>
    <t>KI 114  KI-12M 114HSPP3 CF8 NPT</t>
  </si>
  <si>
    <t>114HSPP3</t>
  </si>
  <si>
    <t>2015352020101100</t>
  </si>
  <si>
    <t>KI 114  KI-12M 114HSPP3 CF8M NPT</t>
  </si>
  <si>
    <t>2015352010100500</t>
  </si>
  <si>
    <t>KI 114  KI-12M 114HSPP3/4 CF8 NPT</t>
  </si>
  <si>
    <t>114HSPP3/4</t>
  </si>
  <si>
    <t>2015352020100500</t>
  </si>
  <si>
    <t>KI 114  KI-12M 114HSPP3/4 CF8M NPT</t>
  </si>
  <si>
    <t>2015352010100300</t>
  </si>
  <si>
    <t>KI 114  KI-12M 114HSPP3/8 CF8 NPT</t>
  </si>
  <si>
    <t>114HSPP3/8</t>
  </si>
  <si>
    <t>2015352020100300</t>
  </si>
  <si>
    <t>KI 114  KI-12M 114HSPP3/8 CF8M NPT</t>
  </si>
  <si>
    <t>2015352010101200</t>
  </si>
  <si>
    <t>KI 114  KI-12M 114HSPP4 CF8 NPT</t>
  </si>
  <si>
    <t>114HSPP4</t>
  </si>
  <si>
    <t>2015352020101200</t>
  </si>
  <si>
    <t>KI 114  KI-12M 114HSPP4 CF8M NPT</t>
  </si>
  <si>
    <t>2015342020100200</t>
  </si>
  <si>
    <t>KI K-12L 114SPP SP-114</t>
  </si>
  <si>
    <t>CF8M NPT 1/4</t>
  </si>
  <si>
    <t>KI K-12L 114SPP SP-114CF8M NPT 1/4</t>
  </si>
  <si>
    <t>KI K-12A 114</t>
  </si>
  <si>
    <t>114RSB1/2*1/4</t>
  </si>
  <si>
    <t>2015612020101700</t>
  </si>
  <si>
    <t>KI 114  KI-12A RSB</t>
  </si>
  <si>
    <t>KI 114  KI-12A RSB1/2*1/4 CF8M NPT</t>
  </si>
  <si>
    <t>114RSB1/2*1/8</t>
  </si>
  <si>
    <t>2015612020101800</t>
  </si>
  <si>
    <t>KI 114  KI-12A RSB1/2*1/8 CF8M NPT</t>
  </si>
  <si>
    <t>114RSB1/2*3/8</t>
  </si>
  <si>
    <t>2015612020101600</t>
  </si>
  <si>
    <t>KI 114  KI-12A RSB1/2*3/8 CF8M NPT</t>
  </si>
  <si>
    <t>114RSB3/4*1/2</t>
  </si>
  <si>
    <t>2015612020101900</t>
  </si>
  <si>
    <t>KI 114  KI-12A RSB3/4*1/2 CF8M NPT</t>
  </si>
  <si>
    <t>MB K-12A</t>
  </si>
  <si>
    <t>RSB1*1/2</t>
  </si>
  <si>
    <t>2055611040002400</t>
  </si>
  <si>
    <t>MB  K-12A RSB</t>
  </si>
  <si>
    <t>MB  K-12A RSB1*1/2 304</t>
  </si>
  <si>
    <t>2055611060002400</t>
  </si>
  <si>
    <t>MB  K-12A RSB1*1/2 316</t>
  </si>
  <si>
    <t>RSB1*1/4</t>
  </si>
  <si>
    <t>2055611040002600</t>
  </si>
  <si>
    <t>MB  K-12A RSB1*1/4 304</t>
  </si>
  <si>
    <t>2055611060002600</t>
  </si>
  <si>
    <t>MB  K-12A RSB1*1/4 316</t>
  </si>
  <si>
    <t>RSB1*1/8</t>
  </si>
  <si>
    <t>2055611040002700</t>
  </si>
  <si>
    <t>MB  K-12A RSB1*1/8 304</t>
  </si>
  <si>
    <t>2055611060002700</t>
  </si>
  <si>
    <t>MB  K-12A RSB1*1/8 316</t>
  </si>
  <si>
    <t>RSB1*3/4</t>
  </si>
  <si>
    <t>2055611040002300</t>
  </si>
  <si>
    <t>MB  K-12A RSB1*3/4 304</t>
  </si>
  <si>
    <t>2055611060002300</t>
  </si>
  <si>
    <t>MB  K-12A RSB1*3/4 316</t>
  </si>
  <si>
    <t>RSB1*3/8</t>
  </si>
  <si>
    <t>2055611040002500</t>
  </si>
  <si>
    <t>MB  K-12A RSB1*3/8 304</t>
  </si>
  <si>
    <t>2055611060002500</t>
  </si>
  <si>
    <t>MB  K-12A RSB1*3/8 316</t>
  </si>
  <si>
    <t>RSB1/2*1/4</t>
  </si>
  <si>
    <t>2055611040001700</t>
  </si>
  <si>
    <t>MB  K-12A RSB1/2*1/4 304</t>
  </si>
  <si>
    <t>2055611060001700</t>
  </si>
  <si>
    <t>MB  K-12A RSB1/2*1/4 316</t>
  </si>
  <si>
    <t>RSB1/2*1/8</t>
  </si>
  <si>
    <t>2055611040001800</t>
  </si>
  <si>
    <t>MB  K-12A RSB1/2*1/8 304</t>
  </si>
  <si>
    <t>2055611060001800</t>
  </si>
  <si>
    <t>MB  K-12A RSB1/2*1/8 316</t>
  </si>
  <si>
    <t>RSB1/2*3/8</t>
  </si>
  <si>
    <t>2055611040001600</t>
  </si>
  <si>
    <t>MB  K-12A RSB1/2*3/8 304</t>
  </si>
  <si>
    <t>2055611060001600</t>
  </si>
  <si>
    <t>MB  K-12A RSB1/2*3/8 316</t>
  </si>
  <si>
    <t>RSB1/4*1/8</t>
  </si>
  <si>
    <t>2055611040001300</t>
  </si>
  <si>
    <t>MB  K-12A RSB1/4*1/8 304</t>
  </si>
  <si>
    <t>2055611060001300</t>
  </si>
  <si>
    <t>MB  K-12A RSB1/4*1/8 316</t>
  </si>
  <si>
    <t>RSB11/2*1</t>
  </si>
  <si>
    <t>2055611040003500</t>
  </si>
  <si>
    <t>MB  K-12A RSB11/2*1 304</t>
  </si>
  <si>
    <t>2055611060003500</t>
  </si>
  <si>
    <t>MB  K-12A RSB11/2*1 316</t>
  </si>
  <si>
    <t>RSB11/2*1/2</t>
  </si>
  <si>
    <t>2055611040003700</t>
  </si>
  <si>
    <t>MB  K-12A RSB11/2*1/2 304</t>
  </si>
  <si>
    <t>2055611060003700</t>
  </si>
  <si>
    <t>MB  K-12A RSB11/2*1/2 316</t>
  </si>
  <si>
    <t>RSB11/2*11/4</t>
  </si>
  <si>
    <t>2055611040003400</t>
  </si>
  <si>
    <t>MB  K-12A RSB11/2*11/4 304</t>
  </si>
  <si>
    <t>2055611060003400</t>
  </si>
  <si>
    <t>MB  K-12A RSB11/2*11/4 316</t>
  </si>
  <si>
    <t>RSB11/2*3/4</t>
  </si>
  <si>
    <t>2055611040003600</t>
  </si>
  <si>
    <t>MB  K-12A RSB11/2*3/4 304</t>
  </si>
  <si>
    <t>2055611060003600</t>
  </si>
  <si>
    <t>MB  K-12A RSB11/2*3/4 316</t>
  </si>
  <si>
    <t>RSB11/2*3/8</t>
  </si>
  <si>
    <t>2055611040003800</t>
  </si>
  <si>
    <t>MB  K-12A RSB11/2*3/8 304</t>
  </si>
  <si>
    <t>RSB11/4*1</t>
  </si>
  <si>
    <t>2055611040002800</t>
  </si>
  <si>
    <t>MB  K-12A RSB11/4*1 304</t>
  </si>
  <si>
    <t>2055611060002800</t>
  </si>
  <si>
    <t>MB  K-12A RSB11/4*1 316</t>
  </si>
  <si>
    <t>RSB11/4*1/2</t>
  </si>
  <si>
    <t>2055611040003000</t>
  </si>
  <si>
    <t>MB  K-12A RSB11/4*1/2 304</t>
  </si>
  <si>
    <t>2055611060003000</t>
  </si>
  <si>
    <t>MB  K-12A RSB11/4*1/2 316</t>
  </si>
  <si>
    <t>RSB11/4*3/4</t>
  </si>
  <si>
    <t>2055611040002900</t>
  </si>
  <si>
    <t>MB  K-12A RSB11/4*3/4 304</t>
  </si>
  <si>
    <t>2055611060002900</t>
  </si>
  <si>
    <t>MB  K-12A RSB11/4*3/4 316</t>
  </si>
  <si>
    <t>RSB11/4*3/8</t>
  </si>
  <si>
    <t>2055611040003100</t>
  </si>
  <si>
    <t>MB  K-12A RSB11/4*3/8 304</t>
  </si>
  <si>
    <t>2055611060003100</t>
  </si>
  <si>
    <t>MB  K-12A RSB11/4*3/8 316</t>
  </si>
  <si>
    <t>RSB2*1</t>
  </si>
  <si>
    <t>2055611040004200</t>
  </si>
  <si>
    <t>MB  K-12A RSB2*1 304</t>
  </si>
  <si>
    <t>2055611060004200</t>
  </si>
  <si>
    <t>MB  K-12A RSB2*1 316</t>
  </si>
  <si>
    <t>RSB2*1/2</t>
  </si>
  <si>
    <t>2055611040004400</t>
  </si>
  <si>
    <t>MB  K-12A RSB2*1/2 304</t>
  </si>
  <si>
    <t>2055611060004400</t>
  </si>
  <si>
    <t>MB  K-12A RSB2*1/2 316</t>
  </si>
  <si>
    <t>RSB2*11/2</t>
  </si>
  <si>
    <t>2055611040004000</t>
  </si>
  <si>
    <t>MB  K-12A RSB2*11/2 304</t>
  </si>
  <si>
    <t>2055611060004000</t>
  </si>
  <si>
    <t>MB  K-12A RSB2*11/2 316</t>
  </si>
  <si>
    <t>RSB2*11/4</t>
  </si>
  <si>
    <t>2055611040004100</t>
  </si>
  <si>
    <t>MB  K-12A RSB2*11/4 304</t>
  </si>
  <si>
    <t>2055611060004100</t>
  </si>
  <si>
    <t>MB  K-12A RSB2*11/4 316</t>
  </si>
  <si>
    <t>RSB2*3/4</t>
  </si>
  <si>
    <t>2055611040004300</t>
  </si>
  <si>
    <t>MB  K-12A RSB2*3/4 304</t>
  </si>
  <si>
    <t>2055611060004300</t>
  </si>
  <si>
    <t>MB  K-12A RSB2*3/4 316</t>
  </si>
  <si>
    <t>RSB21/2*1</t>
  </si>
  <si>
    <t>2055611040105000</t>
  </si>
  <si>
    <t>21/2*1 304 NPT</t>
  </si>
  <si>
    <t>MB  K-12A RSB21/2*1 304 NPT</t>
  </si>
  <si>
    <t>2055611060105000</t>
  </si>
  <si>
    <t>MB  K-12A RSB21/2*1 316 NPT</t>
  </si>
  <si>
    <t>RSB21/2*11/2</t>
  </si>
  <si>
    <t>2055611040104800</t>
  </si>
  <si>
    <t>21/2*11/2 304 NPT</t>
  </si>
  <si>
    <t>MB  K-12A RSB21/2*11/2 304 NPT</t>
  </si>
  <si>
    <t>2055611060104800</t>
  </si>
  <si>
    <t>MB  K-12A RSB21/2*11/2 316 NPT</t>
  </si>
  <si>
    <t>RSB21/2*11/4</t>
  </si>
  <si>
    <t>2055611040104900</t>
  </si>
  <si>
    <t>21/2*11/4 304 NPT</t>
  </si>
  <si>
    <t>MB  K-12A RSB21/2*11/4 304 NPT</t>
  </si>
  <si>
    <t>RSB21/2*2</t>
  </si>
  <si>
    <t>2055611040104700</t>
  </si>
  <si>
    <t>21/2*2 304 NPT</t>
  </si>
  <si>
    <t>MB  K-12A RSB21/2*2 304 NPT</t>
  </si>
  <si>
    <t>2055611060104700</t>
  </si>
  <si>
    <t>MB  K-12A RSB21/2*2 316 NPT</t>
  </si>
  <si>
    <t>RSB3*1</t>
  </si>
  <si>
    <t>2055611040005800</t>
  </si>
  <si>
    <t>3*1 304</t>
  </si>
  <si>
    <t>MB  K-12A RSB3*1 304</t>
  </si>
  <si>
    <t>2055611060005800</t>
  </si>
  <si>
    <t>MB  K-12A RSB3*1 316</t>
  </si>
  <si>
    <t>RSB3*11/2</t>
  </si>
  <si>
    <t>2055611060005600</t>
  </si>
  <si>
    <t>MB  K-12A RSB3*11/2 316</t>
  </si>
  <si>
    <t>2055611040005600</t>
  </si>
  <si>
    <t>MB  K-12A RSB3*11/2 304</t>
  </si>
  <si>
    <t>RSB3*2</t>
  </si>
  <si>
    <t>2055611040005500</t>
  </si>
  <si>
    <t>MB  K-12A RSB3*2 304</t>
  </si>
  <si>
    <t>2055611060005500</t>
  </si>
  <si>
    <t>MB  K-12A RSB3*2 316</t>
  </si>
  <si>
    <t>RSB3*21/2</t>
  </si>
  <si>
    <t>2055611040105400</t>
  </si>
  <si>
    <t>3*21/2 304 NPT</t>
  </si>
  <si>
    <t>MB  K-12A RSB3*21/2 304 NPT</t>
  </si>
  <si>
    <t>2055611060105400</t>
  </si>
  <si>
    <t>MB  K-12A RSB3*21/2 316 NPT</t>
  </si>
  <si>
    <t>RSB3/4*1/2</t>
  </si>
  <si>
    <t>2055611040001900</t>
  </si>
  <si>
    <t>MB  K-12A RSB3/4*1/2 304</t>
  </si>
  <si>
    <t>2055611060001900</t>
  </si>
  <si>
    <t>MB  K-12A RSB3/4*1/2 316</t>
  </si>
  <si>
    <t>RSB3/4*1/4</t>
  </si>
  <si>
    <t>2055611040002100</t>
  </si>
  <si>
    <t>MB  K-12A RSB3/4*1/4 304</t>
  </si>
  <si>
    <t>2055611060002100</t>
  </si>
  <si>
    <t>MB  K-12A RSB3/4*1/4 316</t>
  </si>
  <si>
    <t>RSB3/4*1/8</t>
  </si>
  <si>
    <t>2055611040002200</t>
  </si>
  <si>
    <t>MB  K-12A RSB3/4*1/8 304</t>
  </si>
  <si>
    <t>2055611060002200</t>
  </si>
  <si>
    <t>MB  K-12A RSB3/4*1/8 316</t>
  </si>
  <si>
    <t>RSB3/4*3/8</t>
  </si>
  <si>
    <t>2055611040002000</t>
  </si>
  <si>
    <t>MB  K-12A RSB3/4*3/8 304</t>
  </si>
  <si>
    <t>2055611060002000</t>
  </si>
  <si>
    <t>MB  K-12A RSB3/4*3/8 316</t>
  </si>
  <si>
    <t>RSB3/8*1/4</t>
  </si>
  <si>
    <t>2055611040001400</t>
  </si>
  <si>
    <t>MB  K-12A RSB3/8*1/4 304</t>
  </si>
  <si>
    <t>2055611060001400</t>
  </si>
  <si>
    <t>MB  K-12A RSB3/8*1/4 316</t>
  </si>
  <si>
    <t>RSB3/8*1/8</t>
  </si>
  <si>
    <t>2055611040001500</t>
  </si>
  <si>
    <t>MB  K-12A RSB3/8*1/8 304</t>
  </si>
  <si>
    <t>2055611060001500</t>
  </si>
  <si>
    <t>MB  K-12A RSB3/8*1/8 316</t>
  </si>
  <si>
    <t>RSB4*2</t>
  </si>
  <si>
    <t>2055611040006200</t>
  </si>
  <si>
    <t>MB  K-12A RSB4*2 304</t>
  </si>
  <si>
    <t>RSB4*3</t>
  </si>
  <si>
    <t>2055611040006000</t>
  </si>
  <si>
    <t>MB  K-12A RSB4*3 304</t>
  </si>
  <si>
    <t>2055611060006000</t>
  </si>
  <si>
    <t>MB  K-12A RSB4*3 316</t>
  </si>
  <si>
    <t>MB K-12A 114</t>
  </si>
  <si>
    <t>114RSB1*1/2</t>
  </si>
  <si>
    <t>2055612010102400</t>
  </si>
  <si>
    <t>MB 114 K-12A RSB</t>
  </si>
  <si>
    <t>MB 114 K-12A RSB1*1/2 CF8 NPT</t>
  </si>
  <si>
    <t>2055612020102400</t>
  </si>
  <si>
    <t>MB 114 K-12A RSB1*1/2 CF8M NPT</t>
  </si>
  <si>
    <t>2015612020102400</t>
  </si>
  <si>
    <t>114RSB1*1/4</t>
  </si>
  <si>
    <t>2055612010102600</t>
  </si>
  <si>
    <t>MB 114 K-12A RSB1*1/4 CF8 NPT</t>
  </si>
  <si>
    <t>2055612020102600</t>
  </si>
  <si>
    <t>MB 114 K-12A RSB1*1/4 CF8M NPT</t>
  </si>
  <si>
    <t>114RSB1*1/8</t>
  </si>
  <si>
    <t>2055612010002700</t>
  </si>
  <si>
    <t>1*1/8 CF8</t>
  </si>
  <si>
    <t>MB 114 K-12A RSB1*1/8 CF8</t>
  </si>
  <si>
    <t>114RSB1*3/4</t>
  </si>
  <si>
    <t>2055612010102300</t>
  </si>
  <si>
    <t>MB 114 K-12A RSB1*3/4 CF8 NPT</t>
  </si>
  <si>
    <t>2055612020102300</t>
  </si>
  <si>
    <t>MB 114 K-12A RSB1*3/4 CF8M NPT</t>
  </si>
  <si>
    <t>2015612020102300</t>
  </si>
  <si>
    <t>KI 114  KI-12A RSB1*3/4 CF8M NPT</t>
  </si>
  <si>
    <t>114RSB1*3/8</t>
  </si>
  <si>
    <t>2055612010102500</t>
  </si>
  <si>
    <t>MB 114 K-12A RSB1*3/8 CF8 NPT</t>
  </si>
  <si>
    <t>2055612020102500</t>
  </si>
  <si>
    <t>MB 114 K-12A RSB1*3/8 CF8M NPT</t>
  </si>
  <si>
    <t>2055612010101700</t>
  </si>
  <si>
    <t>MB 114 K-12A RSB1/2*1/4 CF8 NPT</t>
  </si>
  <si>
    <t>2055612020101700</t>
  </si>
  <si>
    <t>MB 114 K-12A RSB1/2*1/4 CF8M NPT</t>
  </si>
  <si>
    <t>2055612010101800</t>
  </si>
  <si>
    <t>MB 114 K-12A RSB1/2*1/8 CF8 NPT</t>
  </si>
  <si>
    <t>2055612020101800</t>
  </si>
  <si>
    <t>MB 114 K-12A RSB1/2*1/8 CF8M NPT</t>
  </si>
  <si>
    <t>2055612010101600</t>
  </si>
  <si>
    <t>MB 114 K-12A RSB1/2*3/8 CF8 NPT</t>
  </si>
  <si>
    <t>2055612020101600</t>
  </si>
  <si>
    <t>MB 114 K-12A RSB1/2*3/8 CF8M NPT</t>
  </si>
  <si>
    <t>114RSB1/4*1/8</t>
  </si>
  <si>
    <t>2055612010101300</t>
  </si>
  <si>
    <t>MB 114 K-12A RSB1/4*1/8 CF8 NPT</t>
  </si>
  <si>
    <t>2055612020101300</t>
  </si>
  <si>
    <t>MB 114 K-12A RSB1/4*1/8 CF8M NPT</t>
  </si>
  <si>
    <t>114RSB11/2*1</t>
  </si>
  <si>
    <t>2055612010103500</t>
  </si>
  <si>
    <t>MB 114 K-12A RSB11/2*1 CF8 NPT</t>
  </si>
  <si>
    <t>2055612020103500</t>
  </si>
  <si>
    <t>MB 114 K-12A RSB11/2*1 CF8M NPT</t>
  </si>
  <si>
    <t>2015612020103500</t>
  </si>
  <si>
    <t>114RSB11/2*1/2</t>
  </si>
  <si>
    <t>2055612010103700</t>
  </si>
  <si>
    <t>MB 114 K-12A RSB11/2*1/2 CF8 NPT</t>
  </si>
  <si>
    <t>2055612020103700</t>
  </si>
  <si>
    <t>MB 114 K-12A RSB11/2*1/2 CF8M NPT</t>
  </si>
  <si>
    <t>2015612020103700</t>
  </si>
  <si>
    <t>114RSB11/2*11/4</t>
  </si>
  <si>
    <t>2055612010103400</t>
  </si>
  <si>
    <t>MB 114 K-12A RSB11/2*11/4 CF8 NPT</t>
  </si>
  <si>
    <t>2055612020103400</t>
  </si>
  <si>
    <t>MB 114 K-12A RSB11/2*11/4 CF8M NPT</t>
  </si>
  <si>
    <t>2015612020103400</t>
  </si>
  <si>
    <t>114RSB11/2*3/4</t>
  </si>
  <si>
    <t>2055612010103600</t>
  </si>
  <si>
    <t>MB 114 K-12A RSB11/2*3/4 CF8 NPT</t>
  </si>
  <si>
    <t>2055612020103600</t>
  </si>
  <si>
    <t>MB 114 K-12A RSB11/2*3/4 CF8M NPT</t>
  </si>
  <si>
    <t>2015612020103600</t>
  </si>
  <si>
    <t xml:space="preserve">KI 114  KI-12A RSB </t>
  </si>
  <si>
    <t>114RSB11/2*3/8</t>
  </si>
  <si>
    <t>2055612010103800</t>
  </si>
  <si>
    <t>MB 114 K-12A RSB11/2*3/8 CF8 NPT</t>
  </si>
  <si>
    <t>2055612020103800</t>
  </si>
  <si>
    <t>MB 114 K-12A RSB11/2*3/8 CF8M NPT</t>
  </si>
  <si>
    <t>114RSB11/4*1</t>
  </si>
  <si>
    <t>2055612010102800</t>
  </si>
  <si>
    <t>MB 114 K-12A RSB11/4*1 CF8 NPT</t>
  </si>
  <si>
    <t>2055612020102800</t>
  </si>
  <si>
    <t>MB 114 K-12A RSB11/4*1 CF8M NPT</t>
  </si>
  <si>
    <t>2015612020102800</t>
  </si>
  <si>
    <t>KI 114  KI-12A RSB11/4*1 CF8M NPT</t>
  </si>
  <si>
    <t>114RSB11/4*1/2</t>
  </si>
  <si>
    <t>2055612010103000</t>
  </si>
  <si>
    <t>MB 114 K-12A RSB11/4*1/2 CF8 NPT</t>
  </si>
  <si>
    <t>2055612020103000</t>
  </si>
  <si>
    <t>MB 114 K-12A RSB11/4*1/2 CF8M NPT</t>
  </si>
  <si>
    <t>2015612020103000</t>
  </si>
  <si>
    <t>114RSB11/4*3/4</t>
  </si>
  <si>
    <t>2055612010102900</t>
  </si>
  <si>
    <t>MB 114 K-12A RSB11/4*3/4 CF8 NPT</t>
  </si>
  <si>
    <t>2055612020102900</t>
  </si>
  <si>
    <t>MB 114 K-12A RSB11/4*3/4 CF8M NPT</t>
  </si>
  <si>
    <t>2015612020002900</t>
  </si>
  <si>
    <t>11/4*3/4 CF8M</t>
  </si>
  <si>
    <t>114RSB11/4*3/8</t>
  </si>
  <si>
    <t>2055612010103100</t>
  </si>
  <si>
    <t>MB 114 K-12A RSB11/4*3/8 CF8 NPT</t>
  </si>
  <si>
    <t>2055612020103100</t>
  </si>
  <si>
    <t>MB 114 K-12A RSB11/4*3/8 CF8M NPT</t>
  </si>
  <si>
    <t>114RSB2*1</t>
  </si>
  <si>
    <t>2055612010104200</t>
  </si>
  <si>
    <t>MB 114 K-12A RSB2*1 CF8 NPT</t>
  </si>
  <si>
    <t>2055612020104200</t>
  </si>
  <si>
    <t>MB 114 K-12A RSB2*1 CF8M NPT</t>
  </si>
  <si>
    <t>2015612020104200</t>
  </si>
  <si>
    <t>114RSB2*1/2</t>
  </si>
  <si>
    <t>2055612010104400</t>
  </si>
  <si>
    <t>MB 114 K-12A RSB2*1/2 CF8 NPT</t>
  </si>
  <si>
    <t>2055612020104400</t>
  </si>
  <si>
    <t>MB 114 K-12A RSB2*1/2 CF8M NPT</t>
  </si>
  <si>
    <t>2015612020104400</t>
  </si>
  <si>
    <t>114RSB2*11/2</t>
  </si>
  <si>
    <t>2055612010104000</t>
  </si>
  <si>
    <t>MB 114 K-12A RSB2*11/2 CF8 NPT</t>
  </si>
  <si>
    <t>2055612020104000</t>
  </si>
  <si>
    <t>MB 114 K-12A RSB2*11/2 CF8M NPT</t>
  </si>
  <si>
    <t>2015612020104000</t>
  </si>
  <si>
    <t>KI 114  KI-12A RSB2*11/2 CF8M NPT</t>
  </si>
  <si>
    <t>114RSB2*11/4</t>
  </si>
  <si>
    <t>2055612010104100</t>
  </si>
  <si>
    <t>MB 114 K-12A RSB2*11/4 CF8 NPT</t>
  </si>
  <si>
    <t>2055612020104100</t>
  </si>
  <si>
    <t>MB 114 K-12A RSB2*11/4 CF8M NPT</t>
  </si>
  <si>
    <t>2015612020104100</t>
  </si>
  <si>
    <t>KI 114  KI-12A RSB2*11/4 CF8M NPT</t>
  </si>
  <si>
    <t>114RSB2*3/4</t>
  </si>
  <si>
    <t>2055612010104300</t>
  </si>
  <si>
    <t>MB 114 K-12A RSB2*3/4 CF8 NPT</t>
  </si>
  <si>
    <t>2055612020104300</t>
  </si>
  <si>
    <t>MB 114 K-12A RSB2*3/4 CF8M NPT</t>
  </si>
  <si>
    <t>2015612020104300</t>
  </si>
  <si>
    <t>114RSB21/2*1</t>
  </si>
  <si>
    <t>2055612010105000</t>
  </si>
  <si>
    <t>MB 114 K-12A RSB21/2*1 CF8 NPT</t>
  </si>
  <si>
    <t>114RSB21/2*11/2</t>
  </si>
  <si>
    <t>2055612010104800</t>
  </si>
  <si>
    <t>MB 114 K-12A RSB21/2*11/2 CF8 NPT</t>
  </si>
  <si>
    <t>2055612020104800</t>
  </si>
  <si>
    <t>MB 114 K-12A RSB21/2*11/2 CF8M NPT</t>
  </si>
  <si>
    <t>114RSB21/2*11/4</t>
  </si>
  <si>
    <t>2055612010104900</t>
  </si>
  <si>
    <t>114RSB21/2*2</t>
  </si>
  <si>
    <t>2055612010104700</t>
  </si>
  <si>
    <t>MB 114 K-12A RSB21/2*2 CF8 NPT</t>
  </si>
  <si>
    <t>2055612020104700</t>
  </si>
  <si>
    <t>MB 114 K-12A RSB21/2*2 CF8M NPT</t>
  </si>
  <si>
    <t>114RSB3*1</t>
  </si>
  <si>
    <t>2055612010105800</t>
  </si>
  <si>
    <t>MB 114 K-12A RSB3*1 CF8 NPT</t>
  </si>
  <si>
    <t>2055612020105800</t>
  </si>
  <si>
    <t>MB 114 K-12A RSB3*1 CF8M NPT</t>
  </si>
  <si>
    <t>114RSB3*11/2</t>
  </si>
  <si>
    <t>2055612010105600</t>
  </si>
  <si>
    <t>MB 114 K-12A RSB3*11/2 CF8 NPT</t>
  </si>
  <si>
    <t>2055612020005600</t>
  </si>
  <si>
    <t>3*11/2 CF8M</t>
  </si>
  <si>
    <t>MB 114 K-12A RSB3*11/2 CF8M</t>
  </si>
  <si>
    <t>114RSB3*11/4</t>
  </si>
  <si>
    <t>2055612010105700</t>
  </si>
  <si>
    <t>MB 114 K-12A RSB3*11/4 CF8 NPT</t>
  </si>
  <si>
    <t>114RSB3*2</t>
  </si>
  <si>
    <t>2055612010105500</t>
  </si>
  <si>
    <t>MB 114 K-12A RSB3*2 CF8 NPT</t>
  </si>
  <si>
    <t>2055612020105500</t>
  </si>
  <si>
    <t>MB 114 K-12A RSB3*2 CF8M NPT</t>
  </si>
  <si>
    <t>2015612020105500</t>
  </si>
  <si>
    <t>KI 114  KI-12A RSB3*2 CF8M NPT</t>
  </si>
  <si>
    <t>114RSB3*21/2</t>
  </si>
  <si>
    <t>2055612010105400</t>
  </si>
  <si>
    <t>MB 114 K-12A RSB3*21/2 CF8 NPT</t>
  </si>
  <si>
    <t>2055612020105400</t>
  </si>
  <si>
    <t>MB 114 K-12A RSB3*21/2 CF8M NPT</t>
  </si>
  <si>
    <t>2055612010101900</t>
  </si>
  <si>
    <t>MB 114 K-12A RSB3/4*1/2 CF8 NPT</t>
  </si>
  <si>
    <t>2055612020101900</t>
  </si>
  <si>
    <t>MB 114 K-12A RSB3/4*1/2 CF8M NPT</t>
  </si>
  <si>
    <t>114RSB3/4*1/4</t>
  </si>
  <si>
    <t>2055612010102100</t>
  </si>
  <si>
    <t>MB 114 K-12A RSB3/4*1/4 CF8 NPT</t>
  </si>
  <si>
    <t>2055612020102100</t>
  </si>
  <si>
    <t>MB 114 K-12A RSB3/4*1/4 CF8M NPT</t>
  </si>
  <si>
    <t>114RSB3/4*1/8</t>
  </si>
  <si>
    <t>2055612010102200</t>
  </si>
  <si>
    <t>MB 114 K-12A RSB3/4*1/8 CF8 NPT</t>
  </si>
  <si>
    <t>114RSB3/4*3/8</t>
  </si>
  <si>
    <t>2055612010102000</t>
  </si>
  <si>
    <t>MB 114 K-12A RSB3/4*3/8 CF8 NPT</t>
  </si>
  <si>
    <t>2055612020102000</t>
  </si>
  <si>
    <t>MB 114 K-12A RSB3/4*3/8 CF8M NPT</t>
  </si>
  <si>
    <t>114RSB3/8*1/4</t>
  </si>
  <si>
    <t>2055612010101400</t>
  </si>
  <si>
    <t>MB 114 K-12A RSB3/8*1/4 CF8 NPT</t>
  </si>
  <si>
    <t>2055612020101400</t>
  </si>
  <si>
    <t>MB 114 K-12A RSB3/8*1/4 CF8M NPT</t>
  </si>
  <si>
    <t>114RSB3/8*1/8</t>
  </si>
  <si>
    <t>2055612010101500</t>
  </si>
  <si>
    <t>MB 114 K-12A RSB3/8*1/8 CF8 NPT</t>
  </si>
  <si>
    <t>2055612020101500</t>
  </si>
  <si>
    <t>MB 114 K-12A RSB3/8*1/8 CF8M NPT</t>
  </si>
  <si>
    <t>114RSB4*2</t>
  </si>
  <si>
    <t>2055612010106200</t>
  </si>
  <si>
    <t>MB 114 K-12A RSB4*2 CF8 NPT</t>
  </si>
  <si>
    <t>2055612020106200</t>
  </si>
  <si>
    <t>MB 114 K-12A RSB4*2 CF8M NPT</t>
  </si>
  <si>
    <t>114RSB4*21/2</t>
  </si>
  <si>
    <t>2055612010106100</t>
  </si>
  <si>
    <t>MB 114 K-12A RSB4*21/2 CF8 NPT</t>
  </si>
  <si>
    <t>RSB4*21/2</t>
  </si>
  <si>
    <t>2055611040106100</t>
  </si>
  <si>
    <t>4*21/2 304 NPT</t>
  </si>
  <si>
    <t>2055612020106100</t>
  </si>
  <si>
    <t>MB 114 K-12A RSB4*21/2 CF8M NPT</t>
  </si>
  <si>
    <t>114RSB4*3</t>
  </si>
  <si>
    <t>2055612010106000</t>
  </si>
  <si>
    <t>MB 114 K-12A RSB4*3 CF8 NPT</t>
  </si>
  <si>
    <t>2055612020106000</t>
  </si>
  <si>
    <t>MB 114 K-12A RSB4*3 CF8M NPT</t>
  </si>
  <si>
    <t>RSB3*11/4</t>
  </si>
  <si>
    <t>2055611060105700</t>
  </si>
  <si>
    <t>3*11/4 316 NPT</t>
  </si>
  <si>
    <t>MB  K-12A RSB3*11/4 316 NPT</t>
  </si>
  <si>
    <t>2055611040005700</t>
  </si>
  <si>
    <t>2055611060003800</t>
  </si>
  <si>
    <t xml:space="preserve">MB  K-12A RSB </t>
  </si>
  <si>
    <t>MB  K-12A RSB 11/2*3/8 316</t>
  </si>
  <si>
    <t>2055612020102200</t>
  </si>
  <si>
    <t>MB 114 K-12A RSB3/4*1/8 CF8M NPT</t>
  </si>
  <si>
    <t>2055611060006200</t>
  </si>
  <si>
    <t>MB  K-12A RSB 4*2 316</t>
  </si>
  <si>
    <t>2055611060104900</t>
  </si>
  <si>
    <t>MB  K-12A RSB 21/2*11/4 316 NPT</t>
  </si>
  <si>
    <t xml:space="preserve">MB -Fire Sheild	</t>
  </si>
  <si>
    <t>MB-Fire Sheild	2</t>
  </si>
  <si>
    <t>270041020061</t>
  </si>
  <si>
    <t xml:space="preserve">MB-Fire Sheild	</t>
  </si>
  <si>
    <t>2inch 304</t>
  </si>
  <si>
    <t>MB-Fire Sheild	2inch 304</t>
  </si>
  <si>
    <t>2055092021001200</t>
  </si>
  <si>
    <t>4 CF8M NPSL</t>
  </si>
  <si>
    <t>MB 114 K-11 LN4 CF8M NPSL</t>
  </si>
  <si>
    <t>KI 114 K-12 SB</t>
  </si>
  <si>
    <t>114SB1</t>
  </si>
  <si>
    <t>2015602010000600</t>
  </si>
  <si>
    <t>KI 114 K-12 SB1 CF8</t>
  </si>
  <si>
    <t>2015602020000600</t>
  </si>
  <si>
    <t>KI 114 K-12 SB1 CF8M</t>
  </si>
  <si>
    <t>114SB1/2</t>
  </si>
  <si>
    <t>2015602010000400</t>
  </si>
  <si>
    <t>KI 114 K-12 SB1/2 CF8</t>
  </si>
  <si>
    <t>2015602020000400</t>
  </si>
  <si>
    <t>KI 114 K-12 SB1/2 CF8M</t>
  </si>
  <si>
    <t>114SB1/4</t>
  </si>
  <si>
    <t>2015602010000200</t>
  </si>
  <si>
    <t>KI 114 K-12 SB1/4 CF8</t>
  </si>
  <si>
    <t>2015602020000200</t>
  </si>
  <si>
    <t>KI 114 K-12 SB1/4 CF8M</t>
  </si>
  <si>
    <t>114SB1/8</t>
  </si>
  <si>
    <t>2015602010000100</t>
  </si>
  <si>
    <t>KI 114 K-12 SB1/8 CF8</t>
  </si>
  <si>
    <t>2015602020000100</t>
  </si>
  <si>
    <t>KI 114 K-12 SB1/8 CF8M</t>
  </si>
  <si>
    <t>114SB11/2</t>
  </si>
  <si>
    <t>2015602010000800</t>
  </si>
  <si>
    <t>KI 114 K-12 SB11/2 CF8</t>
  </si>
  <si>
    <t>2015602020000800</t>
  </si>
  <si>
    <t>KI 114 K-12 SB11/2 CF8M</t>
  </si>
  <si>
    <t>114SB11/4</t>
  </si>
  <si>
    <t>2015602010000700</t>
  </si>
  <si>
    <t>KI 114 K-12 SB11/4 CF8</t>
  </si>
  <si>
    <t>2015602020000700</t>
  </si>
  <si>
    <t>KI 114 K-12 SB11/4 CF8M</t>
  </si>
  <si>
    <t>114SB2</t>
  </si>
  <si>
    <t>2015602010000900</t>
  </si>
  <si>
    <t>KI 114 K-12 SB2 CF8</t>
  </si>
  <si>
    <t>2015602020000900</t>
  </si>
  <si>
    <t>KI 114 K-12 SB2 CF8M</t>
  </si>
  <si>
    <t>114SB21/2</t>
  </si>
  <si>
    <t>2015602020001000</t>
  </si>
  <si>
    <t>KI 114 K-12 SB21/2 CF8M</t>
  </si>
  <si>
    <t>114SB3</t>
  </si>
  <si>
    <t>2015602010001100</t>
  </si>
  <si>
    <t>KI 114 K-12 SB3 CF8</t>
  </si>
  <si>
    <t>2015602020001100</t>
  </si>
  <si>
    <t>KI 114 K-12 SB3 CF8M</t>
  </si>
  <si>
    <t>114SB3/4</t>
  </si>
  <si>
    <t>2015602010000500</t>
  </si>
  <si>
    <t>KI 114 K-12 SB3/4 CF8</t>
  </si>
  <si>
    <t>2015602020000500</t>
  </si>
  <si>
    <t>KI 114 K-12 SB3/4 CF8M</t>
  </si>
  <si>
    <t>114SB3/8</t>
  </si>
  <si>
    <t>2015602020000300</t>
  </si>
  <si>
    <t>KI 114 K-12 SB3/8 CF8M</t>
  </si>
  <si>
    <t>114SB4</t>
  </si>
  <si>
    <t>2015602020001200</t>
  </si>
  <si>
    <t>KI 114 K-12 SB4 CF8M</t>
  </si>
  <si>
    <t>LADISH</t>
  </si>
  <si>
    <t>LADISH体1</t>
  </si>
  <si>
    <t>212OEM201060101</t>
  </si>
  <si>
    <t>Ladish 阀体毛坯 (全流量,NACE MR0175/NACE MR0103)</t>
  </si>
  <si>
    <t>212OEM201060104</t>
  </si>
  <si>
    <t>Ladish 阀体毛坯 (全流量,D1001-8F3-B,版本D)</t>
  </si>
  <si>
    <t>NPS1 CL300 ASTM A351-CF8M</t>
  </si>
  <si>
    <t>212OEM201F60103</t>
  </si>
  <si>
    <t>NPS1 CL300 ASTM A494-M35-1</t>
  </si>
  <si>
    <t>212OEM201220104</t>
  </si>
  <si>
    <t>NPS1 CL300 ASTM A351-CN7M</t>
  </si>
  <si>
    <t>212OEM201F60102</t>
  </si>
  <si>
    <t>Ladish 阀体毛坯 (减流量,D1001-9F1-B)</t>
  </si>
  <si>
    <t>NPS1 CL150 ASTM A494-M35-1</t>
  </si>
  <si>
    <t>212OEM201060102</t>
  </si>
  <si>
    <t>Ladish 阀体毛坯(减流量)(NACE MR0175/NACE MR0103)</t>
  </si>
  <si>
    <t>1inch 150# CF8M</t>
  </si>
  <si>
    <t>212OEM201060105</t>
  </si>
  <si>
    <t>Ladish 阀体毛坯 (减流量,一体式球阀,D1001-9F3-B,版本0)</t>
  </si>
  <si>
    <t>212OEM201F60104</t>
  </si>
  <si>
    <t>LADISH盖1</t>
  </si>
  <si>
    <t>212OEM202060101</t>
  </si>
  <si>
    <t>Ladish 阀盖毛坯(全流量)(NACE MR0175/NACE MR0103)</t>
  </si>
  <si>
    <t>LADISH盖2</t>
  </si>
  <si>
    <t>212OEM202060201</t>
  </si>
  <si>
    <t>2inch 150# CF8M</t>
  </si>
  <si>
    <t>212OEM202060102</t>
  </si>
  <si>
    <t>Ladish 阀盖毛坯(减流量)(NACE MR0175/NACE MR0103)</t>
  </si>
  <si>
    <t>212OEM202060106</t>
  </si>
  <si>
    <t>Ladish 阀盖毛坯 (全流量,C1049-8F3-B,版本B)</t>
  </si>
  <si>
    <t>212OEM202220103</t>
  </si>
  <si>
    <t>212OEM202F60103</t>
  </si>
  <si>
    <t>LADISH体3</t>
  </si>
  <si>
    <t>212OEM201060306</t>
  </si>
  <si>
    <t>Ladish 阀体毛坯 (全流量,D3001-8F3-B,版本B)</t>
  </si>
  <si>
    <t>NPS3 CL300 ASTM A351-CF8M</t>
  </si>
  <si>
    <t>212OEM201060305</t>
  </si>
  <si>
    <t>Ladish 阀体毛坯 (减流量,D3001-9F1-B,版本B)</t>
  </si>
  <si>
    <t>NPS3 CL150 ASTM A351-CF8M</t>
  </si>
  <si>
    <t>212OEM201ZG0301</t>
  </si>
  <si>
    <t>NPS3 CL150 A995-CD3MWCuN</t>
  </si>
  <si>
    <t>212OEM202ZG0301</t>
  </si>
  <si>
    <t>Ladish 阀盖毛坯 (减流量,C3049-9F3-B,版本B)</t>
  </si>
  <si>
    <t>212OEM201C00308</t>
  </si>
  <si>
    <t>NPS3 CL150 ASTM A494-CW12MW</t>
  </si>
  <si>
    <t>212OEM201060307</t>
  </si>
  <si>
    <t>Ladish 阀体毛坯 (减流量,一体式球阀,D3001-9F3-B,版本0)</t>
  </si>
  <si>
    <t>LADISH盖3</t>
  </si>
  <si>
    <t>212OEM202060306</t>
  </si>
  <si>
    <t>Ladish 阀盖毛坯 (全流量,C3049-8F3-B,版本D)</t>
  </si>
  <si>
    <t>212OEM202060302</t>
  </si>
  <si>
    <t>3inch 150# CF8M</t>
  </si>
  <si>
    <t>LADISH体4</t>
  </si>
  <si>
    <t>212OEM201060405</t>
  </si>
  <si>
    <t>Ladish 阀体毛坯 (全流量,D4001-8F3-B,版本B)</t>
  </si>
  <si>
    <t>NPS4 CL300 ASTM A351-CF8M</t>
  </si>
  <si>
    <t>212OEM201060406</t>
  </si>
  <si>
    <t>Ladish 阀体毛坯 (一体式球阀,减流量,D4001-9F3-B,版本0)</t>
  </si>
  <si>
    <t>LADISH盖4</t>
  </si>
  <si>
    <t>212OEM202060404</t>
  </si>
  <si>
    <t>Ladish 阀盖毛坯 (全流量,C4049-8F3-B,版本C)</t>
  </si>
  <si>
    <t>212OEM202060402</t>
  </si>
  <si>
    <t>4inch 150# CF8M</t>
  </si>
  <si>
    <t>LADISH体3/4</t>
  </si>
  <si>
    <t>212OEM201068601</t>
  </si>
  <si>
    <t>212OEM201068605</t>
  </si>
  <si>
    <t>Ladish 阀体毛坯 (全流量,D0701-8F3-B,版本F)</t>
  </si>
  <si>
    <t>NPS3/4 CL300 ASTM A351-CF8M</t>
  </si>
  <si>
    <t>212OEM201228603</t>
  </si>
  <si>
    <t>NPS3/4 CL300 ASTM A351-CN7M</t>
  </si>
  <si>
    <t>212OEM201F68603</t>
  </si>
  <si>
    <t>NPS3/4 CL300 ASTM A494-M35-1</t>
  </si>
  <si>
    <t>212OEM201068604</t>
  </si>
  <si>
    <t>Ladish 阀体毛坯 (减流量,D0701-9F3-B,版本0)</t>
  </si>
  <si>
    <t>212OEM201068602</t>
  </si>
  <si>
    <t>3/4inch 150# CF8M</t>
  </si>
  <si>
    <t>LADISH盖3/4</t>
  </si>
  <si>
    <t>212OEM202068601</t>
  </si>
  <si>
    <t>212OEM202068602</t>
  </si>
  <si>
    <t>212OEM202068604</t>
  </si>
  <si>
    <t>Ladish 阀盖毛坯 (全流量,C0749-8F3-B,版本B)</t>
  </si>
  <si>
    <t>212OEM202228603</t>
  </si>
  <si>
    <t>212OEM202F68603</t>
  </si>
  <si>
    <t>LADISH体11/2</t>
  </si>
  <si>
    <t>212OEM201065105</t>
  </si>
  <si>
    <t>Ladish 阀体毛坯 (全流量,D1501-8F3-B,版本B)</t>
  </si>
  <si>
    <t>NPS11/2 CL300 ASTM A351-CF8M</t>
  </si>
  <si>
    <t>212OEM201065104</t>
  </si>
  <si>
    <t>Ladish 阀体毛坯 (全流量，D1501-8F1-B,版本C)</t>
  </si>
  <si>
    <t>NPS11/2 CL150 ASTM A351-CF8M</t>
  </si>
  <si>
    <t>212OEM201065102</t>
  </si>
  <si>
    <t>11/2inch 150# CF8M</t>
  </si>
  <si>
    <t>212OEM201065106</t>
  </si>
  <si>
    <t>Ladish 阀体毛坯 (减流量,D1501-9F3-B,版本0)</t>
  </si>
  <si>
    <t>212OEM201C05101</t>
  </si>
  <si>
    <t>Ladish 阀体毛坯 (减流量，D1501-9F1-B)</t>
  </si>
  <si>
    <t>NPS11/2 CL150 ASTM A494-CW12MW</t>
  </si>
  <si>
    <t>212OEM201F65103</t>
  </si>
  <si>
    <t>Ladish 阀体毛坯 (全流量,D1501-8F1-B,版本C)</t>
  </si>
  <si>
    <t>NPS11/2 CL150 ASTM A494-M35-1</t>
  </si>
  <si>
    <t>212OEM201C05105</t>
  </si>
  <si>
    <t>LADISH盖11/2</t>
  </si>
  <si>
    <t>212OEM202065106</t>
  </si>
  <si>
    <t>Ladish 阀盖毛坯 (全流量,C1549-8F3-B,版本D)</t>
  </si>
  <si>
    <t>212OEM202065101</t>
  </si>
  <si>
    <t>212OEM202F65101</t>
  </si>
  <si>
    <t>Ladish 阀盖毛坯 (全流量,C1549-8F1-B)</t>
  </si>
  <si>
    <t>212OEM202065102</t>
  </si>
  <si>
    <t>LADISH体1/2</t>
  </si>
  <si>
    <t>212OEM201065003</t>
  </si>
  <si>
    <t>Ladish 阀体毛坯 (全流量,D0501-8F3-B,版本F)</t>
  </si>
  <si>
    <t>NPS1/2 CL300 ASTM A351-CF8M</t>
  </si>
  <si>
    <t>212OEM201065001</t>
  </si>
  <si>
    <t>LADISH盖1/2</t>
  </si>
  <si>
    <t>212OEM202065005</t>
  </si>
  <si>
    <t>Ladish 阀盖毛坯 (全流量,C0549-8F3-B,版本C)</t>
  </si>
  <si>
    <t>212OEM202065001</t>
  </si>
  <si>
    <t>1/2inch 150# CF8M</t>
  </si>
  <si>
    <t>LADISH体21/2</t>
  </si>
  <si>
    <t>212OEM201065201</t>
  </si>
  <si>
    <t>Ladish 阀体毛坯 (全流量,C2501-8F1-B,版本0)</t>
  </si>
  <si>
    <t>NPS21/2 CL150 ASTM A351-CF8M</t>
  </si>
  <si>
    <t>212OEM201065202</t>
  </si>
  <si>
    <t>Ladish 阀体毛坯 (全流量,D2501-8F1-B,版本0)</t>
  </si>
  <si>
    <t>LADISH盖21/2</t>
  </si>
  <si>
    <t>212OEM202065201</t>
  </si>
  <si>
    <t>Ladish 阀盖毛坯 (全流量,C2549-8F1-B,版本0)</t>
  </si>
  <si>
    <t>LADISH体2</t>
  </si>
  <si>
    <t>212OEM201F60207</t>
  </si>
  <si>
    <t>Ladish 阀体毛坯 (全流量,D2001-8F1-B,版本B)</t>
  </si>
  <si>
    <t>NPS2 CL150 ASTM A494-M35-1</t>
  </si>
  <si>
    <t>212OEM201060204</t>
  </si>
  <si>
    <t>Ladish 阀体毛坯 (全流量,D2001-8F1-B)</t>
  </si>
  <si>
    <t>NPS2 CL150 ASTM A351-CF8M</t>
  </si>
  <si>
    <t>212OEM201F60205</t>
  </si>
  <si>
    <t>Ladish 阀体毛坯 (减流量,D2001-9F1-B,版本0)</t>
  </si>
  <si>
    <t>212OEM201060205</t>
  </si>
  <si>
    <t>212OEM201060207</t>
  </si>
  <si>
    <t>Ladish 阀体毛坯 (减流量,D2001-9F3-B,版本A)</t>
  </si>
  <si>
    <t>NPS2 CL300 ASTM A351-CF8M</t>
  </si>
  <si>
    <t>212OEM201060208</t>
  </si>
  <si>
    <t>Ladish 阀体毛坯 (减流量,一体式球阀,D2001-9F3-B,版本A)</t>
  </si>
  <si>
    <t>212OEM201060206</t>
  </si>
  <si>
    <t>Ladish 阀体毛坯 (全流量,D2001-8F3-B,版本B)</t>
  </si>
  <si>
    <t>212OEM201F60204</t>
  </si>
  <si>
    <t>NPS2 CL300 ASTM A494-M35-1</t>
  </si>
  <si>
    <t>212OEM202F60201</t>
  </si>
  <si>
    <t>Ladish 阀盖毛坯 (全流量,C2049-8F1-B)</t>
  </si>
  <si>
    <t>212OEM201220202</t>
  </si>
  <si>
    <t>NPS2 CL150 ASTM A351-CN7M</t>
  </si>
  <si>
    <t>212OEM201220205</t>
  </si>
  <si>
    <t>NPS2 CL300 ASTM A351-CN7M</t>
  </si>
  <si>
    <t>212OEM202060202</t>
  </si>
  <si>
    <t>212OEM202F60202</t>
  </si>
  <si>
    <t>Ladish 阀盖毛坯 (减流量,C2049-9F3-B)</t>
  </si>
  <si>
    <t>212OEM202060206</t>
  </si>
  <si>
    <t>Ladish 阀盖毛坯 (全流量,C2049-8F3-B,版本C)</t>
  </si>
  <si>
    <t>212OEM202F60203</t>
  </si>
  <si>
    <t>212OEM202220203</t>
  </si>
  <si>
    <t>212OEM202220202</t>
  </si>
  <si>
    <t>Ladish 阀盖毛坯 (全流量,C2049-8F1-B,版本F)</t>
  </si>
  <si>
    <t>212OEM000T90002</t>
  </si>
  <si>
    <t>Ladish OEM零件 (毛坯,Q1063-030-B71,Bracket支架,版本A)</t>
  </si>
  <si>
    <t>ASTM A216-WCB磷化</t>
  </si>
  <si>
    <t>212OEM000T90003</t>
  </si>
  <si>
    <t>Ladish OEM零件 (毛坯,Q0663-030-B71,Bracket支架,版本0)</t>
  </si>
  <si>
    <t>212OEM000T90001</t>
  </si>
  <si>
    <t>Ladish OEM零件 (毛坯,Q1563-030-B71,Bracket支架,版本0)</t>
  </si>
  <si>
    <t>LADISH PHỤ KIỆN</t>
  </si>
  <si>
    <t>212989224065001</t>
  </si>
  <si>
    <t>Ladish K-EB-ND-BS 保温支架毛坯 (超低温阀,全流量,T0541-101-B,版本0)</t>
  </si>
  <si>
    <t>NPS1/2 CL600 ASTM A351-CF8M</t>
  </si>
  <si>
    <t>MẪU TRỤC CÁCH NHIỆT</t>
  </si>
  <si>
    <t>200978224060101</t>
  </si>
  <si>
    <t>KI K-EB-L 支架毛坯</t>
  </si>
  <si>
    <t>NPS1 ASTM A351-CF8M</t>
  </si>
  <si>
    <t>200978224065001</t>
  </si>
  <si>
    <t>NPS1/2 ASTM A351-CF8M</t>
  </si>
  <si>
    <t>200978224060201</t>
  </si>
  <si>
    <t>200978224065201</t>
  </si>
  <si>
    <t>NPS21/2 ASTM A351-CF8M</t>
  </si>
  <si>
    <t>200978224060401</t>
  </si>
  <si>
    <t>NPS4 ASTM A351-CF8M</t>
  </si>
  <si>
    <t>200978224060501</t>
  </si>
  <si>
    <t>NPS5 ASTM A351-CF8M</t>
  </si>
  <si>
    <t>MIẾNG CHẮN 202</t>
  </si>
  <si>
    <t>200202140245505</t>
  </si>
  <si>
    <t>左下护板（茂村喷砂机）毛坯</t>
  </si>
  <si>
    <t>锰</t>
  </si>
  <si>
    <t>200202140245504</t>
  </si>
  <si>
    <t>左上护板（茂村喷砂机）毛坯</t>
  </si>
  <si>
    <t>Miếng cố định đầu</t>
  </si>
  <si>
    <t>200202140245503</t>
  </si>
  <si>
    <t>顶护板 （茂村喷砂机）毛坯-Miếng cố định đầu MC-201 phôi</t>
  </si>
  <si>
    <t>ỐC ĐẦU KHUÔN</t>
  </si>
  <si>
    <t>越南铁王-模头螺丝</t>
  </si>
  <si>
    <t>WCB 毛胚</t>
  </si>
  <si>
    <t>ODK</t>
  </si>
  <si>
    <t>CÂY PHỤ KIỆN</t>
  </si>
  <si>
    <t>CPK</t>
  </si>
  <si>
    <t>LÁ BÀI PHUN CÁT</t>
  </si>
  <si>
    <t>LB</t>
  </si>
  <si>
    <t>LÁ BÀI PHUN CÁT 301</t>
  </si>
  <si>
    <t>Miếng cố định</t>
  </si>
  <si>
    <t>200202140245501</t>
  </si>
  <si>
    <t>康力喷砂机叶片</t>
  </si>
  <si>
    <t xml:space="preserve">Miếng cố định </t>
  </si>
  <si>
    <t>KV-C80 保温</t>
  </si>
  <si>
    <t>200380224075101</t>
  </si>
  <si>
    <t>KI KV-C80 保温支架毛坯 (不做深冷处理)</t>
  </si>
  <si>
    <t>200380224070101</t>
  </si>
  <si>
    <t>KI KV-C80 保温支架毛坯 (不需深冷处理)</t>
  </si>
  <si>
    <t>200380224075001</t>
  </si>
  <si>
    <t>PHÔI ĐẦU KÉO</t>
  </si>
  <si>
    <t>PDK</t>
  </si>
  <si>
    <t>416052300</t>
  </si>
  <si>
    <t>试棒毛坯(1组：2根试棒，1块试片)</t>
  </si>
  <si>
    <t>φ10 CF8</t>
  </si>
  <si>
    <t>416052301</t>
  </si>
  <si>
    <t>φ10 CF8M</t>
  </si>
  <si>
    <t>试棒毛坯 (1组：2根试棒,1块试片)</t>
  </si>
  <si>
    <t>φ12 CD3MN</t>
  </si>
  <si>
    <t>416052302</t>
  </si>
  <si>
    <t>φ10 WCB</t>
  </si>
  <si>
    <t>416052304</t>
  </si>
  <si>
    <t>试棒毛坯</t>
  </si>
  <si>
    <t>φ10 CF3M</t>
  </si>
  <si>
    <t>416052315</t>
  </si>
  <si>
    <t>φ10 M35-1</t>
  </si>
  <si>
    <t>φ12 CN7M</t>
  </si>
  <si>
    <t>CÂY VẶN XÂU</t>
  </si>
  <si>
    <t>CVX</t>
  </si>
  <si>
    <t>cây vặn xâu</t>
  </si>
  <si>
    <t>2580400015</t>
  </si>
  <si>
    <t>越南铁王-浸浆挂钩</t>
  </si>
  <si>
    <t>WCB</t>
  </si>
  <si>
    <t>SV24-LÁ BÀI</t>
  </si>
  <si>
    <t>200202140245507</t>
  </si>
  <si>
    <t>右下护板（茂村喷砂机）毛坯-Miếng bảo vệ cố định phía dưới trái MC-202A phôi</t>
  </si>
  <si>
    <t>Thu Nghiem 07.03</t>
  </si>
  <si>
    <t>207010030265</t>
  </si>
  <si>
    <t>板材 焊板毛坯</t>
  </si>
  <si>
    <t>9.5mm*500mm*150mm  (材质LCC)</t>
  </si>
  <si>
    <t>207010030266</t>
  </si>
  <si>
    <t>9.5mm*300mm*150mm  (材质LCC)</t>
  </si>
  <si>
    <t>207010030269</t>
  </si>
  <si>
    <t>25mm*200mm*125mm  (材质LCC)</t>
  </si>
  <si>
    <t>Thu Nghiem 12.03</t>
  </si>
  <si>
    <t>207010030270</t>
  </si>
  <si>
    <t>板材 焊管毛坯 Ø80mm</t>
  </si>
  <si>
    <t>材质LCC</t>
  </si>
  <si>
    <t>207010030271</t>
  </si>
  <si>
    <t>材质WCB</t>
  </si>
  <si>
    <t>207010030267</t>
  </si>
  <si>
    <t>25mm*400mm*150mm  (材质LCC)</t>
  </si>
  <si>
    <t>207010030272</t>
  </si>
  <si>
    <t>材质CF3</t>
  </si>
  <si>
    <t>207010030268</t>
  </si>
  <si>
    <t>25mm*300mm*150mm  (材质LCC)</t>
  </si>
  <si>
    <t>Warren</t>
  </si>
  <si>
    <t>2WA023201098201</t>
  </si>
  <si>
    <t>Warren KV-020-W3 阀体毛坯 (NACE)</t>
  </si>
  <si>
    <t>NPS1/4 3600WOG ASTM A216-WCB</t>
  </si>
  <si>
    <t>200023202098201</t>
  </si>
  <si>
    <t>KI KV-020-W3 阀盖毛坯 (NACE)</t>
  </si>
  <si>
    <t>2WA033201098301</t>
  </si>
  <si>
    <t>Warren KV-020-W3R 阀体毛坯 (借用KV-020-W3 1/4换字块NACE)</t>
  </si>
  <si>
    <t>NPS3/8 3600WOG ASTM A216-WCB</t>
  </si>
  <si>
    <t>200033202098301</t>
  </si>
  <si>
    <t>KI KV-020-W3R 阀盖毛坯 (借用KV-020-W3 1/4换字块,NACE)</t>
  </si>
  <si>
    <t>2WA023201095001</t>
  </si>
  <si>
    <t>NPS1/2 3600WOG ASTM A216-WCB</t>
  </si>
  <si>
    <t>200023202095001</t>
  </si>
  <si>
    <t>2WA023201098601</t>
  </si>
  <si>
    <t>NPS3/4 3600WOG ASTM A216-WCB</t>
  </si>
  <si>
    <t>200023202098601</t>
  </si>
  <si>
    <t>2WA023201095101</t>
  </si>
  <si>
    <t>NPS11/2 3600WOG ASTM A216-WCB</t>
  </si>
  <si>
    <t>200023202095101</t>
  </si>
  <si>
    <t>2WA023201090101</t>
  </si>
  <si>
    <t>NPS1 3600WOG ASTM A216-WCB</t>
  </si>
  <si>
    <t>200023202090101</t>
  </si>
  <si>
    <t>2WA033201090201</t>
  </si>
  <si>
    <t>Warren KV-020-W3R 阀体毛坯 (NACE)</t>
  </si>
  <si>
    <t>NPS2 3600WOG ASTM A216-WCB</t>
  </si>
  <si>
    <t>200033202090201</t>
  </si>
  <si>
    <t>KI KV-020-W3R 阀盖毛坯 (NACE)</t>
  </si>
  <si>
    <t>2WA023201068201</t>
  </si>
  <si>
    <t>Warren KV-020-W3 阀体毛坯 (成份按CF3M管控,NACE)</t>
  </si>
  <si>
    <t>NPS1/4 3600WOG ASTM A351-CF8M</t>
  </si>
  <si>
    <t>200023202068201</t>
  </si>
  <si>
    <t>KI KV-020-W3 阀盖毛坯 (成份按CF3M管控,NACE)</t>
  </si>
  <si>
    <t>2WA033201068301</t>
  </si>
  <si>
    <t>Warren KV-020-W3R 阀体毛坯 (成份按CF3M管控,NACE)</t>
  </si>
  <si>
    <t>NPS3/8 3600WOG ASTM A351-CF8M</t>
  </si>
  <si>
    <t>200033202068301</t>
  </si>
  <si>
    <t>KI KV-020-W3R 阀盖毛坯 (成份按CF3M管控,NACE)</t>
  </si>
  <si>
    <t>2WA023201065001</t>
  </si>
  <si>
    <t>NPS1/2 3600WOG ASTM A351-CF8M</t>
  </si>
  <si>
    <t>200023202065001</t>
  </si>
  <si>
    <t>200029202065001</t>
  </si>
  <si>
    <t>KI KV-022-W3 阀盖毛坯 (成份按CF3M管控,NACE)</t>
  </si>
  <si>
    <t>2WA023201068601</t>
  </si>
  <si>
    <t>NPS3/4 3600WOG ASTM A351-CF8M</t>
  </si>
  <si>
    <t>200023202068601</t>
  </si>
  <si>
    <t>2WA023201065101</t>
  </si>
  <si>
    <t>NPS11/2 3600WOG ASTM A351-CF8M</t>
  </si>
  <si>
    <t>200023202065101</t>
  </si>
  <si>
    <t>2WA023201060101</t>
  </si>
  <si>
    <t>NPS1 3600WOG ASTM A351-CF8M</t>
  </si>
  <si>
    <t>2WA029201090101</t>
  </si>
  <si>
    <t>Warren KV-022-W3 阀体毛坯 (NACE)</t>
  </si>
  <si>
    <t>200023202060101</t>
  </si>
  <si>
    <t>2WA033201060101</t>
  </si>
  <si>
    <t>Warren KV-020-W3R 阀体毛坯 (借用KV-020-W3 3/4换字块,成份按CF3M管控,NACE)</t>
  </si>
  <si>
    <t>200033202060101</t>
  </si>
  <si>
    <t>KI KV-020-W3R 阀盖毛坯 (借用KV-020-W3 3/4换字块,成份按CF3M管控,NACE)</t>
  </si>
  <si>
    <t>2WA033201060201</t>
  </si>
  <si>
    <t>NPS2 3600WOG ASTM A351-CF8M</t>
  </si>
  <si>
    <t>200033202060201</t>
  </si>
  <si>
    <t>200835201095001</t>
  </si>
  <si>
    <t>KI KV-080-35 阀体毛坯 (NACE)</t>
  </si>
  <si>
    <t>200835202095001</t>
  </si>
  <si>
    <t>KI KV-080-35 阀盖毛坯 (NACE)</t>
  </si>
  <si>
    <t>200835201065001</t>
  </si>
  <si>
    <t>KI KV-080-35 阀体毛坯 (成份按CF3M管控,NACE)</t>
  </si>
  <si>
    <t>NPS1/2 2000WOG ASTM A351-CF8M</t>
  </si>
  <si>
    <t>200835202065001</t>
  </si>
  <si>
    <t>KI KV-080-35 阀盖毛坯 (成份按CF3M管控,NACE)</t>
  </si>
  <si>
    <t>200835201095101</t>
  </si>
  <si>
    <t>200835202095101</t>
  </si>
  <si>
    <t>200835201090101</t>
  </si>
  <si>
    <t>200835201060101</t>
  </si>
  <si>
    <t>NPS1 2000WOG ASTM A351-CF8M</t>
  </si>
  <si>
    <t>200835202060101</t>
  </si>
  <si>
    <t>200029202095001</t>
  </si>
  <si>
    <t>KI KV-022-W3 阀盖毛坯 (NACE)</t>
  </si>
  <si>
    <t>200029202098601</t>
  </si>
  <si>
    <t>200029202090101</t>
  </si>
  <si>
    <t>2WA022201090201</t>
  </si>
  <si>
    <t>Warren KV-022-W3R 阀体毛坯 (NACE)</t>
  </si>
  <si>
    <t>200022202090201</t>
  </si>
  <si>
    <t>KI KV-022-W3R 阀盖毛坯 (NACE)</t>
  </si>
  <si>
    <t>2WA029201068601</t>
  </si>
  <si>
    <t>Warren KV-022-W3 阀体毛坯 (成份按CF3M管控,NACE)</t>
  </si>
  <si>
    <t>200029202068601</t>
  </si>
  <si>
    <t>2WA029201060101</t>
  </si>
  <si>
    <t>200029202060101</t>
  </si>
  <si>
    <t>200835201098201</t>
  </si>
  <si>
    <t>NPS1/4 2000WOG ASTM A216-WCB</t>
  </si>
  <si>
    <t>200835202098201</t>
  </si>
  <si>
    <t>200835201098601</t>
  </si>
  <si>
    <t>200835202098601</t>
  </si>
  <si>
    <t>200835201068601</t>
  </si>
  <si>
    <t>NPS3/4 2000WOG ASTM A351-CF8M</t>
  </si>
  <si>
    <t>200835202068601</t>
  </si>
  <si>
    <t>200835202090101</t>
  </si>
  <si>
    <t>200835201090201</t>
  </si>
  <si>
    <t>200835202090201</t>
  </si>
  <si>
    <t>200835201060201</t>
  </si>
  <si>
    <t>NPS2 1500WOG ASTM A351-CF8M</t>
  </si>
  <si>
    <t>200835202060201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</si>
</sst>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5" tint="-0.249977111117893"/>
      <name val="Times New Roman"/>
      <family val="1"/>
    </font>
    <font>
      <sz val="12"/>
      <name val="宋体"/>
      <charset val="134"/>
    </font>
    <font>
      <sz val="12"/>
      <name val="Times New Roman"/>
      <family val="1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/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1" xfId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 2 2 2" xfId="1" xr:uid="{9178CF16-453D-4D6E-97FB-1DFD171AEF94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07FF-FAE1-4C99-9439-D8D15AACB5FC}">
  <sheetPr>
    <tabColor theme="5" tint="0.39997558519241921"/>
  </sheetPr>
  <dimension ref="A1:XEZ2310"/>
  <sheetViews>
    <sheetView tabSelected="1" zoomScale="85" zoomScaleNormal="85" workbookViewId="0">
      <pane xSplit="2" ySplit="2" topLeftCell="D3" activePane="bottomRight" state="frozen"/>
      <selection activeCell="A16" sqref="A16:XFD16"/>
      <selection pane="topRight" activeCell="A16" sqref="A16:XFD16"/>
      <selection pane="bottomLeft" activeCell="A16" sqref="A16:XFD16"/>
      <selection pane="bottomRight" activeCell="I2314" sqref="I2314"/>
    </sheetView>
  </sheetViews>
  <sheetFormatPr defaultRowHeight="15.75"/>
  <cols>
    <col min="1" max="1" width="7.28515625" style="12" customWidth="1"/>
    <col min="2" max="2" width="20.28515625" style="12" customWidth="1"/>
    <col min="3" max="3" width="11" style="12" customWidth="1"/>
    <col min="4" max="4" width="21.7109375" style="12" customWidth="1"/>
    <col min="5" max="5" width="81.42578125" style="12" customWidth="1"/>
    <col min="6" max="6" width="40.5703125" style="12" bestFit="1" customWidth="1"/>
    <col min="7" max="7" width="86.28515625" style="12" customWidth="1"/>
    <col min="8" max="8" width="12.5703125" style="12" customWidth="1"/>
    <col min="9" max="9" width="8.85546875" style="12" customWidth="1"/>
    <col min="10" max="10" width="7.5703125" style="12" hidden="1" customWidth="1"/>
    <col min="11" max="11" width="9.85546875" style="12" hidden="1" customWidth="1"/>
    <col min="12" max="12" width="10.85546875" style="12" hidden="1" customWidth="1"/>
    <col min="13" max="13" width="7.85546875" style="12" hidden="1" customWidth="1"/>
    <col min="14" max="14" width="9" style="12" bestFit="1" customWidth="1"/>
    <col min="15" max="15" width="10.140625" style="12" bestFit="1" customWidth="1"/>
    <col min="16" max="16" width="9" style="12" bestFit="1" customWidth="1"/>
    <col min="17" max="16384" width="9.140625" style="12"/>
  </cols>
  <sheetData>
    <row r="1" spans="1:16" s="6" customFormat="1" ht="63.75" customHeight="1">
      <c r="A1" s="1" t="s">
        <v>0</v>
      </c>
      <c r="B1" s="2" t="s">
        <v>1</v>
      </c>
      <c r="C1" s="3"/>
      <c r="D1" s="2" t="s">
        <v>2</v>
      </c>
      <c r="E1" s="2" t="s">
        <v>1</v>
      </c>
      <c r="F1" s="2" t="s">
        <v>3</v>
      </c>
      <c r="G1" s="2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16" s="10" customFormat="1">
      <c r="A2" s="7">
        <f>IF(B2="","",SUBTOTAL(103,$B$2:B2))</f>
        <v>1</v>
      </c>
      <c r="B2" s="8" t="s">
        <v>14</v>
      </c>
      <c r="C2" s="7" t="s">
        <v>15</v>
      </c>
      <c r="D2" s="9" t="s">
        <v>16</v>
      </c>
      <c r="E2" s="7" t="s">
        <v>17</v>
      </c>
      <c r="F2" s="7" t="s">
        <v>18</v>
      </c>
      <c r="G2" s="7" t="s">
        <v>19</v>
      </c>
      <c r="H2" s="7">
        <v>0.34</v>
      </c>
      <c r="I2" s="7">
        <v>12</v>
      </c>
      <c r="J2" s="7">
        <v>800</v>
      </c>
      <c r="K2" s="7">
        <v>600</v>
      </c>
      <c r="L2" s="7">
        <v>150</v>
      </c>
      <c r="M2" s="7">
        <v>30</v>
      </c>
      <c r="N2" s="7">
        <v>120</v>
      </c>
      <c r="O2" s="7">
        <v>150</v>
      </c>
      <c r="P2" s="7">
        <v>318</v>
      </c>
    </row>
    <row r="3" spans="1:16" s="10" customFormat="1">
      <c r="A3" s="7">
        <f>IF(B3="","",SUBTOTAL(103,$B$2:B3))</f>
        <v>2</v>
      </c>
      <c r="B3" s="8" t="s">
        <v>14</v>
      </c>
      <c r="C3" s="7" t="s">
        <v>20</v>
      </c>
      <c r="D3" s="9" t="s">
        <v>21</v>
      </c>
      <c r="E3" s="7" t="s">
        <v>17</v>
      </c>
      <c r="F3" s="7" t="s">
        <v>22</v>
      </c>
      <c r="G3" s="7" t="s">
        <v>23</v>
      </c>
      <c r="H3" s="7">
        <v>0.13700000000000001</v>
      </c>
      <c r="I3" s="7">
        <v>36</v>
      </c>
      <c r="J3" s="7">
        <v>800</v>
      </c>
      <c r="K3" s="7">
        <v>600</v>
      </c>
      <c r="L3" s="7">
        <v>150</v>
      </c>
      <c r="M3" s="7">
        <v>30</v>
      </c>
      <c r="N3" s="7">
        <v>120</v>
      </c>
      <c r="O3" s="7">
        <v>55</v>
      </c>
      <c r="P3" s="7">
        <v>270</v>
      </c>
    </row>
    <row r="4" spans="1:16" s="10" customFormat="1">
      <c r="A4" s="7">
        <f>IF(B4="","",SUBTOTAL(103,$B$2:B4))</f>
        <v>3</v>
      </c>
      <c r="B4" s="8" t="s">
        <v>14</v>
      </c>
      <c r="C4" s="7" t="s">
        <v>24</v>
      </c>
      <c r="D4" s="9" t="s">
        <v>25</v>
      </c>
      <c r="E4" s="7" t="s">
        <v>17</v>
      </c>
      <c r="F4" s="7" t="s">
        <v>26</v>
      </c>
      <c r="G4" s="7" t="s">
        <v>27</v>
      </c>
      <c r="H4" s="7">
        <v>8.5000000000000006E-2</v>
      </c>
      <c r="I4" s="7">
        <v>48</v>
      </c>
      <c r="J4" s="7">
        <v>800</v>
      </c>
      <c r="K4" s="7">
        <v>600</v>
      </c>
      <c r="L4" s="7">
        <v>150</v>
      </c>
      <c r="M4" s="7">
        <v>30</v>
      </c>
      <c r="N4" s="7">
        <v>120</v>
      </c>
      <c r="O4" s="7">
        <v>41</v>
      </c>
      <c r="P4" s="7">
        <v>216</v>
      </c>
    </row>
    <row r="5" spans="1:16" s="10" customFormat="1">
      <c r="A5" s="7">
        <f>IF(B5="","",SUBTOTAL(103,$B$2:B5))</f>
        <v>4</v>
      </c>
      <c r="B5" s="8" t="s">
        <v>14</v>
      </c>
      <c r="C5" s="7" t="s">
        <v>28</v>
      </c>
      <c r="D5" s="9" t="s">
        <v>29</v>
      </c>
      <c r="E5" s="7" t="s">
        <v>17</v>
      </c>
      <c r="F5" s="7" t="s">
        <v>30</v>
      </c>
      <c r="G5" s="7" t="s">
        <v>31</v>
      </c>
      <c r="H5" s="7">
        <v>0.66600000000000004</v>
      </c>
      <c r="I5" s="7">
        <v>5</v>
      </c>
      <c r="J5" s="7">
        <v>800</v>
      </c>
      <c r="K5" s="7">
        <v>600</v>
      </c>
      <c r="L5" s="7">
        <v>150</v>
      </c>
      <c r="M5" s="7">
        <v>30</v>
      </c>
      <c r="N5" s="7">
        <v>120</v>
      </c>
      <c r="O5" s="7">
        <v>400</v>
      </c>
      <c r="P5" s="7">
        <v>678</v>
      </c>
    </row>
    <row r="6" spans="1:16" s="10" customFormat="1">
      <c r="A6" s="7">
        <f>IF(B6="","",SUBTOTAL(103,$B$2:B6))</f>
        <v>5</v>
      </c>
      <c r="B6" s="8" t="s">
        <v>14</v>
      </c>
      <c r="C6" s="7" t="s">
        <v>32</v>
      </c>
      <c r="D6" s="9" t="s">
        <v>33</v>
      </c>
      <c r="E6" s="7" t="s">
        <v>17</v>
      </c>
      <c r="F6" s="7" t="s">
        <v>34</v>
      </c>
      <c r="G6" s="7" t="s">
        <v>35</v>
      </c>
      <c r="H6" s="7">
        <v>0.54200000000000004</v>
      </c>
      <c r="I6" s="7">
        <v>12</v>
      </c>
      <c r="J6" s="7">
        <v>800</v>
      </c>
      <c r="K6" s="7">
        <v>600</v>
      </c>
      <c r="L6" s="7">
        <v>150</v>
      </c>
      <c r="M6" s="7">
        <v>30</v>
      </c>
      <c r="N6" s="7">
        <v>120</v>
      </c>
      <c r="O6" s="7">
        <v>150</v>
      </c>
      <c r="P6" s="7">
        <v>438</v>
      </c>
    </row>
    <row r="7" spans="1:16" s="10" customFormat="1">
      <c r="A7" s="7">
        <f>IF(B7="","",SUBTOTAL(103,$B$2:B7))</f>
        <v>6</v>
      </c>
      <c r="B7" s="8" t="s">
        <v>14</v>
      </c>
      <c r="C7" s="7" t="s">
        <v>36</v>
      </c>
      <c r="D7" s="9" t="s">
        <v>37</v>
      </c>
      <c r="E7" s="7" t="s">
        <v>17</v>
      </c>
      <c r="F7" s="7" t="s">
        <v>38</v>
      </c>
      <c r="G7" s="7" t="s">
        <v>39</v>
      </c>
      <c r="H7" s="7">
        <v>1.1479999999999999</v>
      </c>
      <c r="I7" s="7">
        <v>4</v>
      </c>
      <c r="J7" s="7">
        <v>800</v>
      </c>
      <c r="K7" s="7">
        <v>600</v>
      </c>
      <c r="L7" s="7">
        <v>150</v>
      </c>
      <c r="M7" s="7">
        <v>30</v>
      </c>
      <c r="N7" s="7">
        <v>120</v>
      </c>
      <c r="O7" s="7">
        <v>500</v>
      </c>
      <c r="P7" s="7">
        <v>720</v>
      </c>
    </row>
    <row r="8" spans="1:16" s="10" customFormat="1">
      <c r="A8" s="7">
        <f>IF(B8="","",SUBTOTAL(103,$B$2:B8))</f>
        <v>7</v>
      </c>
      <c r="B8" s="8" t="s">
        <v>14</v>
      </c>
      <c r="C8" s="7" t="s">
        <v>40</v>
      </c>
      <c r="D8" s="9" t="s">
        <v>41</v>
      </c>
      <c r="E8" s="7" t="s">
        <v>17</v>
      </c>
      <c r="F8" s="7" t="s">
        <v>42</v>
      </c>
      <c r="G8" s="7" t="s">
        <v>43</v>
      </c>
      <c r="H8" s="7">
        <v>0.23100000000000001</v>
      </c>
      <c r="I8" s="7">
        <v>16</v>
      </c>
      <c r="J8" s="7">
        <v>800</v>
      </c>
      <c r="K8" s="7">
        <v>600</v>
      </c>
      <c r="L8" s="7">
        <v>150</v>
      </c>
      <c r="M8" s="7">
        <v>30</v>
      </c>
      <c r="N8" s="7">
        <v>120</v>
      </c>
      <c r="O8" s="7">
        <v>125</v>
      </c>
      <c r="P8" s="7">
        <v>294</v>
      </c>
    </row>
    <row r="9" spans="1:16" s="10" customFormat="1">
      <c r="A9" s="7">
        <f>IF(B9="","",SUBTOTAL(103,$B$2:B9))</f>
        <v>8</v>
      </c>
      <c r="B9" s="8" t="s">
        <v>14</v>
      </c>
      <c r="C9" s="7" t="s">
        <v>40</v>
      </c>
      <c r="D9" s="9" t="s">
        <v>44</v>
      </c>
      <c r="E9" s="7" t="s">
        <v>17</v>
      </c>
      <c r="F9" s="7" t="s">
        <v>45</v>
      </c>
      <c r="G9" s="7" t="s">
        <v>46</v>
      </c>
      <c r="H9" s="7">
        <v>0.08</v>
      </c>
      <c r="I9" s="7">
        <v>44</v>
      </c>
      <c r="J9" s="7">
        <v>800</v>
      </c>
      <c r="K9" s="7">
        <v>600</v>
      </c>
      <c r="L9" s="7">
        <v>150</v>
      </c>
      <c r="M9" s="7">
        <v>30</v>
      </c>
      <c r="N9" s="7">
        <v>120</v>
      </c>
      <c r="O9" s="7">
        <v>45</v>
      </c>
      <c r="P9" s="7">
        <v>216</v>
      </c>
    </row>
    <row r="10" spans="1:16" s="10" customFormat="1">
      <c r="A10" s="7">
        <f>IF(B10="","",SUBTOTAL(103,$B$2:B10))</f>
        <v>9</v>
      </c>
      <c r="B10" s="8" t="s">
        <v>14</v>
      </c>
      <c r="C10" s="7" t="s">
        <v>15</v>
      </c>
      <c r="D10" s="9" t="s">
        <v>47</v>
      </c>
      <c r="E10" s="7" t="s">
        <v>48</v>
      </c>
      <c r="F10" s="7" t="s">
        <v>49</v>
      </c>
      <c r="G10" s="7" t="s">
        <v>50</v>
      </c>
      <c r="H10" s="7">
        <v>0.34</v>
      </c>
      <c r="I10" s="7">
        <v>12</v>
      </c>
      <c r="J10" s="7">
        <v>800</v>
      </c>
      <c r="K10" s="7">
        <v>600</v>
      </c>
      <c r="L10" s="7">
        <v>150</v>
      </c>
      <c r="M10" s="7">
        <v>30</v>
      </c>
      <c r="N10" s="7">
        <v>120</v>
      </c>
      <c r="O10" s="7">
        <v>150</v>
      </c>
      <c r="P10" s="7">
        <v>318</v>
      </c>
    </row>
    <row r="11" spans="1:16" s="10" customFormat="1">
      <c r="A11" s="7">
        <f>IF(B11="","",SUBTOTAL(103,$B$2:B11))</f>
        <v>10</v>
      </c>
      <c r="B11" s="8" t="s">
        <v>14</v>
      </c>
      <c r="C11" s="7" t="s">
        <v>20</v>
      </c>
      <c r="D11" s="9" t="s">
        <v>51</v>
      </c>
      <c r="E11" s="7" t="s">
        <v>52</v>
      </c>
      <c r="F11" s="7" t="s">
        <v>53</v>
      </c>
      <c r="G11" s="7" t="s">
        <v>54</v>
      </c>
      <c r="H11" s="7">
        <v>0.13700000000000001</v>
      </c>
      <c r="I11" s="7">
        <v>36</v>
      </c>
      <c r="J11" s="7">
        <v>800</v>
      </c>
      <c r="K11" s="7">
        <v>600</v>
      </c>
      <c r="L11" s="7">
        <v>150</v>
      </c>
      <c r="M11" s="7">
        <v>30</v>
      </c>
      <c r="N11" s="7">
        <v>120</v>
      </c>
      <c r="O11" s="7">
        <v>55</v>
      </c>
      <c r="P11" s="7">
        <v>270</v>
      </c>
    </row>
    <row r="12" spans="1:16" s="10" customFormat="1">
      <c r="A12" s="7">
        <f>IF(B12="","",SUBTOTAL(103,$B$2:B12))</f>
        <v>11</v>
      </c>
      <c r="B12" s="8" t="s">
        <v>14</v>
      </c>
      <c r="C12" s="7" t="s">
        <v>24</v>
      </c>
      <c r="D12" s="9" t="s">
        <v>55</v>
      </c>
      <c r="E12" s="7" t="s">
        <v>52</v>
      </c>
      <c r="F12" s="7" t="s">
        <v>56</v>
      </c>
      <c r="G12" s="7" t="s">
        <v>57</v>
      </c>
      <c r="H12" s="7">
        <v>0.05</v>
      </c>
      <c r="I12" s="7">
        <v>48</v>
      </c>
      <c r="J12" s="7">
        <v>800</v>
      </c>
      <c r="K12" s="7">
        <v>600</v>
      </c>
      <c r="L12" s="7">
        <v>150</v>
      </c>
      <c r="M12" s="7">
        <v>30</v>
      </c>
      <c r="N12" s="7">
        <v>120</v>
      </c>
      <c r="O12" s="7">
        <v>41</v>
      </c>
      <c r="P12" s="7">
        <v>216</v>
      </c>
    </row>
    <row r="13" spans="1:16" s="10" customFormat="1">
      <c r="A13" s="7">
        <f>IF(B13="","",SUBTOTAL(103,$B$2:B13))</f>
        <v>12</v>
      </c>
      <c r="B13" s="8" t="s">
        <v>14</v>
      </c>
      <c r="C13" s="7" t="s">
        <v>28</v>
      </c>
      <c r="D13" s="9" t="s">
        <v>58</v>
      </c>
      <c r="E13" s="7" t="s">
        <v>52</v>
      </c>
      <c r="F13" s="7" t="s">
        <v>59</v>
      </c>
      <c r="G13" s="7" t="s">
        <v>60</v>
      </c>
      <c r="H13" s="7">
        <v>0.66900000000000004</v>
      </c>
      <c r="I13" s="7">
        <v>5</v>
      </c>
      <c r="J13" s="7">
        <v>800</v>
      </c>
      <c r="K13" s="7">
        <v>600</v>
      </c>
      <c r="L13" s="7">
        <v>150</v>
      </c>
      <c r="M13" s="7">
        <v>30</v>
      </c>
      <c r="N13" s="7">
        <v>120</v>
      </c>
      <c r="O13" s="7">
        <v>400</v>
      </c>
      <c r="P13" s="7">
        <v>678</v>
      </c>
    </row>
    <row r="14" spans="1:16" s="10" customFormat="1">
      <c r="A14" s="7">
        <f>IF(B14="","",SUBTOTAL(103,$B$2:B14))</f>
        <v>13</v>
      </c>
      <c r="B14" s="8" t="s">
        <v>14</v>
      </c>
      <c r="C14" s="7" t="s">
        <v>32</v>
      </c>
      <c r="D14" s="9" t="s">
        <v>61</v>
      </c>
      <c r="E14" s="7" t="s">
        <v>52</v>
      </c>
      <c r="F14" s="7" t="s">
        <v>34</v>
      </c>
      <c r="G14" s="7" t="s">
        <v>62</v>
      </c>
      <c r="H14" s="7">
        <v>0.54200000000000004</v>
      </c>
      <c r="I14" s="7">
        <v>12</v>
      </c>
      <c r="J14" s="7">
        <v>800</v>
      </c>
      <c r="K14" s="7">
        <v>600</v>
      </c>
      <c r="L14" s="7">
        <v>150</v>
      </c>
      <c r="M14" s="7">
        <v>30</v>
      </c>
      <c r="N14" s="7">
        <v>120</v>
      </c>
      <c r="O14" s="7">
        <v>150</v>
      </c>
      <c r="P14" s="7">
        <v>438</v>
      </c>
    </row>
    <row r="15" spans="1:16" s="10" customFormat="1">
      <c r="A15" s="7">
        <f>IF(B15="","",SUBTOTAL(103,$B$2:B15))</f>
        <v>14</v>
      </c>
      <c r="B15" s="8" t="s">
        <v>14</v>
      </c>
      <c r="C15" s="7" t="s">
        <v>36</v>
      </c>
      <c r="D15" s="9" t="s">
        <v>63</v>
      </c>
      <c r="E15" s="7" t="s">
        <v>52</v>
      </c>
      <c r="F15" s="7" t="s">
        <v>64</v>
      </c>
      <c r="G15" s="7" t="s">
        <v>65</v>
      </c>
      <c r="H15" s="7">
        <v>1.1479999999999999</v>
      </c>
      <c r="I15" s="7">
        <v>4</v>
      </c>
      <c r="J15" s="7">
        <v>800</v>
      </c>
      <c r="K15" s="7">
        <v>600</v>
      </c>
      <c r="L15" s="7">
        <v>150</v>
      </c>
      <c r="M15" s="7">
        <v>30</v>
      </c>
      <c r="N15" s="7">
        <v>120</v>
      </c>
      <c r="O15" s="7">
        <v>500</v>
      </c>
      <c r="P15" s="7">
        <v>720</v>
      </c>
    </row>
    <row r="16" spans="1:16" s="10" customFormat="1">
      <c r="A16" s="7">
        <f>IF(B16="","",SUBTOTAL(103,$B$2:B16))</f>
        <v>15</v>
      </c>
      <c r="B16" s="8" t="s">
        <v>14</v>
      </c>
      <c r="C16" s="7" t="s">
        <v>40</v>
      </c>
      <c r="D16" s="9" t="s">
        <v>66</v>
      </c>
      <c r="E16" s="7" t="s">
        <v>52</v>
      </c>
      <c r="F16" s="7" t="s">
        <v>67</v>
      </c>
      <c r="G16" s="7" t="s">
        <v>68</v>
      </c>
      <c r="H16" s="7">
        <v>0.22</v>
      </c>
      <c r="I16" s="7">
        <v>16</v>
      </c>
      <c r="J16" s="7">
        <v>800</v>
      </c>
      <c r="K16" s="7">
        <v>600</v>
      </c>
      <c r="L16" s="7">
        <v>150</v>
      </c>
      <c r="M16" s="7">
        <v>30</v>
      </c>
      <c r="N16" s="7">
        <v>120</v>
      </c>
      <c r="O16" s="7">
        <v>125</v>
      </c>
      <c r="P16" s="7">
        <v>294</v>
      </c>
    </row>
    <row r="17" spans="1:16" s="10" customFormat="1">
      <c r="A17" s="7">
        <f>IF(B17="","",SUBTOTAL(103,$B$2:B17))</f>
        <v>16</v>
      </c>
      <c r="B17" s="8" t="s">
        <v>14</v>
      </c>
      <c r="C17" s="7" t="s">
        <v>69</v>
      </c>
      <c r="D17" s="9" t="s">
        <v>70</v>
      </c>
      <c r="E17" s="7" t="s">
        <v>52</v>
      </c>
      <c r="F17" s="7" t="s">
        <v>45</v>
      </c>
      <c r="G17" s="7" t="s">
        <v>71</v>
      </c>
      <c r="H17" s="7">
        <v>0.08</v>
      </c>
      <c r="I17" s="7">
        <v>44</v>
      </c>
      <c r="J17" s="7">
        <v>800</v>
      </c>
      <c r="K17" s="7">
        <v>600</v>
      </c>
      <c r="L17" s="7">
        <v>150</v>
      </c>
      <c r="M17" s="7">
        <v>30</v>
      </c>
      <c r="N17" s="7">
        <v>120</v>
      </c>
      <c r="O17" s="7">
        <v>45</v>
      </c>
      <c r="P17" s="7">
        <v>270</v>
      </c>
    </row>
    <row r="18" spans="1:16" s="10" customFormat="1">
      <c r="A18" s="7">
        <f>IF(B18="","",SUBTOTAL(103,$B$2:B18))</f>
        <v>17</v>
      </c>
      <c r="B18" s="8" t="s">
        <v>72</v>
      </c>
      <c r="C18" s="7" t="s">
        <v>73</v>
      </c>
      <c r="D18" s="9" t="s">
        <v>74</v>
      </c>
      <c r="E18" s="7" t="s">
        <v>75</v>
      </c>
      <c r="F18" s="7" t="s">
        <v>76</v>
      </c>
      <c r="G18" s="7" t="s">
        <v>77</v>
      </c>
      <c r="H18" s="7">
        <v>0.14899999999999999</v>
      </c>
      <c r="I18" s="7">
        <v>8</v>
      </c>
      <c r="J18" s="7"/>
      <c r="K18" s="7"/>
      <c r="L18" s="7"/>
      <c r="M18" s="7"/>
      <c r="N18" s="7">
        <v>120</v>
      </c>
      <c r="O18" s="7">
        <v>225</v>
      </c>
      <c r="P18" s="7">
        <v>300</v>
      </c>
    </row>
    <row r="19" spans="1:16" s="10" customFormat="1">
      <c r="A19" s="7">
        <f>IF(B19="","",SUBTOTAL(103,$B$2:B19))</f>
        <v>18</v>
      </c>
      <c r="B19" s="8" t="s">
        <v>72</v>
      </c>
      <c r="C19" s="7" t="s">
        <v>78</v>
      </c>
      <c r="D19" s="9" t="s">
        <v>79</v>
      </c>
      <c r="E19" s="7" t="s">
        <v>80</v>
      </c>
      <c r="F19" s="7" t="s">
        <v>81</v>
      </c>
      <c r="G19" s="7" t="s">
        <v>82</v>
      </c>
      <c r="H19" s="7">
        <v>0.27</v>
      </c>
      <c r="I19" s="7">
        <v>7</v>
      </c>
      <c r="J19" s="7"/>
      <c r="K19" s="7"/>
      <c r="L19" s="7"/>
      <c r="M19" s="7"/>
      <c r="N19" s="7">
        <v>120</v>
      </c>
      <c r="O19" s="7">
        <v>285</v>
      </c>
      <c r="P19" s="7">
        <v>420</v>
      </c>
    </row>
    <row r="20" spans="1:16" s="10" customFormat="1">
      <c r="A20" s="7">
        <f>IF(B20="","",SUBTOTAL(103,$B$2:B20))</f>
        <v>19</v>
      </c>
      <c r="B20" s="8" t="s">
        <v>72</v>
      </c>
      <c r="C20" s="7" t="s">
        <v>83</v>
      </c>
      <c r="D20" s="9" t="s">
        <v>84</v>
      </c>
      <c r="E20" s="7" t="s">
        <v>80</v>
      </c>
      <c r="F20" s="7" t="s">
        <v>85</v>
      </c>
      <c r="G20" s="7" t="s">
        <v>86</v>
      </c>
      <c r="H20" s="7">
        <v>0.69</v>
      </c>
      <c r="I20" s="7">
        <v>10</v>
      </c>
      <c r="J20" s="7"/>
      <c r="K20" s="7"/>
      <c r="L20" s="7"/>
      <c r="M20" s="7"/>
      <c r="N20" s="7">
        <v>120</v>
      </c>
      <c r="O20" s="7">
        <v>195</v>
      </c>
      <c r="P20" s="7">
        <v>360</v>
      </c>
    </row>
    <row r="21" spans="1:16" s="10" customFormat="1">
      <c r="A21" s="7">
        <f>IF(B21="","",SUBTOTAL(103,$B$2:B21))</f>
        <v>20</v>
      </c>
      <c r="B21" s="8" t="s">
        <v>87</v>
      </c>
      <c r="C21" s="7" t="s">
        <v>88</v>
      </c>
      <c r="D21" s="9" t="s">
        <v>89</v>
      </c>
      <c r="E21" s="7" t="s">
        <v>90</v>
      </c>
      <c r="F21" s="7" t="s">
        <v>18</v>
      </c>
      <c r="G21" s="7" t="s">
        <v>91</v>
      </c>
      <c r="H21" s="7">
        <v>0.43</v>
      </c>
      <c r="I21" s="7">
        <v>10</v>
      </c>
      <c r="J21" s="7">
        <v>800</v>
      </c>
      <c r="K21" s="7">
        <v>600</v>
      </c>
      <c r="L21" s="7">
        <v>150</v>
      </c>
      <c r="M21" s="7">
        <v>30</v>
      </c>
      <c r="N21" s="7">
        <v>120</v>
      </c>
      <c r="O21" s="7">
        <v>195</v>
      </c>
      <c r="P21" s="7">
        <v>360</v>
      </c>
    </row>
    <row r="22" spans="1:16" s="10" customFormat="1">
      <c r="A22" s="7">
        <f>IF(B22="","",SUBTOTAL(103,$B$2:B22))</f>
        <v>21</v>
      </c>
      <c r="B22" s="8" t="s">
        <v>87</v>
      </c>
      <c r="C22" s="7" t="s">
        <v>92</v>
      </c>
      <c r="D22" s="9" t="s">
        <v>93</v>
      </c>
      <c r="E22" s="7" t="s">
        <v>90</v>
      </c>
      <c r="F22" s="7" t="s">
        <v>22</v>
      </c>
      <c r="G22" s="7" t="s">
        <v>94</v>
      </c>
      <c r="H22" s="7">
        <v>0.19</v>
      </c>
      <c r="I22" s="7">
        <v>28</v>
      </c>
      <c r="J22" s="7">
        <v>800</v>
      </c>
      <c r="K22" s="7">
        <v>600</v>
      </c>
      <c r="L22" s="7">
        <v>150</v>
      </c>
      <c r="M22" s="7">
        <v>30</v>
      </c>
      <c r="N22" s="7">
        <v>120</v>
      </c>
      <c r="O22" s="7">
        <v>70</v>
      </c>
      <c r="P22" s="7">
        <v>282</v>
      </c>
    </row>
    <row r="23" spans="1:16" s="10" customFormat="1">
      <c r="A23" s="7">
        <f>IF(B23="","",SUBTOTAL(103,$B$2:B23))</f>
        <v>22</v>
      </c>
      <c r="B23" s="8" t="s">
        <v>87</v>
      </c>
      <c r="C23" s="7" t="s">
        <v>95</v>
      </c>
      <c r="D23" s="9" t="s">
        <v>96</v>
      </c>
      <c r="E23" s="7" t="s">
        <v>80</v>
      </c>
      <c r="F23" s="7" t="s">
        <v>97</v>
      </c>
      <c r="G23" s="7" t="s">
        <v>98</v>
      </c>
      <c r="H23" s="7">
        <v>0.21</v>
      </c>
      <c r="I23" s="7">
        <v>8</v>
      </c>
      <c r="J23" s="7">
        <v>800</v>
      </c>
      <c r="K23" s="7">
        <v>600</v>
      </c>
      <c r="L23" s="7">
        <v>150</v>
      </c>
      <c r="M23" s="7">
        <v>30</v>
      </c>
      <c r="N23" s="7">
        <v>120</v>
      </c>
      <c r="O23" s="7">
        <v>225</v>
      </c>
      <c r="P23" s="7">
        <v>300</v>
      </c>
    </row>
    <row r="24" spans="1:16" s="10" customFormat="1">
      <c r="A24" s="7">
        <f>IF(B24="","",SUBTOTAL(103,$B$2:B24))</f>
        <v>23</v>
      </c>
      <c r="B24" s="8" t="s">
        <v>87</v>
      </c>
      <c r="C24" s="7" t="s">
        <v>92</v>
      </c>
      <c r="D24" s="9" t="s">
        <v>93</v>
      </c>
      <c r="E24" s="7" t="s">
        <v>90</v>
      </c>
      <c r="F24" s="7" t="s">
        <v>99</v>
      </c>
      <c r="G24" s="7" t="s">
        <v>100</v>
      </c>
      <c r="H24" s="7">
        <v>0.19</v>
      </c>
      <c r="I24" s="7">
        <v>28</v>
      </c>
      <c r="J24" s="7">
        <v>800</v>
      </c>
      <c r="K24" s="7">
        <v>600</v>
      </c>
      <c r="L24" s="7">
        <v>150</v>
      </c>
      <c r="M24" s="7">
        <v>30</v>
      </c>
      <c r="N24" s="7">
        <v>120</v>
      </c>
      <c r="O24" s="7">
        <v>70</v>
      </c>
      <c r="P24" s="7">
        <v>282</v>
      </c>
    </row>
    <row r="25" spans="1:16" s="10" customFormat="1">
      <c r="A25" s="7">
        <f>IF(B25="","",SUBTOTAL(103,$B$2:B25))</f>
        <v>24</v>
      </c>
      <c r="B25" s="8" t="s">
        <v>87</v>
      </c>
      <c r="C25" s="7" t="s">
        <v>101</v>
      </c>
      <c r="D25" s="9" t="s">
        <v>102</v>
      </c>
      <c r="E25" s="7" t="s">
        <v>90</v>
      </c>
      <c r="F25" s="7" t="s">
        <v>56</v>
      </c>
      <c r="G25" s="7" t="s">
        <v>103</v>
      </c>
      <c r="H25" s="7">
        <v>0.16600000000000001</v>
      </c>
      <c r="I25" s="7">
        <v>28</v>
      </c>
      <c r="J25" s="7">
        <v>800</v>
      </c>
      <c r="K25" s="7">
        <v>600</v>
      </c>
      <c r="L25" s="7">
        <v>150</v>
      </c>
      <c r="M25" s="7">
        <v>30</v>
      </c>
      <c r="N25" s="7">
        <v>120</v>
      </c>
      <c r="O25" s="7">
        <v>70</v>
      </c>
      <c r="P25" s="7">
        <v>198</v>
      </c>
    </row>
    <row r="26" spans="1:16" s="10" customFormat="1">
      <c r="A26" s="7">
        <f>IF(B26="","",SUBTOTAL(103,$B$2:B26))</f>
        <v>25</v>
      </c>
      <c r="B26" s="8" t="s">
        <v>87</v>
      </c>
      <c r="C26" s="7" t="s">
        <v>101</v>
      </c>
      <c r="D26" s="9" t="s">
        <v>102</v>
      </c>
      <c r="E26" s="7" t="s">
        <v>90</v>
      </c>
      <c r="F26" s="7" t="s">
        <v>56</v>
      </c>
      <c r="G26" s="7" t="s">
        <v>103</v>
      </c>
      <c r="H26" s="7">
        <v>0.16600000000000001</v>
      </c>
      <c r="I26" s="7">
        <v>28</v>
      </c>
      <c r="J26" s="7">
        <v>800</v>
      </c>
      <c r="K26" s="7">
        <v>600</v>
      </c>
      <c r="L26" s="7">
        <v>150</v>
      </c>
      <c r="M26" s="7">
        <v>30</v>
      </c>
      <c r="N26" s="7">
        <v>120</v>
      </c>
      <c r="O26" s="7">
        <v>70</v>
      </c>
      <c r="P26" s="7">
        <v>198</v>
      </c>
    </row>
    <row r="27" spans="1:16" s="10" customFormat="1">
      <c r="A27" s="7">
        <f>IF(B27="","",SUBTOTAL(103,$B$2:B27))</f>
        <v>26</v>
      </c>
      <c r="B27" s="8" t="s">
        <v>87</v>
      </c>
      <c r="C27" s="7" t="s">
        <v>104</v>
      </c>
      <c r="D27" s="9" t="s">
        <v>105</v>
      </c>
      <c r="E27" s="7" t="s">
        <v>90</v>
      </c>
      <c r="F27" s="7" t="s">
        <v>30</v>
      </c>
      <c r="G27" s="7" t="s">
        <v>106</v>
      </c>
      <c r="H27" s="7">
        <v>0.85</v>
      </c>
      <c r="I27" s="7">
        <v>3</v>
      </c>
      <c r="J27" s="7">
        <v>800</v>
      </c>
      <c r="K27" s="7">
        <v>600</v>
      </c>
      <c r="L27" s="7">
        <v>150</v>
      </c>
      <c r="M27" s="7">
        <v>30</v>
      </c>
      <c r="N27" s="7">
        <v>120</v>
      </c>
      <c r="O27" s="7">
        <v>650</v>
      </c>
      <c r="P27" s="7">
        <v>810</v>
      </c>
    </row>
    <row r="28" spans="1:16" s="10" customFormat="1">
      <c r="A28" s="7">
        <f>IF(B28="","",SUBTOTAL(103,$B$2:B28))</f>
        <v>27</v>
      </c>
      <c r="B28" s="8" t="s">
        <v>87</v>
      </c>
      <c r="C28" s="7" t="s">
        <v>107</v>
      </c>
      <c r="D28" s="9" t="s">
        <v>108</v>
      </c>
      <c r="E28" s="7" t="s">
        <v>90</v>
      </c>
      <c r="F28" s="7" t="s">
        <v>109</v>
      </c>
      <c r="G28" s="7" t="s">
        <v>110</v>
      </c>
      <c r="H28" s="7">
        <v>0.65700000000000003</v>
      </c>
      <c r="I28" s="7">
        <v>8</v>
      </c>
      <c r="J28" s="7">
        <v>800</v>
      </c>
      <c r="K28" s="7">
        <v>600</v>
      </c>
      <c r="L28" s="7">
        <v>150</v>
      </c>
      <c r="M28" s="7">
        <v>30</v>
      </c>
      <c r="N28" s="7">
        <v>120</v>
      </c>
      <c r="O28" s="7">
        <v>225</v>
      </c>
      <c r="P28" s="7">
        <v>300</v>
      </c>
    </row>
    <row r="29" spans="1:16" s="10" customFormat="1">
      <c r="A29" s="7">
        <f>IF(B29="","",SUBTOTAL(103,$B$2:B29))</f>
        <v>28</v>
      </c>
      <c r="B29" s="8" t="s">
        <v>87</v>
      </c>
      <c r="C29" s="7" t="s">
        <v>111</v>
      </c>
      <c r="D29" s="9" t="s">
        <v>112</v>
      </c>
      <c r="E29" s="7" t="s">
        <v>90</v>
      </c>
      <c r="F29" s="7" t="s">
        <v>38</v>
      </c>
      <c r="G29" s="7" t="s">
        <v>113</v>
      </c>
      <c r="H29" s="7">
        <v>1.3069999999999999</v>
      </c>
      <c r="I29" s="7">
        <v>3</v>
      </c>
      <c r="J29" s="7">
        <v>800</v>
      </c>
      <c r="K29" s="7">
        <v>600</v>
      </c>
      <c r="L29" s="7">
        <v>150</v>
      </c>
      <c r="M29" s="7">
        <v>30</v>
      </c>
      <c r="N29" s="7">
        <v>120</v>
      </c>
      <c r="O29" s="7">
        <v>650</v>
      </c>
      <c r="P29" s="7">
        <v>810</v>
      </c>
    </row>
    <row r="30" spans="1:16" s="10" customFormat="1">
      <c r="A30" s="7">
        <f>IF(B30="","",SUBTOTAL(103,$B$2:B30))</f>
        <v>29</v>
      </c>
      <c r="B30" s="8" t="s">
        <v>87</v>
      </c>
      <c r="C30" s="7" t="s">
        <v>95</v>
      </c>
      <c r="D30" s="9" t="s">
        <v>114</v>
      </c>
      <c r="E30" s="7" t="s">
        <v>90</v>
      </c>
      <c r="F30" s="7" t="s">
        <v>67</v>
      </c>
      <c r="G30" s="7" t="s">
        <v>115</v>
      </c>
      <c r="H30" s="7">
        <v>0.26600000000000001</v>
      </c>
      <c r="I30" s="7">
        <v>12</v>
      </c>
      <c r="J30" s="7">
        <v>800</v>
      </c>
      <c r="K30" s="7">
        <v>600</v>
      </c>
      <c r="L30" s="7">
        <v>150</v>
      </c>
      <c r="M30" s="7">
        <v>30</v>
      </c>
      <c r="N30" s="7">
        <v>120</v>
      </c>
      <c r="O30" s="7">
        <v>150</v>
      </c>
      <c r="P30" s="7">
        <v>300</v>
      </c>
    </row>
    <row r="31" spans="1:16" s="10" customFormat="1">
      <c r="A31" s="7">
        <f>IF(B31="","",SUBTOTAL(103,$B$2:B31))</f>
        <v>30</v>
      </c>
      <c r="B31" s="8" t="s">
        <v>87</v>
      </c>
      <c r="C31" s="7" t="s">
        <v>95</v>
      </c>
      <c r="D31" s="9" t="s">
        <v>114</v>
      </c>
      <c r="E31" s="7" t="s">
        <v>90</v>
      </c>
      <c r="F31" s="7" t="s">
        <v>116</v>
      </c>
      <c r="G31" s="7" t="s">
        <v>117</v>
      </c>
      <c r="H31" s="7">
        <v>0.26600000000000001</v>
      </c>
      <c r="I31" s="7">
        <v>12</v>
      </c>
      <c r="J31" s="7">
        <v>800</v>
      </c>
      <c r="K31" s="7">
        <v>600</v>
      </c>
      <c r="L31" s="7">
        <v>150</v>
      </c>
      <c r="M31" s="7">
        <v>30</v>
      </c>
      <c r="N31" s="7">
        <v>120</v>
      </c>
      <c r="O31" s="7">
        <v>150</v>
      </c>
      <c r="P31" s="7">
        <v>300</v>
      </c>
    </row>
    <row r="32" spans="1:16" s="10" customFormat="1">
      <c r="A32" s="7">
        <f>IF(B32="","",SUBTOTAL(103,$B$2:B32))</f>
        <v>31</v>
      </c>
      <c r="B32" s="8" t="s">
        <v>87</v>
      </c>
      <c r="C32" s="7" t="s">
        <v>118</v>
      </c>
      <c r="D32" s="9" t="s">
        <v>119</v>
      </c>
      <c r="E32" s="7" t="s">
        <v>90</v>
      </c>
      <c r="F32" s="7" t="s">
        <v>120</v>
      </c>
      <c r="G32" s="7" t="s">
        <v>121</v>
      </c>
      <c r="H32" s="7">
        <v>0.16500000000000001</v>
      </c>
      <c r="I32" s="7">
        <v>32</v>
      </c>
      <c r="J32" s="7">
        <v>800</v>
      </c>
      <c r="K32" s="7">
        <v>600</v>
      </c>
      <c r="L32" s="7">
        <v>150</v>
      </c>
      <c r="M32" s="7">
        <v>30</v>
      </c>
      <c r="N32" s="7">
        <v>120</v>
      </c>
      <c r="O32" s="7">
        <v>54</v>
      </c>
      <c r="P32" s="7">
        <v>252</v>
      </c>
    </row>
    <row r="33" spans="1:16" s="10" customFormat="1">
      <c r="A33" s="7">
        <f>IF(B33="","",SUBTOTAL(103,$B$2:B33))</f>
        <v>32</v>
      </c>
      <c r="B33" s="8" t="s">
        <v>122</v>
      </c>
      <c r="C33" s="7" t="s">
        <v>123</v>
      </c>
      <c r="D33" s="9" t="s">
        <v>124</v>
      </c>
      <c r="E33" s="7" t="s">
        <v>125</v>
      </c>
      <c r="F33" s="7" t="s">
        <v>126</v>
      </c>
      <c r="G33" s="7" t="s">
        <v>127</v>
      </c>
      <c r="H33" s="7">
        <v>0.26</v>
      </c>
      <c r="I33" s="7">
        <v>22</v>
      </c>
      <c r="J33" s="7">
        <v>800</v>
      </c>
      <c r="K33" s="7">
        <v>600</v>
      </c>
      <c r="L33" s="7">
        <v>150</v>
      </c>
      <c r="M33" s="7">
        <v>30</v>
      </c>
      <c r="N33" s="7">
        <v>60</v>
      </c>
      <c r="O33" s="7">
        <v>90</v>
      </c>
      <c r="P33" s="7">
        <v>222</v>
      </c>
    </row>
    <row r="34" spans="1:16" s="10" customFormat="1">
      <c r="A34" s="7">
        <f>IF(B34="","",SUBTOTAL(103,$B$2:B34))</f>
        <v>33</v>
      </c>
      <c r="B34" s="8" t="s">
        <v>122</v>
      </c>
      <c r="C34" s="7" t="s">
        <v>123</v>
      </c>
      <c r="D34" s="9" t="s">
        <v>128</v>
      </c>
      <c r="E34" s="7" t="s">
        <v>125</v>
      </c>
      <c r="F34" s="7" t="s">
        <v>129</v>
      </c>
      <c r="G34" s="7" t="s">
        <v>130</v>
      </c>
      <c r="H34" s="7">
        <v>0.26</v>
      </c>
      <c r="I34" s="7">
        <v>22</v>
      </c>
      <c r="J34" s="7">
        <v>800</v>
      </c>
      <c r="K34" s="7">
        <v>600</v>
      </c>
      <c r="L34" s="7">
        <v>150</v>
      </c>
      <c r="M34" s="7">
        <v>30</v>
      </c>
      <c r="N34" s="7">
        <v>60</v>
      </c>
      <c r="O34" s="7">
        <v>90</v>
      </c>
      <c r="P34" s="7">
        <v>222</v>
      </c>
    </row>
    <row r="35" spans="1:16" s="10" customFormat="1">
      <c r="A35" s="7">
        <f>IF(B35="","",SUBTOTAL(103,$B$2:B35))</f>
        <v>34</v>
      </c>
      <c r="B35" s="8" t="s">
        <v>122</v>
      </c>
      <c r="C35" s="7" t="s">
        <v>131</v>
      </c>
      <c r="D35" s="9" t="s">
        <v>132</v>
      </c>
      <c r="E35" s="7" t="s">
        <v>133</v>
      </c>
      <c r="F35" s="7" t="s">
        <v>134</v>
      </c>
      <c r="G35" s="7" t="s">
        <v>135</v>
      </c>
      <c r="H35" s="7">
        <v>0.73</v>
      </c>
      <c r="I35" s="7">
        <v>4</v>
      </c>
      <c r="J35" s="7">
        <v>800</v>
      </c>
      <c r="K35" s="7">
        <v>600</v>
      </c>
      <c r="L35" s="7">
        <v>150</v>
      </c>
      <c r="M35" s="7">
        <v>30</v>
      </c>
      <c r="N35" s="7">
        <v>60</v>
      </c>
      <c r="O35" s="7">
        <v>500</v>
      </c>
      <c r="P35" s="7">
        <v>720</v>
      </c>
    </row>
    <row r="36" spans="1:16" s="10" customFormat="1">
      <c r="A36" s="7">
        <f>IF(B36="","",SUBTOTAL(103,$B$2:B36))</f>
        <v>35</v>
      </c>
      <c r="B36" s="8" t="s">
        <v>122</v>
      </c>
      <c r="C36" s="7" t="s">
        <v>131</v>
      </c>
      <c r="D36" s="9" t="s">
        <v>132</v>
      </c>
      <c r="E36" s="7" t="s">
        <v>133</v>
      </c>
      <c r="F36" s="7" t="s">
        <v>136</v>
      </c>
      <c r="G36" s="7" t="s">
        <v>137</v>
      </c>
      <c r="H36" s="7">
        <v>0.73</v>
      </c>
      <c r="I36" s="7">
        <v>4</v>
      </c>
      <c r="J36" s="7">
        <v>800</v>
      </c>
      <c r="K36" s="7">
        <v>600</v>
      </c>
      <c r="L36" s="7">
        <v>150</v>
      </c>
      <c r="M36" s="7">
        <v>30</v>
      </c>
      <c r="N36" s="7">
        <v>60</v>
      </c>
      <c r="O36" s="7">
        <v>500</v>
      </c>
      <c r="P36" s="7">
        <v>720</v>
      </c>
    </row>
    <row r="37" spans="1:16" s="10" customFormat="1">
      <c r="A37" s="7">
        <f>IF(B37="","",SUBTOTAL(103,$B$2:B37))</f>
        <v>36</v>
      </c>
      <c r="B37" s="8" t="s">
        <v>122</v>
      </c>
      <c r="C37" s="7" t="s">
        <v>131</v>
      </c>
      <c r="D37" s="9" t="s">
        <v>138</v>
      </c>
      <c r="E37" s="7" t="s">
        <v>139</v>
      </c>
      <c r="F37" s="7" t="s">
        <v>140</v>
      </c>
      <c r="G37" s="7" t="s">
        <v>141</v>
      </c>
      <c r="H37" s="7">
        <v>0.73</v>
      </c>
      <c r="I37" s="7">
        <v>4</v>
      </c>
      <c r="J37" s="7">
        <v>800</v>
      </c>
      <c r="K37" s="7">
        <v>600</v>
      </c>
      <c r="L37" s="7">
        <v>150</v>
      </c>
      <c r="M37" s="7">
        <v>30</v>
      </c>
      <c r="N37" s="7">
        <v>60</v>
      </c>
      <c r="O37" s="7">
        <v>500</v>
      </c>
      <c r="P37" s="7">
        <v>720</v>
      </c>
    </row>
    <row r="38" spans="1:16" s="10" customFormat="1">
      <c r="A38" s="7">
        <f>IF(B38="","",SUBTOTAL(103,$B$2:B38))</f>
        <v>37</v>
      </c>
      <c r="B38" s="8" t="s">
        <v>122</v>
      </c>
      <c r="C38" s="7" t="s">
        <v>131</v>
      </c>
      <c r="D38" s="9" t="s">
        <v>138</v>
      </c>
      <c r="E38" s="7" t="s">
        <v>139</v>
      </c>
      <c r="F38" s="7" t="s">
        <v>142</v>
      </c>
      <c r="G38" s="7" t="s">
        <v>143</v>
      </c>
      <c r="H38" s="7">
        <v>0.73</v>
      </c>
      <c r="I38" s="7">
        <v>4</v>
      </c>
      <c r="J38" s="7">
        <v>800</v>
      </c>
      <c r="K38" s="7">
        <v>600</v>
      </c>
      <c r="L38" s="7">
        <v>150</v>
      </c>
      <c r="M38" s="7">
        <v>30</v>
      </c>
      <c r="N38" s="7">
        <v>60</v>
      </c>
      <c r="O38" s="7">
        <v>500</v>
      </c>
      <c r="P38" s="7">
        <v>720</v>
      </c>
    </row>
    <row r="39" spans="1:16" s="10" customFormat="1">
      <c r="A39" s="7">
        <f>IF(B39="","",SUBTOTAL(103,$B$2:B39))</f>
        <v>38</v>
      </c>
      <c r="B39" s="8" t="s">
        <v>122</v>
      </c>
      <c r="C39" s="7" t="s">
        <v>144</v>
      </c>
      <c r="D39" s="9" t="s">
        <v>145</v>
      </c>
      <c r="E39" s="7" t="s">
        <v>139</v>
      </c>
      <c r="F39" s="7" t="s">
        <v>146</v>
      </c>
      <c r="G39" s="7" t="s">
        <v>147</v>
      </c>
      <c r="H39" s="7">
        <v>0.28699999999999998</v>
      </c>
      <c r="I39" s="7">
        <v>22</v>
      </c>
      <c r="J39" s="7">
        <v>800</v>
      </c>
      <c r="K39" s="7">
        <v>600</v>
      </c>
      <c r="L39" s="7">
        <v>150</v>
      </c>
      <c r="M39" s="7">
        <v>30</v>
      </c>
      <c r="N39" s="7">
        <v>60</v>
      </c>
      <c r="O39" s="7">
        <v>90</v>
      </c>
      <c r="P39" s="7">
        <v>294</v>
      </c>
    </row>
    <row r="40" spans="1:16" s="10" customFormat="1">
      <c r="A40" s="7">
        <f>IF(B40="","",SUBTOTAL(103,$B$2:B40))</f>
        <v>39</v>
      </c>
      <c r="B40" s="8" t="s">
        <v>122</v>
      </c>
      <c r="C40" s="7" t="s">
        <v>144</v>
      </c>
      <c r="D40" s="9" t="s">
        <v>145</v>
      </c>
      <c r="E40" s="7" t="s">
        <v>139</v>
      </c>
      <c r="F40" s="7" t="s">
        <v>148</v>
      </c>
      <c r="G40" s="7" t="s">
        <v>149</v>
      </c>
      <c r="H40" s="7">
        <v>0.28699999999999998</v>
      </c>
      <c r="I40" s="7">
        <v>22</v>
      </c>
      <c r="J40" s="7">
        <v>800</v>
      </c>
      <c r="K40" s="7">
        <v>600</v>
      </c>
      <c r="L40" s="7">
        <v>150</v>
      </c>
      <c r="M40" s="7">
        <v>30</v>
      </c>
      <c r="N40" s="7">
        <v>60</v>
      </c>
      <c r="O40" s="7">
        <v>90</v>
      </c>
      <c r="P40" s="7">
        <v>294</v>
      </c>
    </row>
    <row r="41" spans="1:16" s="10" customFormat="1">
      <c r="A41" s="7">
        <f>IF(B41="","",SUBTOTAL(103,$B$2:B41))</f>
        <v>40</v>
      </c>
      <c r="B41" s="8" t="s">
        <v>122</v>
      </c>
      <c r="C41" s="7" t="s">
        <v>144</v>
      </c>
      <c r="D41" s="9" t="s">
        <v>150</v>
      </c>
      <c r="E41" s="7" t="s">
        <v>139</v>
      </c>
      <c r="F41" s="7" t="s">
        <v>151</v>
      </c>
      <c r="G41" s="7" t="s">
        <v>152</v>
      </c>
      <c r="H41" s="7">
        <v>0.28999999999999998</v>
      </c>
      <c r="I41" s="7">
        <v>22</v>
      </c>
      <c r="J41" s="7">
        <v>800</v>
      </c>
      <c r="K41" s="7">
        <v>600</v>
      </c>
      <c r="L41" s="7">
        <v>150</v>
      </c>
      <c r="M41" s="7">
        <v>30</v>
      </c>
      <c r="N41" s="7">
        <v>60</v>
      </c>
      <c r="O41" s="7">
        <v>90</v>
      </c>
      <c r="P41" s="7">
        <v>294</v>
      </c>
    </row>
    <row r="42" spans="1:16" s="10" customFormat="1">
      <c r="A42" s="7">
        <f>IF(B42="","",SUBTOTAL(103,$B$2:B42))</f>
        <v>41</v>
      </c>
      <c r="B42" s="8" t="s">
        <v>122</v>
      </c>
      <c r="C42" s="7" t="s">
        <v>153</v>
      </c>
      <c r="D42" s="9" t="s">
        <v>154</v>
      </c>
      <c r="E42" s="7" t="s">
        <v>139</v>
      </c>
      <c r="F42" s="7" t="s">
        <v>155</v>
      </c>
      <c r="G42" s="7" t="s">
        <v>156</v>
      </c>
      <c r="H42" s="7">
        <v>1.34</v>
      </c>
      <c r="I42" s="7">
        <v>3</v>
      </c>
      <c r="J42" s="7">
        <v>800</v>
      </c>
      <c r="K42" s="7">
        <v>600</v>
      </c>
      <c r="L42" s="7">
        <v>150</v>
      </c>
      <c r="M42" s="7">
        <v>30</v>
      </c>
      <c r="N42" s="7">
        <v>60</v>
      </c>
      <c r="O42" s="7">
        <v>650</v>
      </c>
      <c r="P42" s="7">
        <v>810</v>
      </c>
    </row>
    <row r="43" spans="1:16" s="10" customFormat="1">
      <c r="A43" s="7">
        <f>IF(B43="","",SUBTOTAL(103,$B$2:B43))</f>
        <v>42</v>
      </c>
      <c r="B43" s="8" t="s">
        <v>122</v>
      </c>
      <c r="C43" s="7" t="s">
        <v>153</v>
      </c>
      <c r="D43" s="9" t="s">
        <v>157</v>
      </c>
      <c r="E43" s="7" t="s">
        <v>139</v>
      </c>
      <c r="F43" s="7" t="s">
        <v>158</v>
      </c>
      <c r="G43" s="7" t="s">
        <v>159</v>
      </c>
      <c r="H43" s="7">
        <v>1.34</v>
      </c>
      <c r="I43" s="7">
        <v>3</v>
      </c>
      <c r="J43" s="7">
        <v>800</v>
      </c>
      <c r="K43" s="7">
        <v>600</v>
      </c>
      <c r="L43" s="7">
        <v>150</v>
      </c>
      <c r="M43" s="7">
        <v>30</v>
      </c>
      <c r="N43" s="7">
        <v>60</v>
      </c>
      <c r="O43" s="7">
        <v>650</v>
      </c>
      <c r="P43" s="7">
        <v>810</v>
      </c>
    </row>
    <row r="44" spans="1:16" s="10" customFormat="1">
      <c r="A44" s="7">
        <f>IF(B44="","",SUBTOTAL(103,$B$2:B44))</f>
        <v>43</v>
      </c>
      <c r="B44" s="8" t="s">
        <v>122</v>
      </c>
      <c r="C44" s="7" t="s">
        <v>160</v>
      </c>
      <c r="D44" s="9" t="s">
        <v>161</v>
      </c>
      <c r="E44" s="7" t="s">
        <v>139</v>
      </c>
      <c r="F44" s="7" t="s">
        <v>162</v>
      </c>
      <c r="G44" s="7" t="s">
        <v>163</v>
      </c>
      <c r="H44" s="7">
        <v>0.88249999999999995</v>
      </c>
      <c r="I44" s="7">
        <v>6</v>
      </c>
      <c r="J44" s="7">
        <v>800</v>
      </c>
      <c r="K44" s="7">
        <v>600</v>
      </c>
      <c r="L44" s="7">
        <v>150</v>
      </c>
      <c r="M44" s="7">
        <v>30</v>
      </c>
      <c r="N44" s="7">
        <v>60</v>
      </c>
      <c r="O44" s="7">
        <v>310</v>
      </c>
      <c r="P44" s="7">
        <v>420</v>
      </c>
    </row>
    <row r="45" spans="1:16" s="10" customFormat="1">
      <c r="A45" s="7">
        <f>IF(B45="","",SUBTOTAL(103,$B$2:B45))</f>
        <v>44</v>
      </c>
      <c r="B45" s="8" t="s">
        <v>122</v>
      </c>
      <c r="C45" s="7" t="s">
        <v>160</v>
      </c>
      <c r="D45" s="9" t="s">
        <v>164</v>
      </c>
      <c r="E45" s="7" t="s">
        <v>139</v>
      </c>
      <c r="F45" s="7" t="s">
        <v>165</v>
      </c>
      <c r="G45" s="7" t="s">
        <v>166</v>
      </c>
      <c r="H45" s="7">
        <v>0.88</v>
      </c>
      <c r="I45" s="7">
        <v>6</v>
      </c>
      <c r="J45" s="7">
        <v>800</v>
      </c>
      <c r="K45" s="7">
        <v>600</v>
      </c>
      <c r="L45" s="7">
        <v>150</v>
      </c>
      <c r="M45" s="7">
        <v>30</v>
      </c>
      <c r="N45" s="7">
        <v>60</v>
      </c>
      <c r="O45" s="7">
        <v>310</v>
      </c>
      <c r="P45" s="7">
        <v>420</v>
      </c>
    </row>
    <row r="46" spans="1:16" s="10" customFormat="1">
      <c r="A46" s="7">
        <f>IF(B46="","",SUBTOTAL(103,$B$2:B46))</f>
        <v>45</v>
      </c>
      <c r="B46" s="8" t="s">
        <v>122</v>
      </c>
      <c r="C46" s="7" t="s">
        <v>167</v>
      </c>
      <c r="D46" s="9" t="s">
        <v>168</v>
      </c>
      <c r="E46" s="7" t="s">
        <v>139</v>
      </c>
      <c r="F46" s="7" t="s">
        <v>169</v>
      </c>
      <c r="G46" s="7" t="s">
        <v>170</v>
      </c>
      <c r="H46" s="7">
        <v>1.92</v>
      </c>
      <c r="I46" s="7">
        <v>2</v>
      </c>
      <c r="J46" s="7">
        <v>800</v>
      </c>
      <c r="K46" s="7">
        <v>600</v>
      </c>
      <c r="L46" s="7">
        <v>150</v>
      </c>
      <c r="M46" s="7">
        <v>30</v>
      </c>
      <c r="N46" s="7">
        <v>60</v>
      </c>
      <c r="O46" s="7">
        <v>1000</v>
      </c>
      <c r="P46" s="7">
        <v>1320</v>
      </c>
    </row>
    <row r="47" spans="1:16" s="10" customFormat="1">
      <c r="A47" s="7">
        <f>IF(B47="","",SUBTOTAL(103,$B$2:B47))</f>
        <v>46</v>
      </c>
      <c r="B47" s="8" t="s">
        <v>122</v>
      </c>
      <c r="C47" s="7" t="s">
        <v>167</v>
      </c>
      <c r="D47" s="9" t="s">
        <v>171</v>
      </c>
      <c r="E47" s="7" t="s">
        <v>139</v>
      </c>
      <c r="F47" s="7" t="s">
        <v>172</v>
      </c>
      <c r="G47" s="7" t="s">
        <v>173</v>
      </c>
      <c r="H47" s="7">
        <v>1.92</v>
      </c>
      <c r="I47" s="7">
        <v>2</v>
      </c>
      <c r="J47" s="7">
        <v>800</v>
      </c>
      <c r="K47" s="7">
        <v>600</v>
      </c>
      <c r="L47" s="7">
        <v>150</v>
      </c>
      <c r="M47" s="7">
        <v>30</v>
      </c>
      <c r="N47" s="7">
        <v>60</v>
      </c>
      <c r="O47" s="7">
        <v>1000</v>
      </c>
      <c r="P47" s="7">
        <v>1320</v>
      </c>
    </row>
    <row r="48" spans="1:16" s="10" customFormat="1">
      <c r="A48" s="7">
        <f>IF(B48="","",SUBTOTAL(103,$B$2:B48))</f>
        <v>47</v>
      </c>
      <c r="B48" s="8" t="s">
        <v>122</v>
      </c>
      <c r="C48" s="7" t="s">
        <v>174</v>
      </c>
      <c r="D48" s="9" t="s">
        <v>175</v>
      </c>
      <c r="E48" s="7" t="s">
        <v>139</v>
      </c>
      <c r="F48" s="7" t="s">
        <v>176</v>
      </c>
      <c r="G48" s="7" t="s">
        <v>177</v>
      </c>
      <c r="H48" s="7">
        <v>2.86</v>
      </c>
      <c r="I48" s="7">
        <v>1</v>
      </c>
      <c r="J48" s="7">
        <v>800</v>
      </c>
      <c r="K48" s="7">
        <v>600</v>
      </c>
      <c r="L48" s="7">
        <v>150</v>
      </c>
      <c r="M48" s="7">
        <v>30</v>
      </c>
      <c r="N48" s="7">
        <v>60</v>
      </c>
      <c r="O48" s="7">
        <v>2000</v>
      </c>
      <c r="P48" s="7">
        <v>2460</v>
      </c>
    </row>
    <row r="49" spans="1:16" s="10" customFormat="1">
      <c r="A49" s="7">
        <f>IF(B49="","",SUBTOTAL(103,$B$2:B49))</f>
        <v>48</v>
      </c>
      <c r="B49" s="8" t="s">
        <v>122</v>
      </c>
      <c r="C49" s="7" t="s">
        <v>174</v>
      </c>
      <c r="D49" s="9" t="s">
        <v>178</v>
      </c>
      <c r="E49" s="7" t="s">
        <v>139</v>
      </c>
      <c r="F49" s="7" t="s">
        <v>179</v>
      </c>
      <c r="G49" s="7" t="s">
        <v>180</v>
      </c>
      <c r="H49" s="7">
        <v>2.86</v>
      </c>
      <c r="I49" s="7">
        <v>1</v>
      </c>
      <c r="J49" s="7">
        <v>800</v>
      </c>
      <c r="K49" s="7">
        <v>600</v>
      </c>
      <c r="L49" s="7">
        <v>150</v>
      </c>
      <c r="M49" s="7">
        <v>30</v>
      </c>
      <c r="N49" s="7">
        <v>60</v>
      </c>
      <c r="O49" s="7">
        <v>2000</v>
      </c>
      <c r="P49" s="7">
        <v>2460</v>
      </c>
    </row>
    <row r="50" spans="1:16" s="10" customFormat="1">
      <c r="A50" s="7">
        <f>IF(B50="","",SUBTOTAL(103,$B$2:B50))</f>
        <v>49</v>
      </c>
      <c r="B50" s="8" t="s">
        <v>122</v>
      </c>
      <c r="C50" s="7" t="s">
        <v>181</v>
      </c>
      <c r="D50" s="9" t="s">
        <v>182</v>
      </c>
      <c r="E50" s="7" t="s">
        <v>139</v>
      </c>
      <c r="F50" s="7" t="s">
        <v>183</v>
      </c>
      <c r="G50" s="7" t="s">
        <v>184</v>
      </c>
      <c r="H50" s="7">
        <v>4.04</v>
      </c>
      <c r="I50" s="7">
        <v>1</v>
      </c>
      <c r="J50" s="7">
        <v>800</v>
      </c>
      <c r="K50" s="7">
        <v>600</v>
      </c>
      <c r="L50" s="7">
        <v>150</v>
      </c>
      <c r="M50" s="7">
        <v>30</v>
      </c>
      <c r="N50" s="7">
        <v>60</v>
      </c>
      <c r="O50" s="7">
        <v>2000</v>
      </c>
      <c r="P50" s="7">
        <v>2460</v>
      </c>
    </row>
    <row r="51" spans="1:16" s="10" customFormat="1">
      <c r="A51" s="7">
        <f>IF(B51="","",SUBTOTAL(103,$B$2:B51))</f>
        <v>50</v>
      </c>
      <c r="B51" s="8" t="s">
        <v>122</v>
      </c>
      <c r="C51" s="7" t="s">
        <v>181</v>
      </c>
      <c r="D51" s="9" t="s">
        <v>185</v>
      </c>
      <c r="E51" s="7" t="s">
        <v>139</v>
      </c>
      <c r="F51" s="7" t="s">
        <v>186</v>
      </c>
      <c r="G51" s="7" t="s">
        <v>187</v>
      </c>
      <c r="H51" s="7">
        <v>4.04</v>
      </c>
      <c r="I51" s="7">
        <v>1</v>
      </c>
      <c r="J51" s="7">
        <v>800</v>
      </c>
      <c r="K51" s="7">
        <v>600</v>
      </c>
      <c r="L51" s="7">
        <v>150</v>
      </c>
      <c r="M51" s="7">
        <v>30</v>
      </c>
      <c r="N51" s="7">
        <v>60</v>
      </c>
      <c r="O51" s="7">
        <v>2000</v>
      </c>
      <c r="P51" s="7">
        <v>2460</v>
      </c>
    </row>
    <row r="52" spans="1:16" s="10" customFormat="1">
      <c r="A52" s="7">
        <f>IF(B52="","",SUBTOTAL(103,$B$2:B52))</f>
        <v>51</v>
      </c>
      <c r="B52" s="8" t="s">
        <v>122</v>
      </c>
      <c r="C52" s="7" t="s">
        <v>188</v>
      </c>
      <c r="D52" s="9" t="s">
        <v>189</v>
      </c>
      <c r="E52" s="7" t="s">
        <v>139</v>
      </c>
      <c r="F52" s="7" t="s">
        <v>190</v>
      </c>
      <c r="G52" s="7" t="s">
        <v>191</v>
      </c>
      <c r="H52" s="7">
        <v>0.45100000000000001</v>
      </c>
      <c r="I52" s="7">
        <v>10</v>
      </c>
      <c r="J52" s="7">
        <v>800</v>
      </c>
      <c r="K52" s="7">
        <v>600</v>
      </c>
      <c r="L52" s="7">
        <v>150</v>
      </c>
      <c r="M52" s="7">
        <v>30</v>
      </c>
      <c r="N52" s="7">
        <v>60</v>
      </c>
      <c r="O52" s="7">
        <v>195</v>
      </c>
      <c r="P52" s="7">
        <v>360</v>
      </c>
    </row>
    <row r="53" spans="1:16" s="10" customFormat="1">
      <c r="A53" s="7">
        <f>IF(B53="","",SUBTOTAL(103,$B$2:B53))</f>
        <v>52</v>
      </c>
      <c r="B53" s="8" t="s">
        <v>122</v>
      </c>
      <c r="C53" s="7" t="s">
        <v>188</v>
      </c>
      <c r="D53" s="9" t="s">
        <v>192</v>
      </c>
      <c r="E53" s="7" t="s">
        <v>139</v>
      </c>
      <c r="F53" s="7" t="s">
        <v>193</v>
      </c>
      <c r="G53" s="7" t="s">
        <v>194</v>
      </c>
      <c r="H53" s="7">
        <v>0.45200000000000001</v>
      </c>
      <c r="I53" s="7">
        <v>10</v>
      </c>
      <c r="J53" s="7">
        <v>800</v>
      </c>
      <c r="K53" s="7">
        <v>600</v>
      </c>
      <c r="L53" s="7">
        <v>150</v>
      </c>
      <c r="M53" s="7">
        <v>30</v>
      </c>
      <c r="N53" s="7">
        <v>60</v>
      </c>
      <c r="O53" s="7">
        <v>195</v>
      </c>
      <c r="P53" s="7">
        <v>360</v>
      </c>
    </row>
    <row r="54" spans="1:16" s="10" customFormat="1">
      <c r="A54" s="7">
        <f>IF(B54="","",SUBTOTAL(103,$B$2:B54))</f>
        <v>53</v>
      </c>
      <c r="B54" s="8" t="s">
        <v>122</v>
      </c>
      <c r="C54" s="7" t="s">
        <v>195</v>
      </c>
      <c r="D54" s="9" t="s">
        <v>196</v>
      </c>
      <c r="E54" s="7" t="s">
        <v>139</v>
      </c>
      <c r="F54" s="7" t="s">
        <v>197</v>
      </c>
      <c r="G54" s="7" t="s">
        <v>198</v>
      </c>
      <c r="H54" s="7">
        <v>0.26</v>
      </c>
      <c r="I54" s="7">
        <v>22</v>
      </c>
      <c r="J54" s="7">
        <v>800</v>
      </c>
      <c r="K54" s="7">
        <v>600</v>
      </c>
      <c r="L54" s="7">
        <v>150</v>
      </c>
      <c r="M54" s="7">
        <v>30</v>
      </c>
      <c r="N54" s="7">
        <v>60</v>
      </c>
      <c r="O54" s="7">
        <v>90</v>
      </c>
      <c r="P54" s="7">
        <v>282</v>
      </c>
    </row>
    <row r="55" spans="1:16" s="10" customFormat="1">
      <c r="A55" s="7">
        <f>IF(B55="","",SUBTOTAL(103,$B$2:B55))</f>
        <v>54</v>
      </c>
      <c r="B55" s="8" t="s">
        <v>122</v>
      </c>
      <c r="C55" s="7" t="s">
        <v>195</v>
      </c>
      <c r="D55" s="9" t="s">
        <v>199</v>
      </c>
      <c r="E55" s="7" t="s">
        <v>139</v>
      </c>
      <c r="F55" s="7" t="s">
        <v>200</v>
      </c>
      <c r="G55" s="7" t="s">
        <v>201</v>
      </c>
      <c r="H55" s="7">
        <v>0.26</v>
      </c>
      <c r="I55" s="7">
        <v>22</v>
      </c>
      <c r="J55" s="7">
        <v>800</v>
      </c>
      <c r="K55" s="7">
        <v>600</v>
      </c>
      <c r="L55" s="7">
        <v>150</v>
      </c>
      <c r="M55" s="7">
        <v>30</v>
      </c>
      <c r="N55" s="7">
        <v>60</v>
      </c>
      <c r="O55" s="7">
        <v>90</v>
      </c>
      <c r="P55" s="7">
        <v>282</v>
      </c>
    </row>
    <row r="56" spans="1:16" s="10" customFormat="1">
      <c r="A56" s="7">
        <f>IF(B56="","",SUBTOTAL(103,$B$2:B56))</f>
        <v>55</v>
      </c>
      <c r="B56" s="8" t="s">
        <v>202</v>
      </c>
      <c r="C56" s="7" t="s">
        <v>203</v>
      </c>
      <c r="D56" s="9" t="s">
        <v>204</v>
      </c>
      <c r="E56" s="7" t="s">
        <v>205</v>
      </c>
      <c r="F56" s="7" t="s">
        <v>126</v>
      </c>
      <c r="G56" s="7" t="s">
        <v>206</v>
      </c>
      <c r="H56" s="7">
        <v>0.12</v>
      </c>
      <c r="I56" s="7">
        <v>56</v>
      </c>
      <c r="J56" s="7">
        <v>800</v>
      </c>
      <c r="K56" s="7">
        <v>600</v>
      </c>
      <c r="L56" s="7">
        <v>150</v>
      </c>
      <c r="M56" s="7">
        <v>30</v>
      </c>
      <c r="N56" s="7">
        <v>60</v>
      </c>
      <c r="O56" s="7">
        <v>34</v>
      </c>
      <c r="P56" s="7">
        <v>198</v>
      </c>
    </row>
    <row r="57" spans="1:16" s="10" customFormat="1">
      <c r="A57" s="7">
        <f>IF(B57="","",SUBTOTAL(103,$B$2:B57))</f>
        <v>56</v>
      </c>
      <c r="B57" s="8" t="s">
        <v>202</v>
      </c>
      <c r="C57" s="7" t="s">
        <v>203</v>
      </c>
      <c r="D57" s="9" t="s">
        <v>207</v>
      </c>
      <c r="E57" s="7" t="s">
        <v>205</v>
      </c>
      <c r="F57" s="7" t="s">
        <v>129</v>
      </c>
      <c r="G57" s="7" t="s">
        <v>208</v>
      </c>
      <c r="H57" s="7">
        <v>0.12</v>
      </c>
      <c r="I57" s="7">
        <v>56</v>
      </c>
      <c r="J57" s="7">
        <v>800</v>
      </c>
      <c r="K57" s="7">
        <v>600</v>
      </c>
      <c r="L57" s="7">
        <v>150</v>
      </c>
      <c r="M57" s="7">
        <v>30</v>
      </c>
      <c r="N57" s="7">
        <v>60</v>
      </c>
      <c r="O57" s="7">
        <v>34</v>
      </c>
      <c r="P57" s="7">
        <v>198</v>
      </c>
    </row>
    <row r="58" spans="1:16" s="10" customFormat="1">
      <c r="A58" s="7">
        <f>IF(B58="","",SUBTOTAL(103,$B$2:B58))</f>
        <v>57</v>
      </c>
      <c r="B58" s="8" t="s">
        <v>202</v>
      </c>
      <c r="C58" s="7" t="s">
        <v>209</v>
      </c>
      <c r="D58" s="9" t="s">
        <v>210</v>
      </c>
      <c r="E58" s="7" t="s">
        <v>211</v>
      </c>
      <c r="F58" s="7" t="s">
        <v>134</v>
      </c>
      <c r="G58" s="7" t="s">
        <v>212</v>
      </c>
      <c r="H58" s="7">
        <v>0.33400000000000002</v>
      </c>
      <c r="I58" s="11">
        <v>21</v>
      </c>
      <c r="J58" s="7">
        <v>800</v>
      </c>
      <c r="K58" s="7">
        <v>600</v>
      </c>
      <c r="L58" s="7">
        <v>150</v>
      </c>
      <c r="M58" s="7">
        <v>30</v>
      </c>
      <c r="N58" s="7">
        <v>60</v>
      </c>
      <c r="O58" s="7">
        <v>90</v>
      </c>
      <c r="P58" s="7">
        <v>360</v>
      </c>
    </row>
    <row r="59" spans="1:16" s="10" customFormat="1">
      <c r="A59" s="7">
        <f>IF(B59="","",SUBTOTAL(103,$B$2:B59))</f>
        <v>58</v>
      </c>
      <c r="B59" s="8" t="s">
        <v>202</v>
      </c>
      <c r="C59" s="7" t="s">
        <v>209</v>
      </c>
      <c r="D59" s="9" t="s">
        <v>213</v>
      </c>
      <c r="E59" s="7" t="s">
        <v>214</v>
      </c>
      <c r="F59" s="7" t="s">
        <v>140</v>
      </c>
      <c r="G59" s="7" t="s">
        <v>215</v>
      </c>
      <c r="H59" s="7">
        <v>0.33400000000000002</v>
      </c>
      <c r="I59" s="7">
        <v>21</v>
      </c>
      <c r="J59" s="7">
        <v>800</v>
      </c>
      <c r="K59" s="7">
        <v>600</v>
      </c>
      <c r="L59" s="7">
        <v>150</v>
      </c>
      <c r="M59" s="7">
        <v>30</v>
      </c>
      <c r="N59" s="7">
        <v>60</v>
      </c>
      <c r="O59" s="7">
        <v>90</v>
      </c>
      <c r="P59" s="7">
        <v>360</v>
      </c>
    </row>
    <row r="60" spans="1:16" s="10" customFormat="1">
      <c r="A60" s="7">
        <f>IF(B60="","",SUBTOTAL(103,$B$2:B60))</f>
        <v>59</v>
      </c>
      <c r="B60" s="8" t="s">
        <v>202</v>
      </c>
      <c r="C60" s="7" t="s">
        <v>216</v>
      </c>
      <c r="D60" s="9" t="s">
        <v>217</v>
      </c>
      <c r="E60" s="7" t="s">
        <v>214</v>
      </c>
      <c r="F60" s="7" t="s">
        <v>146</v>
      </c>
      <c r="G60" s="7" t="s">
        <v>218</v>
      </c>
      <c r="H60" s="7">
        <v>0.127</v>
      </c>
      <c r="I60" s="7">
        <v>40</v>
      </c>
      <c r="J60" s="7">
        <v>800</v>
      </c>
      <c r="K60" s="7">
        <v>600</v>
      </c>
      <c r="L60" s="7">
        <v>150</v>
      </c>
      <c r="M60" s="7">
        <v>30</v>
      </c>
      <c r="N60" s="7">
        <v>60</v>
      </c>
      <c r="O60" s="7">
        <v>45</v>
      </c>
      <c r="P60" s="7">
        <v>264</v>
      </c>
    </row>
    <row r="61" spans="1:16" s="10" customFormat="1">
      <c r="A61" s="7">
        <f>IF(B61="","",SUBTOTAL(103,$B$2:B61))</f>
        <v>60</v>
      </c>
      <c r="B61" s="8" t="s">
        <v>202</v>
      </c>
      <c r="C61" s="7" t="s">
        <v>216</v>
      </c>
      <c r="D61" s="9" t="s">
        <v>219</v>
      </c>
      <c r="E61" s="7" t="s">
        <v>214</v>
      </c>
      <c r="F61" s="7" t="s">
        <v>151</v>
      </c>
      <c r="G61" s="7" t="s">
        <v>220</v>
      </c>
      <c r="H61" s="7">
        <v>0.127</v>
      </c>
      <c r="I61" s="7">
        <v>40</v>
      </c>
      <c r="J61" s="7">
        <v>800</v>
      </c>
      <c r="K61" s="7">
        <v>600</v>
      </c>
      <c r="L61" s="7">
        <v>150</v>
      </c>
      <c r="M61" s="7">
        <v>30</v>
      </c>
      <c r="N61" s="7">
        <v>60</v>
      </c>
      <c r="O61" s="7">
        <v>45</v>
      </c>
      <c r="P61" s="7">
        <v>264</v>
      </c>
    </row>
    <row r="62" spans="1:16" s="10" customFormat="1">
      <c r="A62" s="7">
        <f>IF(B62="","",SUBTOTAL(103,$B$2:B62))</f>
        <v>61</v>
      </c>
      <c r="B62" s="8" t="s">
        <v>202</v>
      </c>
      <c r="C62" s="7" t="s">
        <v>221</v>
      </c>
      <c r="D62" s="9" t="s">
        <v>222</v>
      </c>
      <c r="E62" s="7" t="s">
        <v>214</v>
      </c>
      <c r="F62" s="7" t="s">
        <v>155</v>
      </c>
      <c r="G62" s="7" t="s">
        <v>223</v>
      </c>
      <c r="H62" s="7">
        <v>0.65</v>
      </c>
      <c r="I62" s="7">
        <v>8</v>
      </c>
      <c r="J62" s="7">
        <v>800</v>
      </c>
      <c r="K62" s="7">
        <v>600</v>
      </c>
      <c r="L62" s="7">
        <v>150</v>
      </c>
      <c r="M62" s="7">
        <v>30</v>
      </c>
      <c r="N62" s="7">
        <v>60</v>
      </c>
      <c r="O62" s="7">
        <v>225</v>
      </c>
      <c r="P62" s="7">
        <v>300</v>
      </c>
    </row>
    <row r="63" spans="1:16" s="10" customFormat="1">
      <c r="A63" s="7">
        <f>IF(B63="","",SUBTOTAL(103,$B$2:B63))</f>
        <v>62</v>
      </c>
      <c r="B63" s="8" t="s">
        <v>202</v>
      </c>
      <c r="C63" s="7" t="s">
        <v>221</v>
      </c>
      <c r="D63" s="9" t="s">
        <v>224</v>
      </c>
      <c r="E63" s="7" t="s">
        <v>214</v>
      </c>
      <c r="F63" s="7" t="s">
        <v>158</v>
      </c>
      <c r="G63" s="7" t="s">
        <v>225</v>
      </c>
      <c r="H63" s="7">
        <v>0.65</v>
      </c>
      <c r="I63" s="7">
        <v>8</v>
      </c>
      <c r="J63" s="7">
        <v>800</v>
      </c>
      <c r="K63" s="7">
        <v>600</v>
      </c>
      <c r="L63" s="7">
        <v>150</v>
      </c>
      <c r="M63" s="7">
        <v>30</v>
      </c>
      <c r="N63" s="7">
        <v>60</v>
      </c>
      <c r="O63" s="7">
        <v>225</v>
      </c>
      <c r="P63" s="7">
        <v>300</v>
      </c>
    </row>
    <row r="64" spans="1:16" s="10" customFormat="1">
      <c r="A64" s="7">
        <f>IF(B64="","",SUBTOTAL(103,$B$2:B64))</f>
        <v>63</v>
      </c>
      <c r="B64" s="8" t="s">
        <v>202</v>
      </c>
      <c r="C64" s="7" t="s">
        <v>226</v>
      </c>
      <c r="D64" s="9" t="s">
        <v>227</v>
      </c>
      <c r="E64" s="7" t="s">
        <v>214</v>
      </c>
      <c r="F64" s="7" t="s">
        <v>162</v>
      </c>
      <c r="G64" s="7" t="s">
        <v>228</v>
      </c>
      <c r="H64" s="7">
        <v>0.48</v>
      </c>
      <c r="I64" s="7">
        <v>8</v>
      </c>
      <c r="J64" s="7">
        <v>800</v>
      </c>
      <c r="K64" s="7">
        <v>600</v>
      </c>
      <c r="L64" s="7">
        <v>150</v>
      </c>
      <c r="M64" s="7">
        <v>30</v>
      </c>
      <c r="N64" s="7">
        <v>60</v>
      </c>
      <c r="O64" s="7">
        <v>225</v>
      </c>
      <c r="P64" s="7">
        <v>300</v>
      </c>
    </row>
    <row r="65" spans="1:16" s="10" customFormat="1">
      <c r="A65" s="7">
        <f>IF(B65="","",SUBTOTAL(103,$B$2:B65))</f>
        <v>64</v>
      </c>
      <c r="B65" s="8" t="s">
        <v>202</v>
      </c>
      <c r="C65" s="7" t="s">
        <v>226</v>
      </c>
      <c r="D65" s="9" t="s">
        <v>229</v>
      </c>
      <c r="E65" s="7" t="s">
        <v>214</v>
      </c>
      <c r="F65" s="7" t="s">
        <v>165</v>
      </c>
      <c r="G65" s="7" t="s">
        <v>230</v>
      </c>
      <c r="H65" s="7">
        <v>0.48</v>
      </c>
      <c r="I65" s="7">
        <v>8</v>
      </c>
      <c r="J65" s="7">
        <v>800</v>
      </c>
      <c r="K65" s="7">
        <v>600</v>
      </c>
      <c r="L65" s="7">
        <v>150</v>
      </c>
      <c r="M65" s="7">
        <v>30</v>
      </c>
      <c r="N65" s="7">
        <v>60</v>
      </c>
      <c r="O65" s="7">
        <v>225</v>
      </c>
      <c r="P65" s="7">
        <v>300</v>
      </c>
    </row>
    <row r="66" spans="1:16" s="10" customFormat="1">
      <c r="A66" s="7">
        <f>IF(B66="","",SUBTOTAL(103,$B$2:B66))</f>
        <v>65</v>
      </c>
      <c r="B66" s="8" t="s">
        <v>202</v>
      </c>
      <c r="C66" s="7" t="s">
        <v>231</v>
      </c>
      <c r="D66" s="9" t="s">
        <v>232</v>
      </c>
      <c r="E66" s="7" t="s">
        <v>214</v>
      </c>
      <c r="F66" s="7" t="s">
        <v>169</v>
      </c>
      <c r="G66" s="7" t="s">
        <v>233</v>
      </c>
      <c r="H66" s="7">
        <v>1.1080000000000001</v>
      </c>
      <c r="I66" s="7">
        <v>6</v>
      </c>
      <c r="J66" s="7">
        <v>800</v>
      </c>
      <c r="K66" s="7">
        <v>600</v>
      </c>
      <c r="L66" s="7">
        <v>150</v>
      </c>
      <c r="M66" s="7">
        <v>30</v>
      </c>
      <c r="N66" s="7">
        <v>60</v>
      </c>
      <c r="O66" s="7">
        <v>310</v>
      </c>
      <c r="P66" s="7">
        <v>420</v>
      </c>
    </row>
    <row r="67" spans="1:16" s="10" customFormat="1">
      <c r="A67" s="7">
        <f>IF(B67="","",SUBTOTAL(103,$B$2:B67))</f>
        <v>66</v>
      </c>
      <c r="B67" s="8" t="s">
        <v>202</v>
      </c>
      <c r="C67" s="7" t="s">
        <v>231</v>
      </c>
      <c r="D67" s="9" t="s">
        <v>234</v>
      </c>
      <c r="E67" s="7" t="s">
        <v>214</v>
      </c>
      <c r="F67" s="7" t="s">
        <v>172</v>
      </c>
      <c r="G67" s="7" t="s">
        <v>235</v>
      </c>
      <c r="H67" s="7">
        <v>1.08</v>
      </c>
      <c r="I67" s="7">
        <v>6</v>
      </c>
      <c r="J67" s="7">
        <v>800</v>
      </c>
      <c r="K67" s="7">
        <v>600</v>
      </c>
      <c r="L67" s="7">
        <v>150</v>
      </c>
      <c r="M67" s="7">
        <v>30</v>
      </c>
      <c r="N67" s="7">
        <v>60</v>
      </c>
      <c r="O67" s="7">
        <v>310</v>
      </c>
      <c r="P67" s="7">
        <v>420</v>
      </c>
    </row>
    <row r="68" spans="1:16" s="10" customFormat="1">
      <c r="A68" s="7">
        <f>IF(B68="","",SUBTOTAL(103,$B$2:B68))</f>
        <v>67</v>
      </c>
      <c r="B68" s="8" t="s">
        <v>202</v>
      </c>
      <c r="C68" s="7" t="s">
        <v>236</v>
      </c>
      <c r="D68" s="9" t="s">
        <v>237</v>
      </c>
      <c r="E68" s="7" t="s">
        <v>214</v>
      </c>
      <c r="F68" s="7" t="s">
        <v>193</v>
      </c>
      <c r="G68" s="7" t="s">
        <v>238</v>
      </c>
      <c r="H68" s="7">
        <v>0.21</v>
      </c>
      <c r="I68" s="7">
        <v>36</v>
      </c>
      <c r="J68" s="7">
        <v>800</v>
      </c>
      <c r="K68" s="7">
        <v>600</v>
      </c>
      <c r="L68" s="7">
        <v>150</v>
      </c>
      <c r="M68" s="7">
        <v>30</v>
      </c>
      <c r="N68" s="7">
        <v>60</v>
      </c>
      <c r="O68" s="7">
        <v>55</v>
      </c>
      <c r="P68" s="7">
        <v>276</v>
      </c>
    </row>
    <row r="69" spans="1:16" s="10" customFormat="1">
      <c r="A69" s="7">
        <f>IF(B69="","",SUBTOTAL(103,$B$2:B69))</f>
        <v>68</v>
      </c>
      <c r="B69" s="8" t="s">
        <v>202</v>
      </c>
      <c r="C69" s="7" t="s">
        <v>236</v>
      </c>
      <c r="D69" s="9" t="s">
        <v>239</v>
      </c>
      <c r="E69" s="7" t="s">
        <v>214</v>
      </c>
      <c r="F69" s="7" t="s">
        <v>240</v>
      </c>
      <c r="G69" s="7" t="s">
        <v>241</v>
      </c>
      <c r="H69" s="7">
        <v>0.21</v>
      </c>
      <c r="I69" s="7">
        <v>36</v>
      </c>
      <c r="J69" s="7">
        <v>800</v>
      </c>
      <c r="K69" s="7">
        <v>600</v>
      </c>
      <c r="L69" s="7">
        <v>150</v>
      </c>
      <c r="M69" s="7">
        <v>30</v>
      </c>
      <c r="N69" s="7">
        <v>60</v>
      </c>
      <c r="O69" s="7">
        <v>55</v>
      </c>
      <c r="P69" s="7">
        <v>276</v>
      </c>
    </row>
    <row r="70" spans="1:16" s="10" customFormat="1">
      <c r="A70" s="7">
        <f>IF(B70="","",SUBTOTAL(103,$B$2:B70))</f>
        <v>69</v>
      </c>
      <c r="B70" s="8" t="s">
        <v>202</v>
      </c>
      <c r="C70" s="7" t="s">
        <v>242</v>
      </c>
      <c r="D70" s="9" t="s">
        <v>243</v>
      </c>
      <c r="E70" s="7" t="s">
        <v>214</v>
      </c>
      <c r="F70" s="7" t="s">
        <v>197</v>
      </c>
      <c r="G70" s="7" t="s">
        <v>244</v>
      </c>
      <c r="H70" s="7">
        <v>0.12</v>
      </c>
      <c r="I70" s="7">
        <v>44</v>
      </c>
      <c r="J70" s="7">
        <v>800</v>
      </c>
      <c r="K70" s="7">
        <v>600</v>
      </c>
      <c r="L70" s="7">
        <v>150</v>
      </c>
      <c r="M70" s="7">
        <v>30</v>
      </c>
      <c r="N70" s="7">
        <v>60</v>
      </c>
      <c r="O70" s="7">
        <v>45</v>
      </c>
      <c r="P70" s="7">
        <v>252</v>
      </c>
    </row>
    <row r="71" spans="1:16" s="10" customFormat="1">
      <c r="A71" s="7">
        <f>IF(B71="","",SUBTOTAL(103,$B$2:B71))</f>
        <v>70</v>
      </c>
      <c r="B71" s="8" t="s">
        <v>202</v>
      </c>
      <c r="C71" s="7" t="s">
        <v>242</v>
      </c>
      <c r="D71" s="9" t="s">
        <v>245</v>
      </c>
      <c r="E71" s="7" t="s">
        <v>214</v>
      </c>
      <c r="F71" s="7" t="s">
        <v>200</v>
      </c>
      <c r="G71" s="7" t="s">
        <v>246</v>
      </c>
      <c r="H71" s="7">
        <v>0.12</v>
      </c>
      <c r="I71" s="7">
        <v>44</v>
      </c>
      <c r="J71" s="7">
        <v>800</v>
      </c>
      <c r="K71" s="7">
        <v>600</v>
      </c>
      <c r="L71" s="7">
        <v>150</v>
      </c>
      <c r="M71" s="7">
        <v>30</v>
      </c>
      <c r="N71" s="7">
        <v>60</v>
      </c>
      <c r="O71" s="7">
        <v>45</v>
      </c>
      <c r="P71" s="7">
        <v>252</v>
      </c>
    </row>
    <row r="72" spans="1:16" s="10" customFormat="1">
      <c r="A72" s="7">
        <f>IF(B72="","",SUBTOTAL(103,$B$2:B72))</f>
        <v>71</v>
      </c>
      <c r="B72" s="8" t="s">
        <v>247</v>
      </c>
      <c r="C72" s="7" t="s">
        <v>248</v>
      </c>
      <c r="D72" s="9" t="s">
        <v>249</v>
      </c>
      <c r="E72" s="7" t="s">
        <v>250</v>
      </c>
      <c r="F72" s="7" t="s">
        <v>183</v>
      </c>
      <c r="G72" s="7" t="s">
        <v>251</v>
      </c>
      <c r="H72" s="7">
        <v>2.2999999999999998</v>
      </c>
      <c r="I72" s="7">
        <v>4</v>
      </c>
      <c r="J72" s="7">
        <v>800</v>
      </c>
      <c r="K72" s="7">
        <v>600</v>
      </c>
      <c r="L72" s="7">
        <v>150</v>
      </c>
      <c r="M72" s="7">
        <v>30</v>
      </c>
      <c r="N72" s="7">
        <v>120</v>
      </c>
      <c r="O72" s="7">
        <v>500</v>
      </c>
      <c r="P72" s="7">
        <v>720</v>
      </c>
    </row>
    <row r="73" spans="1:16" s="10" customFormat="1">
      <c r="A73" s="7">
        <f>IF(B73="","",SUBTOTAL(103,$B$2:B73))</f>
        <v>72</v>
      </c>
      <c r="B73" s="8" t="s">
        <v>247</v>
      </c>
      <c r="C73" s="7" t="s">
        <v>252</v>
      </c>
      <c r="D73" s="9" t="s">
        <v>253</v>
      </c>
      <c r="E73" s="7" t="s">
        <v>254</v>
      </c>
      <c r="F73" s="7" t="s">
        <v>49</v>
      </c>
      <c r="G73" s="7" t="s">
        <v>255</v>
      </c>
      <c r="H73" s="7">
        <v>0.24</v>
      </c>
      <c r="I73" s="7">
        <v>32</v>
      </c>
      <c r="J73" s="7">
        <v>800</v>
      </c>
      <c r="K73" s="7">
        <v>600</v>
      </c>
      <c r="L73" s="7">
        <v>150</v>
      </c>
      <c r="M73" s="7">
        <v>30</v>
      </c>
      <c r="N73" s="7">
        <v>60</v>
      </c>
      <c r="O73" s="7">
        <v>54</v>
      </c>
      <c r="P73" s="7">
        <v>360</v>
      </c>
    </row>
    <row r="74" spans="1:16" s="10" customFormat="1">
      <c r="A74" s="7">
        <f>IF(B74="","",SUBTOTAL(103,$B$2:B74))</f>
        <v>73</v>
      </c>
      <c r="B74" s="8" t="s">
        <v>247</v>
      </c>
      <c r="C74" s="7" t="s">
        <v>256</v>
      </c>
      <c r="D74" s="9" t="s">
        <v>257</v>
      </c>
      <c r="E74" s="7" t="s">
        <v>254</v>
      </c>
      <c r="F74" s="7" t="s">
        <v>53</v>
      </c>
      <c r="G74" s="7" t="s">
        <v>258</v>
      </c>
      <c r="H74" s="7">
        <v>0.09</v>
      </c>
      <c r="I74" s="7">
        <v>40</v>
      </c>
      <c r="J74" s="7">
        <v>800</v>
      </c>
      <c r="K74" s="7">
        <v>600</v>
      </c>
      <c r="L74" s="7">
        <v>150</v>
      </c>
      <c r="M74" s="7">
        <v>30</v>
      </c>
      <c r="N74" s="7">
        <v>60</v>
      </c>
      <c r="O74" s="7">
        <v>45</v>
      </c>
      <c r="P74" s="7">
        <v>264</v>
      </c>
    </row>
    <row r="75" spans="1:16" s="10" customFormat="1">
      <c r="A75" s="7">
        <f>IF(B75="","",SUBTOTAL(103,$B$2:B75))</f>
        <v>74</v>
      </c>
      <c r="B75" s="8" t="s">
        <v>247</v>
      </c>
      <c r="C75" s="7" t="s">
        <v>259</v>
      </c>
      <c r="D75" s="9" t="s">
        <v>260</v>
      </c>
      <c r="E75" s="7" t="s">
        <v>254</v>
      </c>
      <c r="F75" s="7" t="s">
        <v>56</v>
      </c>
      <c r="G75" s="7" t="s">
        <v>261</v>
      </c>
      <c r="H75" s="7">
        <v>0.1</v>
      </c>
      <c r="I75" s="7">
        <v>56</v>
      </c>
      <c r="J75" s="7">
        <v>800</v>
      </c>
      <c r="K75" s="7">
        <v>600</v>
      </c>
      <c r="L75" s="7">
        <v>150</v>
      </c>
      <c r="M75" s="7">
        <v>30</v>
      </c>
      <c r="N75" s="7">
        <v>60</v>
      </c>
      <c r="O75" s="7">
        <v>34</v>
      </c>
      <c r="P75" s="7">
        <v>198</v>
      </c>
    </row>
    <row r="76" spans="1:16" s="10" customFormat="1">
      <c r="A76" s="7">
        <f>IF(B76="","",SUBTOTAL(103,$B$2:B76))</f>
        <v>75</v>
      </c>
      <c r="B76" s="8" t="s">
        <v>247</v>
      </c>
      <c r="C76" s="7" t="s">
        <v>262</v>
      </c>
      <c r="D76" s="9" t="s">
        <v>263</v>
      </c>
      <c r="E76" s="7" t="s">
        <v>254</v>
      </c>
      <c r="F76" s="7" t="s">
        <v>59</v>
      </c>
      <c r="G76" s="7" t="s">
        <v>264</v>
      </c>
      <c r="H76" s="7">
        <v>0.49299999999999999</v>
      </c>
      <c r="I76" s="7">
        <v>8</v>
      </c>
      <c r="J76" s="7">
        <v>800</v>
      </c>
      <c r="K76" s="7">
        <v>600</v>
      </c>
      <c r="L76" s="7">
        <v>150</v>
      </c>
      <c r="M76" s="7">
        <v>30</v>
      </c>
      <c r="N76" s="7">
        <v>60</v>
      </c>
      <c r="O76" s="7">
        <v>225</v>
      </c>
      <c r="P76" s="7">
        <v>300</v>
      </c>
    </row>
    <row r="77" spans="1:16" s="10" customFormat="1">
      <c r="A77" s="7">
        <f>IF(B77="","",SUBTOTAL(103,$B$2:B77))</f>
        <v>76</v>
      </c>
      <c r="B77" s="8" t="s">
        <v>247</v>
      </c>
      <c r="C77" s="7" t="s">
        <v>265</v>
      </c>
      <c r="D77" s="9" t="s">
        <v>266</v>
      </c>
      <c r="E77" s="7" t="s">
        <v>254</v>
      </c>
      <c r="F77" s="7" t="s">
        <v>34</v>
      </c>
      <c r="G77" s="7" t="s">
        <v>267</v>
      </c>
      <c r="H77" s="7">
        <v>0.33</v>
      </c>
      <c r="I77" s="7">
        <v>22</v>
      </c>
      <c r="J77" s="7">
        <v>800</v>
      </c>
      <c r="K77" s="7">
        <v>600</v>
      </c>
      <c r="L77" s="7">
        <v>150</v>
      </c>
      <c r="M77" s="7">
        <v>30</v>
      </c>
      <c r="N77" s="7">
        <v>60</v>
      </c>
      <c r="O77" s="7">
        <v>90</v>
      </c>
      <c r="P77" s="7">
        <v>450</v>
      </c>
    </row>
    <row r="78" spans="1:16" s="10" customFormat="1">
      <c r="A78" s="7">
        <f>IF(B78="","",SUBTOTAL(103,$B$2:B78))</f>
        <v>77</v>
      </c>
      <c r="B78" s="8" t="s">
        <v>247</v>
      </c>
      <c r="C78" s="7" t="s">
        <v>268</v>
      </c>
      <c r="D78" s="9" t="s">
        <v>269</v>
      </c>
      <c r="E78" s="7" t="s">
        <v>254</v>
      </c>
      <c r="F78" s="7" t="s">
        <v>64</v>
      </c>
      <c r="G78" s="7" t="s">
        <v>270</v>
      </c>
      <c r="H78" s="7">
        <v>0.80400000000000005</v>
      </c>
      <c r="I78" s="7">
        <v>6</v>
      </c>
      <c r="J78" s="7">
        <v>800</v>
      </c>
      <c r="K78" s="7">
        <v>600</v>
      </c>
      <c r="L78" s="7">
        <v>150</v>
      </c>
      <c r="M78" s="7">
        <v>30</v>
      </c>
      <c r="N78" s="7">
        <v>60</v>
      </c>
      <c r="O78" s="7">
        <v>310</v>
      </c>
      <c r="P78" s="7">
        <v>420</v>
      </c>
    </row>
    <row r="79" spans="1:16" s="10" customFormat="1">
      <c r="A79" s="7">
        <f>IF(B79="","",SUBTOTAL(103,$B$2:B79))</f>
        <v>78</v>
      </c>
      <c r="B79" s="8" t="s">
        <v>247</v>
      </c>
      <c r="C79" s="7" t="s">
        <v>271</v>
      </c>
      <c r="D79" s="9" t="s">
        <v>272</v>
      </c>
      <c r="E79" s="7" t="s">
        <v>254</v>
      </c>
      <c r="F79" s="7" t="s">
        <v>273</v>
      </c>
      <c r="G79" s="7" t="s">
        <v>274</v>
      </c>
      <c r="H79" s="7">
        <v>1.538</v>
      </c>
      <c r="I79" s="7">
        <v>4</v>
      </c>
      <c r="J79" s="7">
        <v>800</v>
      </c>
      <c r="K79" s="7">
        <v>600</v>
      </c>
      <c r="L79" s="7">
        <v>150</v>
      </c>
      <c r="M79" s="7">
        <v>30</v>
      </c>
      <c r="N79" s="7">
        <v>60</v>
      </c>
      <c r="O79" s="7">
        <v>500</v>
      </c>
      <c r="P79" s="7">
        <v>720</v>
      </c>
    </row>
    <row r="80" spans="1:16" s="10" customFormat="1">
      <c r="A80" s="7">
        <f>IF(B80="","",SUBTOTAL(103,$B$2:B80))</f>
        <v>79</v>
      </c>
      <c r="B80" s="8" t="s">
        <v>247</v>
      </c>
      <c r="C80" s="7" t="s">
        <v>275</v>
      </c>
      <c r="D80" s="9" t="s">
        <v>276</v>
      </c>
      <c r="E80" s="7" t="s">
        <v>254</v>
      </c>
      <c r="F80" s="7" t="s">
        <v>67</v>
      </c>
      <c r="G80" s="7" t="s">
        <v>277</v>
      </c>
      <c r="H80" s="7">
        <v>2.2999999999999998</v>
      </c>
      <c r="I80" s="7">
        <v>32</v>
      </c>
      <c r="J80" s="7">
        <v>800</v>
      </c>
      <c r="K80" s="7">
        <v>600</v>
      </c>
      <c r="L80" s="7">
        <v>150</v>
      </c>
      <c r="M80" s="7">
        <v>30</v>
      </c>
      <c r="N80" s="7">
        <v>60</v>
      </c>
      <c r="O80" s="7">
        <v>54</v>
      </c>
      <c r="P80" s="7">
        <v>276</v>
      </c>
    </row>
    <row r="81" spans="1:16" s="10" customFormat="1">
      <c r="A81" s="7">
        <f>IF(B81="","",SUBTOTAL(103,$B$2:B81))</f>
        <v>80</v>
      </c>
      <c r="B81" s="8" t="s">
        <v>247</v>
      </c>
      <c r="C81" s="7" t="s">
        <v>278</v>
      </c>
      <c r="D81" s="9" t="s">
        <v>279</v>
      </c>
      <c r="E81" s="7" t="s">
        <v>254</v>
      </c>
      <c r="F81" s="7" t="s">
        <v>45</v>
      </c>
      <c r="G81" s="7" t="s">
        <v>280</v>
      </c>
      <c r="H81" s="7">
        <v>0.09</v>
      </c>
      <c r="I81" s="7">
        <v>56</v>
      </c>
      <c r="J81" s="7">
        <v>800</v>
      </c>
      <c r="K81" s="7">
        <v>600</v>
      </c>
      <c r="L81" s="7">
        <v>150</v>
      </c>
      <c r="M81" s="7">
        <v>30</v>
      </c>
      <c r="N81" s="7">
        <v>60</v>
      </c>
      <c r="O81" s="7">
        <v>34</v>
      </c>
      <c r="P81" s="7">
        <v>252</v>
      </c>
    </row>
    <row r="82" spans="1:16" s="10" customFormat="1">
      <c r="A82" s="7">
        <f>IF(B82="","",SUBTOTAL(103,$B$2:B82))</f>
        <v>81</v>
      </c>
      <c r="B82" s="8" t="s">
        <v>87</v>
      </c>
      <c r="C82" s="7" t="s">
        <v>88</v>
      </c>
      <c r="D82" s="9" t="s">
        <v>281</v>
      </c>
      <c r="E82" s="7" t="s">
        <v>282</v>
      </c>
      <c r="F82" s="7" t="s">
        <v>49</v>
      </c>
      <c r="G82" s="7" t="s">
        <v>283</v>
      </c>
      <c r="H82" s="7">
        <v>0.42699999999999999</v>
      </c>
      <c r="I82" s="7">
        <v>10</v>
      </c>
      <c r="J82" s="7">
        <v>800</v>
      </c>
      <c r="K82" s="7">
        <v>600</v>
      </c>
      <c r="L82" s="7">
        <v>150</v>
      </c>
      <c r="M82" s="7">
        <v>30</v>
      </c>
      <c r="N82" s="7">
        <v>120</v>
      </c>
      <c r="O82" s="7">
        <v>195</v>
      </c>
      <c r="P82" s="7">
        <v>360</v>
      </c>
    </row>
    <row r="83" spans="1:16" s="10" customFormat="1">
      <c r="A83" s="7">
        <f>IF(B83="","",SUBTOTAL(103,$B$2:B83))</f>
        <v>82</v>
      </c>
      <c r="B83" s="8" t="s">
        <v>87</v>
      </c>
      <c r="C83" s="7" t="s">
        <v>92</v>
      </c>
      <c r="D83" s="9" t="s">
        <v>284</v>
      </c>
      <c r="E83" s="7" t="s">
        <v>282</v>
      </c>
      <c r="F83" s="7" t="s">
        <v>53</v>
      </c>
      <c r="G83" s="7" t="s">
        <v>285</v>
      </c>
      <c r="H83" s="7">
        <v>0.19</v>
      </c>
      <c r="I83" s="7">
        <v>28</v>
      </c>
      <c r="J83" s="7">
        <v>800</v>
      </c>
      <c r="K83" s="7">
        <v>600</v>
      </c>
      <c r="L83" s="7">
        <v>150</v>
      </c>
      <c r="M83" s="7">
        <v>30</v>
      </c>
      <c r="N83" s="7">
        <v>120</v>
      </c>
      <c r="O83" s="7">
        <v>70</v>
      </c>
      <c r="P83" s="7">
        <v>282</v>
      </c>
    </row>
    <row r="84" spans="1:16" s="10" customFormat="1">
      <c r="A84" s="7">
        <f>IF(B84="","",SUBTOTAL(103,$B$2:B84))</f>
        <v>83</v>
      </c>
      <c r="B84" s="8" t="s">
        <v>87</v>
      </c>
      <c r="C84" s="7" t="s">
        <v>101</v>
      </c>
      <c r="D84" s="9" t="s">
        <v>286</v>
      </c>
      <c r="E84" s="7" t="s">
        <v>282</v>
      </c>
      <c r="F84" s="7" t="s">
        <v>56</v>
      </c>
      <c r="G84" s="7" t="s">
        <v>287</v>
      </c>
      <c r="H84" s="7">
        <v>0.16600000000000001</v>
      </c>
      <c r="I84" s="7">
        <v>28</v>
      </c>
      <c r="J84" s="7">
        <v>800</v>
      </c>
      <c r="K84" s="7">
        <v>600</v>
      </c>
      <c r="L84" s="7">
        <v>150</v>
      </c>
      <c r="M84" s="7">
        <v>30</v>
      </c>
      <c r="N84" s="7">
        <v>120</v>
      </c>
      <c r="O84" s="7">
        <v>70</v>
      </c>
      <c r="P84" s="7">
        <v>198</v>
      </c>
    </row>
    <row r="85" spans="1:16" s="10" customFormat="1">
      <c r="A85" s="7">
        <f>IF(B85="","",SUBTOTAL(103,$B$2:B85))</f>
        <v>84</v>
      </c>
      <c r="B85" s="8" t="s">
        <v>87</v>
      </c>
      <c r="C85" s="7" t="s">
        <v>104</v>
      </c>
      <c r="D85" s="9" t="s">
        <v>288</v>
      </c>
      <c r="E85" s="7" t="s">
        <v>282</v>
      </c>
      <c r="F85" s="7" t="s">
        <v>59</v>
      </c>
      <c r="G85" s="7" t="s">
        <v>289</v>
      </c>
      <c r="H85" s="7">
        <v>0.85</v>
      </c>
      <c r="I85" s="7">
        <v>3</v>
      </c>
      <c r="J85" s="7">
        <v>800</v>
      </c>
      <c r="K85" s="7">
        <v>600</v>
      </c>
      <c r="L85" s="7">
        <v>150</v>
      </c>
      <c r="M85" s="7">
        <v>30</v>
      </c>
      <c r="N85" s="7">
        <v>120</v>
      </c>
      <c r="O85" s="7">
        <v>650</v>
      </c>
      <c r="P85" s="7">
        <v>810</v>
      </c>
    </row>
    <row r="86" spans="1:16" s="10" customFormat="1">
      <c r="A86" s="7">
        <f>IF(B86="","",SUBTOTAL(103,$B$2:B86))</f>
        <v>85</v>
      </c>
      <c r="B86" s="8" t="s">
        <v>87</v>
      </c>
      <c r="C86" s="7" t="s">
        <v>107</v>
      </c>
      <c r="D86" s="9" t="s">
        <v>290</v>
      </c>
      <c r="E86" s="7" t="s">
        <v>282</v>
      </c>
      <c r="F86" s="7" t="s">
        <v>34</v>
      </c>
      <c r="G86" s="7" t="s">
        <v>291</v>
      </c>
      <c r="H86" s="7">
        <v>0.65700000000000003</v>
      </c>
      <c r="I86" s="7">
        <v>8</v>
      </c>
      <c r="J86" s="7">
        <v>800</v>
      </c>
      <c r="K86" s="7">
        <v>600</v>
      </c>
      <c r="L86" s="7">
        <v>150</v>
      </c>
      <c r="M86" s="7">
        <v>30</v>
      </c>
      <c r="N86" s="7">
        <v>120</v>
      </c>
      <c r="O86" s="7">
        <v>225</v>
      </c>
      <c r="P86" s="7">
        <v>300</v>
      </c>
    </row>
    <row r="87" spans="1:16" s="10" customFormat="1">
      <c r="A87" s="7">
        <f>IF(B87="","",SUBTOTAL(103,$B$2:B87))</f>
        <v>86</v>
      </c>
      <c r="B87" s="8" t="s">
        <v>87</v>
      </c>
      <c r="C87" s="7" t="s">
        <v>111</v>
      </c>
      <c r="D87" s="9" t="s">
        <v>292</v>
      </c>
      <c r="E87" s="7" t="s">
        <v>282</v>
      </c>
      <c r="F87" s="7" t="s">
        <v>64</v>
      </c>
      <c r="G87" s="7" t="s">
        <v>293</v>
      </c>
      <c r="H87" s="7">
        <v>0.05</v>
      </c>
      <c r="I87" s="7">
        <v>3</v>
      </c>
      <c r="J87" s="7">
        <v>800</v>
      </c>
      <c r="K87" s="7">
        <v>600</v>
      </c>
      <c r="L87" s="7">
        <v>150</v>
      </c>
      <c r="M87" s="7">
        <v>30</v>
      </c>
      <c r="N87" s="7">
        <v>120</v>
      </c>
      <c r="O87" s="7">
        <v>650</v>
      </c>
      <c r="P87" s="7">
        <v>810</v>
      </c>
    </row>
    <row r="88" spans="1:16" s="10" customFormat="1">
      <c r="A88" s="7">
        <f>IF(B88="","",SUBTOTAL(103,$B$2:B88))</f>
        <v>87</v>
      </c>
      <c r="B88" s="8" t="s">
        <v>87</v>
      </c>
      <c r="C88" s="7" t="s">
        <v>294</v>
      </c>
      <c r="D88" s="9" t="s">
        <v>295</v>
      </c>
      <c r="E88" s="7" t="s">
        <v>282</v>
      </c>
      <c r="F88" s="7" t="s">
        <v>273</v>
      </c>
      <c r="G88" s="7" t="s">
        <v>296</v>
      </c>
      <c r="H88" s="7">
        <v>2.69</v>
      </c>
      <c r="I88" s="7">
        <v>2</v>
      </c>
      <c r="J88" s="7">
        <v>800</v>
      </c>
      <c r="K88" s="7">
        <v>600</v>
      </c>
      <c r="L88" s="7">
        <v>150</v>
      </c>
      <c r="M88" s="7">
        <v>30</v>
      </c>
      <c r="N88" s="7">
        <v>120</v>
      </c>
      <c r="O88" s="7">
        <v>1000</v>
      </c>
      <c r="P88" s="7">
        <v>1320</v>
      </c>
    </row>
    <row r="89" spans="1:16" s="10" customFormat="1">
      <c r="A89" s="7">
        <f>IF(B89="","",SUBTOTAL(103,$B$2:B89))</f>
        <v>88</v>
      </c>
      <c r="B89" s="8" t="s">
        <v>87</v>
      </c>
      <c r="C89" s="7" t="s">
        <v>297</v>
      </c>
      <c r="D89" s="9" t="s">
        <v>298</v>
      </c>
      <c r="E89" s="7" t="s">
        <v>282</v>
      </c>
      <c r="F89" s="7" t="s">
        <v>183</v>
      </c>
      <c r="G89" s="7" t="s">
        <v>299</v>
      </c>
      <c r="H89" s="7">
        <v>1.4</v>
      </c>
      <c r="I89" s="7">
        <v>1</v>
      </c>
      <c r="J89" s="7">
        <v>800</v>
      </c>
      <c r="K89" s="7">
        <v>600</v>
      </c>
      <c r="L89" s="7">
        <v>150</v>
      </c>
      <c r="M89" s="7">
        <v>30</v>
      </c>
      <c r="N89" s="7">
        <v>120</v>
      </c>
      <c r="O89" s="7">
        <v>2000</v>
      </c>
      <c r="P89" s="7">
        <v>2460</v>
      </c>
    </row>
    <row r="90" spans="1:16" s="10" customFormat="1">
      <c r="A90" s="7">
        <f>IF(B90="","",SUBTOTAL(103,$B$2:B90))</f>
        <v>89</v>
      </c>
      <c r="B90" s="8" t="s">
        <v>87</v>
      </c>
      <c r="C90" s="7" t="s">
        <v>95</v>
      </c>
      <c r="D90" s="9" t="s">
        <v>300</v>
      </c>
      <c r="E90" s="7" t="s">
        <v>282</v>
      </c>
      <c r="F90" s="7" t="s">
        <v>67</v>
      </c>
      <c r="G90" s="7" t="s">
        <v>301</v>
      </c>
      <c r="H90" s="7">
        <v>0.26600000000000001</v>
      </c>
      <c r="I90" s="7">
        <v>12</v>
      </c>
      <c r="J90" s="7">
        <v>800</v>
      </c>
      <c r="K90" s="7">
        <v>600</v>
      </c>
      <c r="L90" s="7">
        <v>150</v>
      </c>
      <c r="M90" s="7">
        <v>30</v>
      </c>
      <c r="N90" s="7">
        <v>120</v>
      </c>
      <c r="O90" s="7">
        <v>150</v>
      </c>
      <c r="P90" s="7">
        <v>300</v>
      </c>
    </row>
    <row r="91" spans="1:16" s="10" customFormat="1">
      <c r="A91" s="7">
        <f>IF(B91="","",SUBTOTAL(103,$B$2:B91))</f>
        <v>90</v>
      </c>
      <c r="B91" s="8" t="s">
        <v>87</v>
      </c>
      <c r="C91" s="7" t="s">
        <v>118</v>
      </c>
      <c r="D91" s="9" t="s">
        <v>302</v>
      </c>
      <c r="E91" s="7" t="s">
        <v>282</v>
      </c>
      <c r="F91" s="7" t="s">
        <v>45</v>
      </c>
      <c r="G91" s="7" t="s">
        <v>303</v>
      </c>
      <c r="H91" s="7">
        <v>0.17</v>
      </c>
      <c r="I91" s="7">
        <v>32</v>
      </c>
      <c r="J91" s="7">
        <v>800</v>
      </c>
      <c r="K91" s="7">
        <v>600</v>
      </c>
      <c r="L91" s="7">
        <v>150</v>
      </c>
      <c r="M91" s="7">
        <v>30</v>
      </c>
      <c r="N91" s="7">
        <v>120</v>
      </c>
      <c r="O91" s="7">
        <v>54</v>
      </c>
      <c r="P91" s="7">
        <v>252</v>
      </c>
    </row>
    <row r="92" spans="1:16" s="10" customFormat="1">
      <c r="A92" s="7">
        <f>IF(B92="","",SUBTOTAL(103,$B$2:B92))</f>
        <v>91</v>
      </c>
      <c r="B92" s="8" t="s">
        <v>247</v>
      </c>
      <c r="C92" s="7" t="s">
        <v>271</v>
      </c>
      <c r="D92" s="9" t="s">
        <v>304</v>
      </c>
      <c r="E92" s="7" t="s">
        <v>305</v>
      </c>
      <c r="F92" s="7" t="s">
        <v>306</v>
      </c>
      <c r="G92" s="7" t="s">
        <v>307</v>
      </c>
      <c r="H92" s="7">
        <v>1.54</v>
      </c>
      <c r="I92" s="7">
        <v>4</v>
      </c>
      <c r="J92" s="7">
        <v>800</v>
      </c>
      <c r="K92" s="7">
        <v>600</v>
      </c>
      <c r="L92" s="7">
        <v>150</v>
      </c>
      <c r="M92" s="7">
        <v>30</v>
      </c>
      <c r="N92" s="7">
        <v>120</v>
      </c>
      <c r="O92" s="7">
        <v>500</v>
      </c>
      <c r="P92" s="7">
        <v>720</v>
      </c>
    </row>
    <row r="93" spans="1:16" s="10" customFormat="1">
      <c r="A93" s="7">
        <f>IF(B93="","",SUBTOTAL(103,$B$2:B93))</f>
        <v>92</v>
      </c>
      <c r="B93" s="8" t="s">
        <v>247</v>
      </c>
      <c r="C93" s="7" t="s">
        <v>248</v>
      </c>
      <c r="D93" s="9" t="s">
        <v>308</v>
      </c>
      <c r="E93" s="7" t="s">
        <v>305</v>
      </c>
      <c r="F93" s="7" t="s">
        <v>186</v>
      </c>
      <c r="G93" s="7" t="s">
        <v>309</v>
      </c>
      <c r="H93" s="7">
        <v>2.2999999999999998</v>
      </c>
      <c r="I93" s="7">
        <v>4</v>
      </c>
      <c r="J93" s="7">
        <v>800</v>
      </c>
      <c r="K93" s="7">
        <v>600</v>
      </c>
      <c r="L93" s="7">
        <v>150</v>
      </c>
      <c r="M93" s="7">
        <v>30</v>
      </c>
      <c r="N93" s="7">
        <v>120</v>
      </c>
      <c r="O93" s="7">
        <v>500</v>
      </c>
      <c r="P93" s="7">
        <v>720</v>
      </c>
    </row>
    <row r="94" spans="1:16" s="10" customFormat="1">
      <c r="A94" s="7">
        <f>IF(B94="","",SUBTOTAL(103,$B$2:B94))</f>
        <v>93</v>
      </c>
      <c r="B94" s="8" t="s">
        <v>310</v>
      </c>
      <c r="C94" s="7" t="s">
        <v>311</v>
      </c>
      <c r="D94" s="9" t="s">
        <v>312</v>
      </c>
      <c r="E94" s="7" t="s">
        <v>313</v>
      </c>
      <c r="F94" s="7" t="s">
        <v>314</v>
      </c>
      <c r="G94" s="7" t="s">
        <v>315</v>
      </c>
      <c r="H94" s="7">
        <v>0.25900000000000001</v>
      </c>
      <c r="I94" s="7">
        <v>12</v>
      </c>
      <c r="J94" s="7"/>
      <c r="K94" s="7"/>
      <c r="L94" s="7"/>
      <c r="M94" s="7"/>
      <c r="N94" s="7">
        <v>120</v>
      </c>
      <c r="O94" s="7">
        <v>150</v>
      </c>
      <c r="P94" s="7">
        <v>198</v>
      </c>
    </row>
    <row r="95" spans="1:16" s="10" customFormat="1">
      <c r="A95" s="7">
        <f>IF(B95="","",SUBTOTAL(103,$B$2:B95))</f>
        <v>94</v>
      </c>
      <c r="B95" s="8" t="s">
        <v>310</v>
      </c>
      <c r="C95" s="7" t="s">
        <v>316</v>
      </c>
      <c r="D95" s="9" t="s">
        <v>317</v>
      </c>
      <c r="E95" s="7" t="s">
        <v>318</v>
      </c>
      <c r="F95" s="7" t="s">
        <v>319</v>
      </c>
      <c r="G95" s="7" t="str">
        <f>E95&amp;F95</f>
        <v>FNW KV-020H 延伸支架毛坯NPS1 CF8</v>
      </c>
      <c r="H95" s="7">
        <v>0.39</v>
      </c>
      <c r="I95" s="7">
        <v>7</v>
      </c>
      <c r="J95" s="7"/>
      <c r="K95" s="7"/>
      <c r="L95" s="7"/>
      <c r="M95" s="7"/>
      <c r="N95" s="7">
        <v>120</v>
      </c>
      <c r="O95" s="7">
        <v>300</v>
      </c>
      <c r="P95" s="7">
        <v>400</v>
      </c>
    </row>
    <row r="96" spans="1:16" s="10" customFormat="1">
      <c r="A96" s="7">
        <f>IF(B96="","",SUBTOTAL(103,$B$2:B96))</f>
        <v>95</v>
      </c>
      <c r="B96" s="8" t="s">
        <v>320</v>
      </c>
      <c r="C96" s="7" t="s">
        <v>321</v>
      </c>
      <c r="D96" s="9" t="s">
        <v>322</v>
      </c>
      <c r="E96" s="7" t="s">
        <v>323</v>
      </c>
      <c r="F96" s="7" t="s">
        <v>18</v>
      </c>
      <c r="G96" s="7" t="s">
        <v>324</v>
      </c>
      <c r="H96" s="7">
        <v>0.28599999999999998</v>
      </c>
      <c r="I96" s="7">
        <v>10</v>
      </c>
      <c r="J96" s="7">
        <v>800</v>
      </c>
      <c r="K96" s="7">
        <v>600</v>
      </c>
      <c r="L96" s="7">
        <v>150</v>
      </c>
      <c r="M96" s="7">
        <v>30</v>
      </c>
      <c r="N96" s="7">
        <v>120</v>
      </c>
      <c r="O96" s="7">
        <v>195</v>
      </c>
      <c r="P96" s="7">
        <v>360</v>
      </c>
    </row>
    <row r="97" spans="1:16" s="10" customFormat="1">
      <c r="A97" s="7">
        <f>IF(B97="","",SUBTOTAL(103,$B$2:B97))</f>
        <v>96</v>
      </c>
      <c r="B97" s="8" t="s">
        <v>320</v>
      </c>
      <c r="C97" s="7" t="s">
        <v>321</v>
      </c>
      <c r="D97" s="9" t="s">
        <v>325</v>
      </c>
      <c r="E97" s="7" t="s">
        <v>323</v>
      </c>
      <c r="F97" s="7" t="s">
        <v>326</v>
      </c>
      <c r="G97" s="7" t="s">
        <v>327</v>
      </c>
      <c r="H97" s="7">
        <v>0.28599999999999998</v>
      </c>
      <c r="I97" s="7">
        <v>10</v>
      </c>
      <c r="J97" s="7">
        <v>800</v>
      </c>
      <c r="K97" s="7">
        <v>600</v>
      </c>
      <c r="L97" s="7">
        <v>150</v>
      </c>
      <c r="M97" s="7">
        <v>30</v>
      </c>
      <c r="N97" s="7">
        <v>120</v>
      </c>
      <c r="O97" s="7">
        <v>195</v>
      </c>
      <c r="P97" s="7">
        <v>360</v>
      </c>
    </row>
    <row r="98" spans="1:16" s="10" customFormat="1">
      <c r="A98" s="7">
        <f>IF(B98="","",SUBTOTAL(103,$B$2:B98))</f>
        <v>97</v>
      </c>
      <c r="B98" s="8" t="s">
        <v>320</v>
      </c>
      <c r="C98" s="7" t="s">
        <v>328</v>
      </c>
      <c r="D98" s="9" t="s">
        <v>329</v>
      </c>
      <c r="E98" s="7" t="s">
        <v>323</v>
      </c>
      <c r="F98" s="7" t="s">
        <v>22</v>
      </c>
      <c r="G98" s="7" t="s">
        <v>330</v>
      </c>
      <c r="H98" s="7">
        <v>0.109</v>
      </c>
      <c r="I98" s="7">
        <v>12</v>
      </c>
      <c r="J98" s="7">
        <v>800</v>
      </c>
      <c r="K98" s="7">
        <v>600</v>
      </c>
      <c r="L98" s="7">
        <v>150</v>
      </c>
      <c r="M98" s="7">
        <v>30</v>
      </c>
      <c r="N98" s="7">
        <v>120</v>
      </c>
      <c r="O98" s="7">
        <v>150</v>
      </c>
      <c r="P98" s="7">
        <v>264</v>
      </c>
    </row>
    <row r="99" spans="1:16" s="10" customFormat="1">
      <c r="A99" s="7">
        <f>IF(B99="","",SUBTOTAL(103,$B$2:B99))</f>
        <v>98</v>
      </c>
      <c r="B99" s="8" t="s">
        <v>320</v>
      </c>
      <c r="C99" s="7" t="s">
        <v>328</v>
      </c>
      <c r="D99" s="9" t="s">
        <v>331</v>
      </c>
      <c r="E99" s="7" t="s">
        <v>323</v>
      </c>
      <c r="F99" s="7" t="s">
        <v>332</v>
      </c>
      <c r="G99" s="7" t="s">
        <v>333</v>
      </c>
      <c r="H99" s="7">
        <v>0.109</v>
      </c>
      <c r="I99" s="7">
        <v>12</v>
      </c>
      <c r="J99" s="7">
        <v>800</v>
      </c>
      <c r="K99" s="7">
        <v>600</v>
      </c>
      <c r="L99" s="7">
        <v>150</v>
      </c>
      <c r="M99" s="7">
        <v>30</v>
      </c>
      <c r="N99" s="7">
        <v>120</v>
      </c>
      <c r="O99" s="7">
        <v>150</v>
      </c>
      <c r="P99" s="7">
        <v>264</v>
      </c>
    </row>
    <row r="100" spans="1:16" s="10" customFormat="1">
      <c r="A100" s="7">
        <f>IF(B100="","",SUBTOTAL(103,$B$2:B100))</f>
        <v>99</v>
      </c>
      <c r="B100" s="8" t="s">
        <v>320</v>
      </c>
      <c r="C100" s="7" t="s">
        <v>334</v>
      </c>
      <c r="D100" s="9" t="s">
        <v>335</v>
      </c>
      <c r="E100" s="7" t="s">
        <v>323</v>
      </c>
      <c r="F100" s="7" t="s">
        <v>26</v>
      </c>
      <c r="G100" s="7" t="s">
        <v>336</v>
      </c>
      <c r="H100" s="7">
        <v>0.1</v>
      </c>
      <c r="I100" s="7">
        <v>12</v>
      </c>
      <c r="J100" s="7">
        <v>800</v>
      </c>
      <c r="K100" s="7">
        <v>600</v>
      </c>
      <c r="L100" s="7">
        <v>150</v>
      </c>
      <c r="M100" s="7">
        <v>30</v>
      </c>
      <c r="N100" s="7">
        <v>120</v>
      </c>
      <c r="O100" s="7">
        <v>150</v>
      </c>
      <c r="P100" s="7">
        <v>198</v>
      </c>
    </row>
    <row r="101" spans="1:16" s="10" customFormat="1">
      <c r="A101" s="7">
        <f>IF(B101="","",SUBTOTAL(103,$B$2:B101))</f>
        <v>100</v>
      </c>
      <c r="B101" s="8" t="s">
        <v>320</v>
      </c>
      <c r="C101" s="7" t="s">
        <v>334</v>
      </c>
      <c r="D101" s="9" t="s">
        <v>337</v>
      </c>
      <c r="E101" s="7" t="s">
        <v>323</v>
      </c>
      <c r="F101" s="7" t="s">
        <v>338</v>
      </c>
      <c r="G101" s="7" t="str">
        <f>E101&amp;F101</f>
        <v>FNW KV-030 阀体毛坯NPS1/4 1000CWP ASTM A216-WCB</v>
      </c>
      <c r="H101" s="7">
        <v>0.09</v>
      </c>
      <c r="I101" s="7">
        <v>12</v>
      </c>
      <c r="J101" s="7">
        <v>800</v>
      </c>
      <c r="K101" s="7">
        <v>600</v>
      </c>
      <c r="L101" s="7">
        <v>150</v>
      </c>
      <c r="M101" s="7">
        <v>30</v>
      </c>
      <c r="N101" s="7">
        <v>120</v>
      </c>
      <c r="O101" s="7">
        <v>150</v>
      </c>
      <c r="P101" s="7">
        <v>198</v>
      </c>
    </row>
    <row r="102" spans="1:16" s="10" customFormat="1">
      <c r="A102" s="7">
        <f>IF(B102="","",SUBTOTAL(103,$B$2:B102))</f>
        <v>101</v>
      </c>
      <c r="B102" s="8" t="s">
        <v>320</v>
      </c>
      <c r="C102" s="7" t="s">
        <v>339</v>
      </c>
      <c r="D102" s="9" t="s">
        <v>340</v>
      </c>
      <c r="E102" s="7" t="s">
        <v>323</v>
      </c>
      <c r="F102" s="7" t="s">
        <v>30</v>
      </c>
      <c r="G102" s="7" t="s">
        <v>341</v>
      </c>
      <c r="H102" s="7">
        <v>0.61199999999999999</v>
      </c>
      <c r="I102" s="7">
        <v>8</v>
      </c>
      <c r="J102" s="7">
        <v>800</v>
      </c>
      <c r="K102" s="7">
        <v>600</v>
      </c>
      <c r="L102" s="7">
        <v>150</v>
      </c>
      <c r="M102" s="7">
        <v>30</v>
      </c>
      <c r="N102" s="7">
        <v>120</v>
      </c>
      <c r="O102" s="7">
        <v>225</v>
      </c>
      <c r="P102" s="7">
        <v>300</v>
      </c>
    </row>
    <row r="103" spans="1:16" s="10" customFormat="1">
      <c r="A103" s="7">
        <f>IF(B103="","",SUBTOTAL(103,$B$2:B103))</f>
        <v>102</v>
      </c>
      <c r="B103" s="8" t="s">
        <v>320</v>
      </c>
      <c r="C103" s="7" t="s">
        <v>339</v>
      </c>
      <c r="D103" s="9" t="s">
        <v>342</v>
      </c>
      <c r="E103" s="7" t="s">
        <v>323</v>
      </c>
      <c r="F103" s="7" t="s">
        <v>343</v>
      </c>
      <c r="G103" s="7" t="s">
        <v>344</v>
      </c>
      <c r="H103" s="7">
        <v>0.61199999999999999</v>
      </c>
      <c r="I103" s="7">
        <v>8</v>
      </c>
      <c r="J103" s="7">
        <v>800</v>
      </c>
      <c r="K103" s="7">
        <v>600</v>
      </c>
      <c r="L103" s="7">
        <v>150</v>
      </c>
      <c r="M103" s="7">
        <v>30</v>
      </c>
      <c r="N103" s="7">
        <v>120</v>
      </c>
      <c r="O103" s="7">
        <v>225</v>
      </c>
      <c r="P103" s="7">
        <v>300</v>
      </c>
    </row>
    <row r="104" spans="1:16" s="10" customFormat="1">
      <c r="A104" s="7">
        <f>IF(B104="","",SUBTOTAL(103,$B$2:B104))</f>
        <v>103</v>
      </c>
      <c r="B104" s="8" t="s">
        <v>320</v>
      </c>
      <c r="C104" s="7" t="s">
        <v>345</v>
      </c>
      <c r="D104" s="9" t="s">
        <v>346</v>
      </c>
      <c r="E104" s="7" t="s">
        <v>323</v>
      </c>
      <c r="F104" s="7" t="s">
        <v>109</v>
      </c>
      <c r="G104" s="7" t="s">
        <v>347</v>
      </c>
      <c r="H104" s="7">
        <v>0.41399999999999998</v>
      </c>
      <c r="I104" s="7">
        <v>8</v>
      </c>
      <c r="J104" s="7">
        <v>800</v>
      </c>
      <c r="K104" s="7">
        <v>600</v>
      </c>
      <c r="L104" s="7">
        <v>150</v>
      </c>
      <c r="M104" s="7">
        <v>30</v>
      </c>
      <c r="N104" s="7">
        <v>120</v>
      </c>
      <c r="O104" s="7">
        <v>225</v>
      </c>
      <c r="P104" s="7">
        <v>300</v>
      </c>
    </row>
    <row r="105" spans="1:16" s="10" customFormat="1">
      <c r="A105" s="7">
        <f>IF(B105="","",SUBTOTAL(103,$B$2:B105))</f>
        <v>104</v>
      </c>
      <c r="B105" s="8" t="s">
        <v>320</v>
      </c>
      <c r="C105" s="7" t="s">
        <v>345</v>
      </c>
      <c r="D105" s="9" t="s">
        <v>348</v>
      </c>
      <c r="E105" s="7" t="s">
        <v>323</v>
      </c>
      <c r="F105" s="7" t="s">
        <v>349</v>
      </c>
      <c r="G105" s="7" t="s">
        <v>350</v>
      </c>
      <c r="H105" s="7">
        <v>0.41399999999999998</v>
      </c>
      <c r="I105" s="7">
        <v>8</v>
      </c>
      <c r="J105" s="7">
        <v>800</v>
      </c>
      <c r="K105" s="7">
        <v>600</v>
      </c>
      <c r="L105" s="7">
        <v>150</v>
      </c>
      <c r="M105" s="7">
        <v>30</v>
      </c>
      <c r="N105" s="7">
        <v>120</v>
      </c>
      <c r="O105" s="7">
        <v>225</v>
      </c>
      <c r="P105" s="7">
        <v>300</v>
      </c>
    </row>
    <row r="106" spans="1:16" s="10" customFormat="1">
      <c r="A106" s="7">
        <f>IF(B106="","",SUBTOTAL(103,$B$2:B106))</f>
        <v>105</v>
      </c>
      <c r="B106" s="8" t="s">
        <v>320</v>
      </c>
      <c r="C106" s="7" t="s">
        <v>351</v>
      </c>
      <c r="D106" s="9" t="s">
        <v>352</v>
      </c>
      <c r="E106" s="7" t="s">
        <v>323</v>
      </c>
      <c r="F106" s="7" t="s">
        <v>38</v>
      </c>
      <c r="G106" s="7" t="s">
        <v>353</v>
      </c>
      <c r="H106" s="7">
        <v>0.94699999999999995</v>
      </c>
      <c r="I106" s="7">
        <v>4</v>
      </c>
      <c r="J106" s="7">
        <v>800</v>
      </c>
      <c r="K106" s="7">
        <v>600</v>
      </c>
      <c r="L106" s="7">
        <v>150</v>
      </c>
      <c r="M106" s="7">
        <v>30</v>
      </c>
      <c r="N106" s="7">
        <v>120</v>
      </c>
      <c r="O106" s="7">
        <v>500</v>
      </c>
      <c r="P106" s="7">
        <v>720</v>
      </c>
    </row>
    <row r="107" spans="1:16" s="10" customFormat="1">
      <c r="A107" s="7">
        <f>IF(B107="","",SUBTOTAL(103,$B$2:B107))</f>
        <v>106</v>
      </c>
      <c r="B107" s="8" t="s">
        <v>320</v>
      </c>
      <c r="C107" s="7" t="s">
        <v>351</v>
      </c>
      <c r="D107" s="9" t="s">
        <v>354</v>
      </c>
      <c r="E107" s="7" t="s">
        <v>323</v>
      </c>
      <c r="F107" s="7" t="s">
        <v>355</v>
      </c>
      <c r="G107" s="7" t="s">
        <v>356</v>
      </c>
      <c r="H107" s="7">
        <v>0.94699999999999995</v>
      </c>
      <c r="I107" s="7">
        <v>4</v>
      </c>
      <c r="J107" s="7">
        <v>800</v>
      </c>
      <c r="K107" s="7">
        <v>600</v>
      </c>
      <c r="L107" s="7">
        <v>150</v>
      </c>
      <c r="M107" s="7">
        <v>30</v>
      </c>
      <c r="N107" s="7">
        <v>120</v>
      </c>
      <c r="O107" s="7">
        <v>500</v>
      </c>
      <c r="P107" s="7">
        <v>720</v>
      </c>
    </row>
    <row r="108" spans="1:16" s="10" customFormat="1">
      <c r="A108" s="7">
        <f>IF(B108="","",SUBTOTAL(103,$B$2:B108))</f>
        <v>107</v>
      </c>
      <c r="B108" s="8" t="s">
        <v>320</v>
      </c>
      <c r="C108" s="7" t="s">
        <v>357</v>
      </c>
      <c r="D108" s="9" t="s">
        <v>358</v>
      </c>
      <c r="E108" s="7" t="s">
        <v>323</v>
      </c>
      <c r="F108" s="7" t="s">
        <v>176</v>
      </c>
      <c r="G108" s="7" t="s">
        <v>359</v>
      </c>
      <c r="H108" s="7">
        <v>1.66</v>
      </c>
      <c r="I108" s="7">
        <v>2</v>
      </c>
      <c r="J108" s="7">
        <v>800</v>
      </c>
      <c r="K108" s="7">
        <v>600</v>
      </c>
      <c r="L108" s="7">
        <v>150</v>
      </c>
      <c r="M108" s="7">
        <v>30</v>
      </c>
      <c r="N108" s="7">
        <v>120</v>
      </c>
      <c r="O108" s="7">
        <v>1000</v>
      </c>
      <c r="P108" s="7">
        <v>1320</v>
      </c>
    </row>
    <row r="109" spans="1:16" s="10" customFormat="1">
      <c r="A109" s="7">
        <f>IF(B109="","",SUBTOTAL(103,$B$2:B109))</f>
        <v>108</v>
      </c>
      <c r="B109" s="8" t="s">
        <v>320</v>
      </c>
      <c r="C109" s="7" t="s">
        <v>357</v>
      </c>
      <c r="D109" s="9" t="s">
        <v>360</v>
      </c>
      <c r="E109" s="7" t="s">
        <v>323</v>
      </c>
      <c r="F109" s="7" t="s">
        <v>179</v>
      </c>
      <c r="G109" s="7" t="s">
        <v>361</v>
      </c>
      <c r="H109" s="7">
        <v>1.66</v>
      </c>
      <c r="I109" s="7">
        <v>2</v>
      </c>
      <c r="J109" s="7">
        <v>800</v>
      </c>
      <c r="K109" s="7">
        <v>600</v>
      </c>
      <c r="L109" s="7">
        <v>150</v>
      </c>
      <c r="M109" s="7">
        <v>30</v>
      </c>
      <c r="N109" s="7">
        <v>120</v>
      </c>
      <c r="O109" s="7">
        <v>1000</v>
      </c>
      <c r="P109" s="7">
        <v>1320</v>
      </c>
    </row>
    <row r="110" spans="1:16" s="10" customFormat="1">
      <c r="A110" s="7">
        <f>IF(B110="","",SUBTOTAL(103,$B$2:B110))</f>
        <v>109</v>
      </c>
      <c r="B110" s="8" t="s">
        <v>320</v>
      </c>
      <c r="C110" s="7" t="s">
        <v>362</v>
      </c>
      <c r="D110" s="9" t="s">
        <v>363</v>
      </c>
      <c r="E110" s="7" t="s">
        <v>323</v>
      </c>
      <c r="F110" s="7" t="s">
        <v>364</v>
      </c>
      <c r="G110" s="7" t="s">
        <v>365</v>
      </c>
      <c r="H110" s="7">
        <v>2.37</v>
      </c>
      <c r="I110" s="7">
        <v>1</v>
      </c>
      <c r="J110" s="7">
        <v>800</v>
      </c>
      <c r="K110" s="7">
        <v>600</v>
      </c>
      <c r="L110" s="7">
        <v>150</v>
      </c>
      <c r="M110" s="7">
        <v>30</v>
      </c>
      <c r="N110" s="7">
        <v>120</v>
      </c>
      <c r="O110" s="7">
        <v>2000</v>
      </c>
      <c r="P110" s="7">
        <v>2460</v>
      </c>
    </row>
    <row r="111" spans="1:16" s="10" customFormat="1">
      <c r="A111" s="7">
        <f>IF(B111="","",SUBTOTAL(103,$B$2:B111))</f>
        <v>110</v>
      </c>
      <c r="B111" s="8" t="s">
        <v>320</v>
      </c>
      <c r="C111" s="7" t="s">
        <v>362</v>
      </c>
      <c r="D111" s="9" t="s">
        <v>366</v>
      </c>
      <c r="E111" s="7" t="s">
        <v>323</v>
      </c>
      <c r="F111" s="7" t="s">
        <v>367</v>
      </c>
      <c r="G111" s="7" t="s">
        <v>368</v>
      </c>
      <c r="H111" s="7">
        <v>2.37</v>
      </c>
      <c r="I111" s="7">
        <v>1</v>
      </c>
      <c r="J111" s="7">
        <v>800</v>
      </c>
      <c r="K111" s="7">
        <v>600</v>
      </c>
      <c r="L111" s="7">
        <v>150</v>
      </c>
      <c r="M111" s="7">
        <v>30</v>
      </c>
      <c r="N111" s="7">
        <v>120</v>
      </c>
      <c r="O111" s="7">
        <v>2000</v>
      </c>
      <c r="P111" s="7">
        <v>2460</v>
      </c>
    </row>
    <row r="112" spans="1:16" s="10" customFormat="1">
      <c r="A112" s="7">
        <f>IF(B112="","",SUBTOTAL(103,$B$2:B112))</f>
        <v>111</v>
      </c>
      <c r="B112" s="8" t="s">
        <v>320</v>
      </c>
      <c r="C112" s="7" t="s">
        <v>369</v>
      </c>
      <c r="D112" s="9" t="s">
        <v>370</v>
      </c>
      <c r="E112" s="7" t="s">
        <v>323</v>
      </c>
      <c r="F112" s="7" t="s">
        <v>42</v>
      </c>
      <c r="G112" s="7" t="s">
        <v>371</v>
      </c>
      <c r="H112" s="7">
        <v>0.19</v>
      </c>
      <c r="I112" s="7">
        <v>15</v>
      </c>
      <c r="J112" s="7">
        <v>800</v>
      </c>
      <c r="K112" s="7">
        <v>600</v>
      </c>
      <c r="L112" s="7">
        <v>150</v>
      </c>
      <c r="M112" s="7">
        <v>30</v>
      </c>
      <c r="N112" s="7">
        <v>120</v>
      </c>
      <c r="O112" s="7">
        <v>120</v>
      </c>
      <c r="P112" s="7">
        <v>276</v>
      </c>
    </row>
    <row r="113" spans="1:16" s="10" customFormat="1">
      <c r="A113" s="7">
        <f>IF(B113="","",SUBTOTAL(103,$B$2:B113))</f>
        <v>112</v>
      </c>
      <c r="B113" s="8" t="s">
        <v>320</v>
      </c>
      <c r="C113" s="7" t="s">
        <v>369</v>
      </c>
      <c r="D113" s="9" t="s">
        <v>372</v>
      </c>
      <c r="E113" s="7" t="s">
        <v>323</v>
      </c>
      <c r="F113" s="7" t="s">
        <v>373</v>
      </c>
      <c r="G113" s="7" t="s">
        <v>374</v>
      </c>
      <c r="H113" s="7">
        <v>0.19</v>
      </c>
      <c r="I113" s="7">
        <v>15</v>
      </c>
      <c r="J113" s="7">
        <v>800</v>
      </c>
      <c r="K113" s="7">
        <v>600</v>
      </c>
      <c r="L113" s="7">
        <v>150</v>
      </c>
      <c r="M113" s="7">
        <v>30</v>
      </c>
      <c r="N113" s="7">
        <v>120</v>
      </c>
      <c r="O113" s="7">
        <v>120</v>
      </c>
      <c r="P113" s="7">
        <v>276</v>
      </c>
    </row>
    <row r="114" spans="1:16" s="10" customFormat="1">
      <c r="A114" s="7">
        <f>IF(B114="","",SUBTOTAL(103,$B$2:B114))</f>
        <v>113</v>
      </c>
      <c r="B114" s="8" t="s">
        <v>320</v>
      </c>
      <c r="C114" s="7" t="s">
        <v>375</v>
      </c>
      <c r="D114" s="9" t="s">
        <v>376</v>
      </c>
      <c r="E114" s="7" t="s">
        <v>323</v>
      </c>
      <c r="F114" s="7" t="s">
        <v>45</v>
      </c>
      <c r="G114" s="7" t="s">
        <v>377</v>
      </c>
      <c r="H114" s="7">
        <v>0.09</v>
      </c>
      <c r="I114" s="7">
        <v>15</v>
      </c>
      <c r="J114" s="7">
        <v>800</v>
      </c>
      <c r="K114" s="7">
        <v>600</v>
      </c>
      <c r="L114" s="7">
        <v>150</v>
      </c>
      <c r="M114" s="7">
        <v>30</v>
      </c>
      <c r="N114" s="7">
        <v>120</v>
      </c>
      <c r="O114" s="7">
        <v>120</v>
      </c>
      <c r="P114" s="7">
        <v>252</v>
      </c>
    </row>
    <row r="115" spans="1:16" s="10" customFormat="1">
      <c r="A115" s="7">
        <f>IF(B115="","",SUBTOTAL(103,$B$2:B115))</f>
        <v>114</v>
      </c>
      <c r="B115" s="8" t="s">
        <v>378</v>
      </c>
      <c r="C115" s="7" t="s">
        <v>379</v>
      </c>
      <c r="D115" s="9" t="s">
        <v>380</v>
      </c>
      <c r="E115" s="7" t="s">
        <v>381</v>
      </c>
      <c r="F115" s="7" t="s">
        <v>53</v>
      </c>
      <c r="G115" s="7" t="s">
        <v>382</v>
      </c>
      <c r="H115" s="7">
        <v>0.126</v>
      </c>
      <c r="I115" s="7">
        <v>24</v>
      </c>
      <c r="J115" s="7">
        <v>800</v>
      </c>
      <c r="K115" s="7">
        <v>600</v>
      </c>
      <c r="L115" s="7">
        <v>150</v>
      </c>
      <c r="M115" s="7">
        <v>30</v>
      </c>
      <c r="N115" s="7">
        <v>60</v>
      </c>
      <c r="O115" s="7">
        <v>75</v>
      </c>
      <c r="P115" s="7">
        <v>264</v>
      </c>
    </row>
    <row r="116" spans="1:16" s="10" customFormat="1">
      <c r="A116" s="7">
        <f>IF(B116="","",SUBTOTAL(103,$B$2:B116))</f>
        <v>115</v>
      </c>
      <c r="B116" s="8" t="s">
        <v>320</v>
      </c>
      <c r="C116" s="7" t="s">
        <v>321</v>
      </c>
      <c r="D116" s="9" t="s">
        <v>383</v>
      </c>
      <c r="E116" s="7" t="s">
        <v>384</v>
      </c>
      <c r="F116" s="7" t="s">
        <v>49</v>
      </c>
      <c r="G116" s="7" t="s">
        <v>385</v>
      </c>
      <c r="H116" s="7">
        <v>0.28599999999999998</v>
      </c>
      <c r="I116" s="7">
        <v>10</v>
      </c>
      <c r="J116" s="7">
        <v>800</v>
      </c>
      <c r="K116" s="7">
        <v>600</v>
      </c>
      <c r="L116" s="7">
        <v>150</v>
      </c>
      <c r="M116" s="7">
        <v>30</v>
      </c>
      <c r="N116" s="7">
        <v>120</v>
      </c>
      <c r="O116" s="7">
        <v>195</v>
      </c>
      <c r="P116" s="7">
        <v>360</v>
      </c>
    </row>
    <row r="117" spans="1:16" s="10" customFormat="1">
      <c r="A117" s="7">
        <f>IF(B117="","",SUBTOTAL(103,$B$2:B117))</f>
        <v>116</v>
      </c>
      <c r="B117" s="8" t="s">
        <v>320</v>
      </c>
      <c r="C117" s="7" t="s">
        <v>328</v>
      </c>
      <c r="D117" s="9" t="s">
        <v>386</v>
      </c>
      <c r="E117" s="7" t="s">
        <v>384</v>
      </c>
      <c r="F117" s="7" t="s">
        <v>53</v>
      </c>
      <c r="G117" s="7" t="s">
        <v>387</v>
      </c>
      <c r="H117" s="7">
        <v>0.109</v>
      </c>
      <c r="I117" s="7">
        <v>12</v>
      </c>
      <c r="J117" s="7">
        <v>800</v>
      </c>
      <c r="K117" s="7">
        <v>600</v>
      </c>
      <c r="L117" s="7">
        <v>150</v>
      </c>
      <c r="M117" s="7">
        <v>30</v>
      </c>
      <c r="N117" s="7">
        <v>120</v>
      </c>
      <c r="O117" s="7">
        <v>150</v>
      </c>
      <c r="P117" s="7">
        <v>264</v>
      </c>
    </row>
    <row r="118" spans="1:16" s="10" customFormat="1">
      <c r="A118" s="7">
        <f>IF(B118="","",SUBTOTAL(103,$B$2:B118))</f>
        <v>117</v>
      </c>
      <c r="B118" s="8" t="s">
        <v>320</v>
      </c>
      <c r="C118" s="7" t="s">
        <v>334</v>
      </c>
      <c r="D118" s="9" t="s">
        <v>388</v>
      </c>
      <c r="E118" s="7" t="s">
        <v>384</v>
      </c>
      <c r="F118" s="7" t="s">
        <v>56</v>
      </c>
      <c r="G118" s="7" t="s">
        <v>389</v>
      </c>
      <c r="H118" s="7">
        <v>0.1</v>
      </c>
      <c r="I118" s="7">
        <v>12</v>
      </c>
      <c r="J118" s="7">
        <v>800</v>
      </c>
      <c r="K118" s="7">
        <v>600</v>
      </c>
      <c r="L118" s="7">
        <v>150</v>
      </c>
      <c r="M118" s="7">
        <v>30</v>
      </c>
      <c r="N118" s="7">
        <v>120</v>
      </c>
      <c r="O118" s="7">
        <v>150</v>
      </c>
      <c r="P118" s="7">
        <v>198</v>
      </c>
    </row>
    <row r="119" spans="1:16" s="10" customFormat="1">
      <c r="A119" s="7">
        <f>IF(B119="","",SUBTOTAL(103,$B$2:B119))</f>
        <v>118</v>
      </c>
      <c r="B119" s="8" t="s">
        <v>320</v>
      </c>
      <c r="C119" s="7" t="s">
        <v>339</v>
      </c>
      <c r="D119" s="9" t="s">
        <v>390</v>
      </c>
      <c r="E119" s="7" t="s">
        <v>384</v>
      </c>
      <c r="F119" s="7" t="s">
        <v>59</v>
      </c>
      <c r="G119" s="7" t="s">
        <v>391</v>
      </c>
      <c r="H119" s="7">
        <v>0.94699999999999995</v>
      </c>
      <c r="I119" s="7">
        <v>8</v>
      </c>
      <c r="J119" s="7">
        <v>800</v>
      </c>
      <c r="K119" s="7">
        <v>600</v>
      </c>
      <c r="L119" s="7">
        <v>150</v>
      </c>
      <c r="M119" s="7">
        <v>30</v>
      </c>
      <c r="N119" s="7">
        <v>120</v>
      </c>
      <c r="O119" s="7">
        <v>225</v>
      </c>
      <c r="P119" s="7">
        <v>300</v>
      </c>
    </row>
    <row r="120" spans="1:16" s="10" customFormat="1">
      <c r="A120" s="7">
        <f>IF(B120="","",SUBTOTAL(103,$B$2:B120))</f>
        <v>119</v>
      </c>
      <c r="B120" s="8" t="s">
        <v>320</v>
      </c>
      <c r="C120" s="7" t="s">
        <v>345</v>
      </c>
      <c r="D120" s="9" t="s">
        <v>392</v>
      </c>
      <c r="E120" s="7" t="s">
        <v>384</v>
      </c>
      <c r="F120" s="7" t="s">
        <v>34</v>
      </c>
      <c r="G120" s="7" t="s">
        <v>393</v>
      </c>
      <c r="H120" s="7">
        <v>0.41399999999999998</v>
      </c>
      <c r="I120" s="7">
        <v>8</v>
      </c>
      <c r="J120" s="7">
        <v>800</v>
      </c>
      <c r="K120" s="7">
        <v>600</v>
      </c>
      <c r="L120" s="7">
        <v>150</v>
      </c>
      <c r="M120" s="7">
        <v>30</v>
      </c>
      <c r="N120" s="7">
        <v>120</v>
      </c>
      <c r="O120" s="7">
        <v>225</v>
      </c>
      <c r="P120" s="7">
        <v>300</v>
      </c>
    </row>
    <row r="121" spans="1:16" s="10" customFormat="1">
      <c r="A121" s="7">
        <f>IF(B121="","",SUBTOTAL(103,$B$2:B121))</f>
        <v>120</v>
      </c>
      <c r="B121" s="8" t="s">
        <v>320</v>
      </c>
      <c r="C121" s="7" t="s">
        <v>351</v>
      </c>
      <c r="D121" s="9" t="s">
        <v>394</v>
      </c>
      <c r="E121" s="7" t="s">
        <v>384</v>
      </c>
      <c r="F121" s="7" t="s">
        <v>64</v>
      </c>
      <c r="G121" s="7" t="s">
        <v>395</v>
      </c>
      <c r="H121" s="7">
        <v>0.19</v>
      </c>
      <c r="I121" s="7">
        <v>4</v>
      </c>
      <c r="J121" s="7">
        <v>800</v>
      </c>
      <c r="K121" s="7">
        <v>600</v>
      </c>
      <c r="L121" s="7">
        <v>150</v>
      </c>
      <c r="M121" s="7">
        <v>30</v>
      </c>
      <c r="N121" s="7">
        <v>120</v>
      </c>
      <c r="O121" s="7">
        <v>500</v>
      </c>
      <c r="P121" s="7">
        <v>720</v>
      </c>
    </row>
    <row r="122" spans="1:16" s="10" customFormat="1">
      <c r="A122" s="7">
        <f>IF(B122="","",SUBTOTAL(103,$B$2:B122))</f>
        <v>121</v>
      </c>
      <c r="B122" s="8" t="s">
        <v>320</v>
      </c>
      <c r="C122" s="7" t="s">
        <v>357</v>
      </c>
      <c r="D122" s="9" t="s">
        <v>396</v>
      </c>
      <c r="E122" s="7" t="s">
        <v>384</v>
      </c>
      <c r="F122" s="7" t="s">
        <v>273</v>
      </c>
      <c r="G122" s="7" t="s">
        <v>397</v>
      </c>
      <c r="H122" s="7">
        <v>1.66</v>
      </c>
      <c r="I122" s="7">
        <v>2</v>
      </c>
      <c r="J122" s="7">
        <v>800</v>
      </c>
      <c r="K122" s="7">
        <v>600</v>
      </c>
      <c r="L122" s="7">
        <v>150</v>
      </c>
      <c r="M122" s="7">
        <v>30</v>
      </c>
      <c r="N122" s="7">
        <v>120</v>
      </c>
      <c r="O122" s="7">
        <v>1000</v>
      </c>
      <c r="P122" s="7">
        <v>1320</v>
      </c>
    </row>
    <row r="123" spans="1:16" s="10" customFormat="1">
      <c r="A123" s="7">
        <f>IF(B123="","",SUBTOTAL(103,$B$2:B123))</f>
        <v>122</v>
      </c>
      <c r="B123" s="8" t="s">
        <v>320</v>
      </c>
      <c r="C123" s="7" t="s">
        <v>362</v>
      </c>
      <c r="D123" s="9" t="s">
        <v>398</v>
      </c>
      <c r="E123" s="7" t="s">
        <v>384</v>
      </c>
      <c r="F123" s="7" t="s">
        <v>183</v>
      </c>
      <c r="G123" s="7" t="s">
        <v>399</v>
      </c>
      <c r="H123" s="7">
        <v>2.37</v>
      </c>
      <c r="I123" s="7">
        <v>1</v>
      </c>
      <c r="J123" s="7">
        <v>800</v>
      </c>
      <c r="K123" s="7">
        <v>600</v>
      </c>
      <c r="L123" s="7">
        <v>150</v>
      </c>
      <c r="M123" s="7">
        <v>30</v>
      </c>
      <c r="N123" s="7">
        <v>120</v>
      </c>
      <c r="O123" s="7">
        <v>2000</v>
      </c>
      <c r="P123" s="7">
        <v>2460</v>
      </c>
    </row>
    <row r="124" spans="1:16" s="10" customFormat="1">
      <c r="A124" s="7">
        <f>IF(B124="","",SUBTOTAL(103,$B$2:B124))</f>
        <v>123</v>
      </c>
      <c r="B124" s="8" t="s">
        <v>320</v>
      </c>
      <c r="C124" s="7" t="s">
        <v>369</v>
      </c>
      <c r="D124" s="9" t="s">
        <v>400</v>
      </c>
      <c r="E124" s="7" t="s">
        <v>384</v>
      </c>
      <c r="F124" s="7" t="s">
        <v>67</v>
      </c>
      <c r="G124" s="7" t="s">
        <v>401</v>
      </c>
      <c r="H124" s="7">
        <v>0.61199999999999999</v>
      </c>
      <c r="I124" s="7">
        <v>15</v>
      </c>
      <c r="J124" s="7">
        <v>800</v>
      </c>
      <c r="K124" s="7">
        <v>600</v>
      </c>
      <c r="L124" s="7">
        <v>150</v>
      </c>
      <c r="M124" s="7">
        <v>30</v>
      </c>
      <c r="N124" s="7">
        <v>120</v>
      </c>
      <c r="O124" s="7">
        <v>120</v>
      </c>
      <c r="P124" s="7">
        <v>276</v>
      </c>
    </row>
    <row r="125" spans="1:16" s="10" customFormat="1">
      <c r="A125" s="7">
        <f>IF(B125="","",SUBTOTAL(103,$B$2:B125))</f>
        <v>124</v>
      </c>
      <c r="B125" s="8" t="s">
        <v>320</v>
      </c>
      <c r="C125" s="7" t="s">
        <v>375</v>
      </c>
      <c r="D125" s="9" t="s">
        <v>402</v>
      </c>
      <c r="E125" s="7" t="s">
        <v>384</v>
      </c>
      <c r="F125" s="7" t="s">
        <v>45</v>
      </c>
      <c r="G125" s="7" t="s">
        <v>403</v>
      </c>
      <c r="H125" s="7">
        <v>0.09</v>
      </c>
      <c r="I125" s="7">
        <v>15</v>
      </c>
      <c r="J125" s="7">
        <v>800</v>
      </c>
      <c r="K125" s="7">
        <v>600</v>
      </c>
      <c r="L125" s="7">
        <v>150</v>
      </c>
      <c r="M125" s="7">
        <v>30</v>
      </c>
      <c r="N125" s="7">
        <v>120</v>
      </c>
      <c r="O125" s="7">
        <v>120</v>
      </c>
      <c r="P125" s="7">
        <v>252</v>
      </c>
    </row>
    <row r="126" spans="1:16" s="10" customFormat="1">
      <c r="A126" s="7">
        <f>IF(B126="","",SUBTOTAL(103,$B$2:B126))</f>
        <v>125</v>
      </c>
      <c r="B126" s="8" t="s">
        <v>378</v>
      </c>
      <c r="C126" s="7" t="s">
        <v>379</v>
      </c>
      <c r="D126" s="9" t="s">
        <v>404</v>
      </c>
      <c r="E126" s="7" t="s">
        <v>405</v>
      </c>
      <c r="F126" s="7" t="s">
        <v>406</v>
      </c>
      <c r="G126" s="7" t="s">
        <v>407</v>
      </c>
      <c r="H126" s="7">
        <v>0.126</v>
      </c>
      <c r="I126" s="7">
        <v>24</v>
      </c>
      <c r="J126" s="7">
        <v>800</v>
      </c>
      <c r="K126" s="7">
        <v>600</v>
      </c>
      <c r="L126" s="7">
        <v>150</v>
      </c>
      <c r="M126" s="7">
        <v>30</v>
      </c>
      <c r="N126" s="7">
        <v>60</v>
      </c>
      <c r="O126" s="7">
        <v>75</v>
      </c>
      <c r="P126" s="7">
        <v>264</v>
      </c>
    </row>
    <row r="127" spans="1:16" s="10" customFormat="1">
      <c r="A127" s="7">
        <f>IF(B127="","",SUBTOTAL(103,$B$2:B127))</f>
        <v>126</v>
      </c>
      <c r="B127" s="8" t="s">
        <v>378</v>
      </c>
      <c r="C127" s="7" t="s">
        <v>408</v>
      </c>
      <c r="D127" s="9" t="s">
        <v>409</v>
      </c>
      <c r="E127" s="7" t="s">
        <v>410</v>
      </c>
      <c r="F127" s="7" t="s">
        <v>49</v>
      </c>
      <c r="G127" s="7" t="s">
        <v>411</v>
      </c>
      <c r="H127" s="7">
        <v>0.28999999999999998</v>
      </c>
      <c r="I127" s="7">
        <v>12</v>
      </c>
      <c r="J127" s="7">
        <v>800</v>
      </c>
      <c r="K127" s="7">
        <v>600</v>
      </c>
      <c r="L127" s="7">
        <v>150</v>
      </c>
      <c r="M127" s="7">
        <v>30</v>
      </c>
      <c r="N127" s="7">
        <v>60</v>
      </c>
      <c r="O127" s="7">
        <v>150</v>
      </c>
      <c r="P127" s="7">
        <v>360</v>
      </c>
    </row>
    <row r="128" spans="1:16" s="10" customFormat="1">
      <c r="A128" s="7">
        <f>IF(B128="","",SUBTOTAL(103,$B$2:B128))</f>
        <v>127</v>
      </c>
      <c r="B128" s="8" t="s">
        <v>378</v>
      </c>
      <c r="C128" s="7" t="s">
        <v>412</v>
      </c>
      <c r="D128" s="9" t="s">
        <v>413</v>
      </c>
      <c r="E128" s="7" t="s">
        <v>410</v>
      </c>
      <c r="F128" s="7" t="s">
        <v>59</v>
      </c>
      <c r="G128" s="7" t="s">
        <v>414</v>
      </c>
      <c r="H128" s="7">
        <v>0.57999999999999996</v>
      </c>
      <c r="I128" s="7">
        <v>8</v>
      </c>
      <c r="J128" s="7">
        <v>800</v>
      </c>
      <c r="K128" s="7">
        <v>600</v>
      </c>
      <c r="L128" s="7">
        <v>150</v>
      </c>
      <c r="M128" s="7">
        <v>30</v>
      </c>
      <c r="N128" s="7">
        <v>60</v>
      </c>
      <c r="O128" s="7">
        <v>225</v>
      </c>
      <c r="P128" s="7">
        <v>300</v>
      </c>
    </row>
    <row r="129" spans="1:16" s="10" customFormat="1">
      <c r="A129" s="7">
        <f>IF(B129="","",SUBTOTAL(103,$B$2:B129))</f>
        <v>128</v>
      </c>
      <c r="B129" s="8" t="s">
        <v>378</v>
      </c>
      <c r="C129" s="7" t="s">
        <v>415</v>
      </c>
      <c r="D129" s="9" t="s">
        <v>416</v>
      </c>
      <c r="E129" s="7" t="s">
        <v>410</v>
      </c>
      <c r="F129" s="7" t="s">
        <v>34</v>
      </c>
      <c r="G129" s="7" t="s">
        <v>417</v>
      </c>
      <c r="H129" s="7">
        <v>0.49</v>
      </c>
      <c r="I129" s="7">
        <v>8</v>
      </c>
      <c r="J129" s="7">
        <v>800</v>
      </c>
      <c r="K129" s="7">
        <v>600</v>
      </c>
      <c r="L129" s="7">
        <v>150</v>
      </c>
      <c r="M129" s="7">
        <v>30</v>
      </c>
      <c r="N129" s="7">
        <v>60</v>
      </c>
      <c r="O129" s="7">
        <v>225</v>
      </c>
      <c r="P129" s="7">
        <v>300</v>
      </c>
    </row>
    <row r="130" spans="1:16" s="10" customFormat="1">
      <c r="A130" s="7">
        <f>IF(B130="","",SUBTOTAL(103,$B$2:B130))</f>
        <v>129</v>
      </c>
      <c r="B130" s="8" t="s">
        <v>378</v>
      </c>
      <c r="C130" s="7" t="s">
        <v>418</v>
      </c>
      <c r="D130" s="9" t="s">
        <v>419</v>
      </c>
      <c r="E130" s="7" t="s">
        <v>410</v>
      </c>
      <c r="F130" s="7" t="s">
        <v>67</v>
      </c>
      <c r="G130" s="7" t="s">
        <v>420</v>
      </c>
      <c r="H130" s="7">
        <v>0.19</v>
      </c>
      <c r="I130" s="7">
        <v>24</v>
      </c>
      <c r="J130" s="7">
        <v>800</v>
      </c>
      <c r="K130" s="7">
        <v>600</v>
      </c>
      <c r="L130" s="7">
        <v>150</v>
      </c>
      <c r="M130" s="7">
        <v>30</v>
      </c>
      <c r="N130" s="7">
        <v>60</v>
      </c>
      <c r="O130" s="7">
        <v>75</v>
      </c>
      <c r="P130" s="7">
        <v>276</v>
      </c>
    </row>
    <row r="131" spans="1:16" s="10" customFormat="1">
      <c r="A131" s="7">
        <f>IF(B131="","",SUBTOTAL(103,$B$2:B131))</f>
        <v>130</v>
      </c>
      <c r="B131" s="8" t="s">
        <v>378</v>
      </c>
      <c r="C131" s="7" t="s">
        <v>408</v>
      </c>
      <c r="D131" s="9" t="s">
        <v>421</v>
      </c>
      <c r="E131" s="7" t="s">
        <v>422</v>
      </c>
      <c r="F131" s="7" t="s">
        <v>423</v>
      </c>
      <c r="G131" s="7" t="s">
        <v>424</v>
      </c>
      <c r="H131" s="7">
        <v>0.28699999999999998</v>
      </c>
      <c r="I131" s="7">
        <v>12</v>
      </c>
      <c r="J131" s="7">
        <v>800</v>
      </c>
      <c r="K131" s="7">
        <v>600</v>
      </c>
      <c r="L131" s="7">
        <v>150</v>
      </c>
      <c r="M131" s="7">
        <v>30</v>
      </c>
      <c r="N131" s="7">
        <v>60</v>
      </c>
      <c r="O131" s="7">
        <v>150</v>
      </c>
      <c r="P131" s="7">
        <v>360</v>
      </c>
    </row>
    <row r="132" spans="1:16" s="10" customFormat="1">
      <c r="A132" s="7">
        <f>IF(B132="","",SUBTOTAL(103,$B$2:B132))</f>
        <v>131</v>
      </c>
      <c r="B132" s="8" t="s">
        <v>378</v>
      </c>
      <c r="C132" s="7" t="s">
        <v>412</v>
      </c>
      <c r="D132" s="9" t="s">
        <v>425</v>
      </c>
      <c r="E132" s="7" t="s">
        <v>422</v>
      </c>
      <c r="F132" s="7" t="s">
        <v>426</v>
      </c>
      <c r="G132" s="7" t="s">
        <v>427</v>
      </c>
      <c r="H132" s="7">
        <v>0.57999999999999996</v>
      </c>
      <c r="I132" s="7">
        <v>8</v>
      </c>
      <c r="J132" s="7">
        <v>800</v>
      </c>
      <c r="K132" s="7">
        <v>600</v>
      </c>
      <c r="L132" s="7">
        <v>150</v>
      </c>
      <c r="M132" s="7">
        <v>30</v>
      </c>
      <c r="N132" s="7">
        <v>60</v>
      </c>
      <c r="O132" s="7">
        <v>225</v>
      </c>
      <c r="P132" s="7">
        <v>300</v>
      </c>
    </row>
    <row r="133" spans="1:16" s="10" customFormat="1">
      <c r="A133" s="7">
        <f>IF(B133="","",SUBTOTAL(103,$B$2:B133))</f>
        <v>132</v>
      </c>
      <c r="B133" s="8" t="s">
        <v>378</v>
      </c>
      <c r="C133" s="7" t="s">
        <v>415</v>
      </c>
      <c r="D133" s="9" t="s">
        <v>428</v>
      </c>
      <c r="E133" s="7" t="s">
        <v>422</v>
      </c>
      <c r="F133" s="7" t="s">
        <v>349</v>
      </c>
      <c r="G133" s="7" t="s">
        <v>429</v>
      </c>
      <c r="H133" s="7">
        <v>0.49</v>
      </c>
      <c r="I133" s="7">
        <v>8</v>
      </c>
      <c r="J133" s="7">
        <v>800</v>
      </c>
      <c r="K133" s="7">
        <v>600</v>
      </c>
      <c r="L133" s="7">
        <v>150</v>
      </c>
      <c r="M133" s="7">
        <v>30</v>
      </c>
      <c r="N133" s="7">
        <v>60</v>
      </c>
      <c r="O133" s="7">
        <v>225</v>
      </c>
      <c r="P133" s="7">
        <v>300</v>
      </c>
    </row>
    <row r="134" spans="1:16" s="10" customFormat="1">
      <c r="A134" s="7">
        <f>IF(B134="","",SUBTOTAL(103,$B$2:B134))</f>
        <v>133</v>
      </c>
      <c r="B134" s="8" t="s">
        <v>378</v>
      </c>
      <c r="C134" s="7" t="s">
        <v>418</v>
      </c>
      <c r="D134" s="9" t="s">
        <v>430</v>
      </c>
      <c r="E134" s="7" t="s">
        <v>422</v>
      </c>
      <c r="F134" s="7" t="s">
        <v>431</v>
      </c>
      <c r="G134" s="7" t="s">
        <v>432</v>
      </c>
      <c r="H134" s="7">
        <v>0.19</v>
      </c>
      <c r="I134" s="7">
        <v>24</v>
      </c>
      <c r="J134" s="7">
        <v>800</v>
      </c>
      <c r="K134" s="7">
        <v>600</v>
      </c>
      <c r="L134" s="7">
        <v>150</v>
      </c>
      <c r="M134" s="7">
        <v>30</v>
      </c>
      <c r="N134" s="7">
        <v>60</v>
      </c>
      <c r="O134" s="7">
        <v>75</v>
      </c>
      <c r="P134" s="7">
        <v>276</v>
      </c>
    </row>
    <row r="135" spans="1:16" s="10" customFormat="1">
      <c r="A135" s="7">
        <f>IF(B135="","",SUBTOTAL(103,$B$2:B135))</f>
        <v>134</v>
      </c>
      <c r="B135" s="8" t="s">
        <v>433</v>
      </c>
      <c r="C135" s="7" t="s">
        <v>434</v>
      </c>
      <c r="D135" s="9" t="s">
        <v>435</v>
      </c>
      <c r="E135" s="7" t="s">
        <v>436</v>
      </c>
      <c r="F135" s="7" t="s">
        <v>437</v>
      </c>
      <c r="G135" s="7" t="s">
        <v>438</v>
      </c>
      <c r="H135" s="7">
        <v>1.1399999999999999</v>
      </c>
      <c r="I135" s="7">
        <v>3</v>
      </c>
      <c r="J135" s="7">
        <v>800</v>
      </c>
      <c r="K135" s="7">
        <v>600</v>
      </c>
      <c r="L135" s="7">
        <v>150</v>
      </c>
      <c r="M135" s="7">
        <v>30</v>
      </c>
      <c r="N135" s="7">
        <v>60</v>
      </c>
      <c r="O135" s="7">
        <v>650</v>
      </c>
      <c r="P135" s="7">
        <v>810</v>
      </c>
    </row>
    <row r="136" spans="1:16" s="10" customFormat="1">
      <c r="A136" s="7">
        <f>IF(B136="","",SUBTOTAL(103,$B$2:B136))</f>
        <v>135</v>
      </c>
      <c r="B136" s="8" t="s">
        <v>433</v>
      </c>
      <c r="C136" s="7" t="s">
        <v>434</v>
      </c>
      <c r="D136" s="9" t="s">
        <v>439</v>
      </c>
      <c r="E136" s="7" t="s">
        <v>440</v>
      </c>
      <c r="F136" s="7" t="s">
        <v>437</v>
      </c>
      <c r="G136" s="7" t="str">
        <f>E136&amp;F136</f>
        <v>KI KV-041 阀盖毛坯NPS1 CL150 CF8M</v>
      </c>
      <c r="H136" s="7">
        <v>1.1399999999999999</v>
      </c>
      <c r="I136" s="7">
        <v>3</v>
      </c>
      <c r="J136" s="7">
        <v>800</v>
      </c>
      <c r="K136" s="7">
        <v>600</v>
      </c>
      <c r="L136" s="7">
        <v>150</v>
      </c>
      <c r="M136" s="7">
        <v>30</v>
      </c>
      <c r="N136" s="7">
        <v>60</v>
      </c>
      <c r="O136" s="7">
        <v>650</v>
      </c>
      <c r="P136" s="7">
        <v>810</v>
      </c>
    </row>
    <row r="137" spans="1:16" s="10" customFormat="1">
      <c r="A137" s="7">
        <f>IF(B137="","",SUBTOTAL(103,$B$2:B137))</f>
        <v>136</v>
      </c>
      <c r="B137" s="8" t="s">
        <v>433</v>
      </c>
      <c r="C137" s="7" t="s">
        <v>434</v>
      </c>
      <c r="D137" s="9" t="s">
        <v>441</v>
      </c>
      <c r="E137" s="7" t="s">
        <v>436</v>
      </c>
      <c r="F137" s="7" t="s">
        <v>442</v>
      </c>
      <c r="G137" s="7" t="s">
        <v>443</v>
      </c>
      <c r="H137" s="7">
        <v>1.1399999999999999</v>
      </c>
      <c r="I137" s="7">
        <v>3</v>
      </c>
      <c r="J137" s="7">
        <v>800</v>
      </c>
      <c r="K137" s="7">
        <v>600</v>
      </c>
      <c r="L137" s="7">
        <v>150</v>
      </c>
      <c r="M137" s="7">
        <v>30</v>
      </c>
      <c r="N137" s="7">
        <v>60</v>
      </c>
      <c r="O137" s="7">
        <v>650</v>
      </c>
      <c r="P137" s="7">
        <v>810</v>
      </c>
    </row>
    <row r="138" spans="1:16" s="10" customFormat="1">
      <c r="A138" s="7">
        <f>IF(B138="","",SUBTOTAL(103,$B$2:B138))</f>
        <v>137</v>
      </c>
      <c r="B138" s="8" t="s">
        <v>433</v>
      </c>
      <c r="C138" s="7" t="s">
        <v>444</v>
      </c>
      <c r="D138" s="9" t="s">
        <v>445</v>
      </c>
      <c r="E138" s="7" t="s">
        <v>436</v>
      </c>
      <c r="F138" s="7" t="s">
        <v>446</v>
      </c>
      <c r="G138" s="7" t="s">
        <v>447</v>
      </c>
      <c r="H138" s="7">
        <v>0.8</v>
      </c>
      <c r="I138" s="7">
        <v>6</v>
      </c>
      <c r="J138" s="7">
        <v>800</v>
      </c>
      <c r="K138" s="7">
        <v>600</v>
      </c>
      <c r="L138" s="7">
        <v>150</v>
      </c>
      <c r="M138" s="7">
        <v>30</v>
      </c>
      <c r="N138" s="7">
        <v>60</v>
      </c>
      <c r="O138" s="7">
        <v>310</v>
      </c>
      <c r="P138" s="7">
        <v>420</v>
      </c>
    </row>
    <row r="139" spans="1:16" s="10" customFormat="1">
      <c r="A139" s="7">
        <f>IF(B139="","",SUBTOTAL(103,$B$2:B139))</f>
        <v>138</v>
      </c>
      <c r="B139" s="8" t="s">
        <v>433</v>
      </c>
      <c r="C139" s="7" t="s">
        <v>444</v>
      </c>
      <c r="D139" s="9" t="s">
        <v>448</v>
      </c>
      <c r="E139" s="7" t="s">
        <v>440</v>
      </c>
      <c r="F139" s="7" t="s">
        <v>446</v>
      </c>
      <c r="G139" s="7" t="str">
        <f>E139&amp;F139</f>
        <v>KI KV-041 阀盖毛坯NPS1/2 CL150 CF8M</v>
      </c>
      <c r="H139" s="7">
        <v>0.8</v>
      </c>
      <c r="I139" s="7">
        <v>6</v>
      </c>
      <c r="J139" s="7">
        <v>800</v>
      </c>
      <c r="K139" s="7">
        <v>600</v>
      </c>
      <c r="L139" s="7">
        <v>150</v>
      </c>
      <c r="M139" s="7">
        <v>30</v>
      </c>
      <c r="N139" s="7">
        <v>60</v>
      </c>
      <c r="O139" s="7">
        <v>310</v>
      </c>
      <c r="P139" s="7">
        <v>420</v>
      </c>
    </row>
    <row r="140" spans="1:16" s="10" customFormat="1">
      <c r="A140" s="7">
        <f>IF(B140="","",SUBTOTAL(103,$B$2:B140))</f>
        <v>139</v>
      </c>
      <c r="B140" s="8" t="s">
        <v>433</v>
      </c>
      <c r="C140" s="7" t="s">
        <v>444</v>
      </c>
      <c r="D140" s="9" t="s">
        <v>449</v>
      </c>
      <c r="E140" s="7" t="s">
        <v>436</v>
      </c>
      <c r="F140" s="7" t="s">
        <v>450</v>
      </c>
      <c r="G140" s="7" t="str">
        <f>E140&amp;F140</f>
        <v>FNW KV-041 阀盖毛坯 (NACE)NPS1/2 CL150 WCB</v>
      </c>
      <c r="H140" s="7">
        <v>0.8</v>
      </c>
      <c r="I140" s="7">
        <v>6</v>
      </c>
      <c r="J140" s="7">
        <v>800</v>
      </c>
      <c r="K140" s="7">
        <v>600</v>
      </c>
      <c r="L140" s="7">
        <v>150</v>
      </c>
      <c r="M140" s="7">
        <v>30</v>
      </c>
      <c r="N140" s="7">
        <v>60</v>
      </c>
      <c r="O140" s="7">
        <v>310</v>
      </c>
      <c r="P140" s="7">
        <v>420</v>
      </c>
    </row>
    <row r="141" spans="1:16" s="10" customFormat="1">
      <c r="A141" s="7">
        <f>IF(B141="","",SUBTOTAL(103,$B$2:B141))</f>
        <v>140</v>
      </c>
      <c r="B141" s="8" t="s">
        <v>433</v>
      </c>
      <c r="C141" s="7" t="s">
        <v>451</v>
      </c>
      <c r="D141" s="9" t="s">
        <v>452</v>
      </c>
      <c r="E141" s="7" t="s">
        <v>436</v>
      </c>
      <c r="F141" s="7" t="s">
        <v>453</v>
      </c>
      <c r="G141" s="7" t="s">
        <v>454</v>
      </c>
      <c r="H141" s="7">
        <v>2.2869999999999999</v>
      </c>
      <c r="I141" s="7">
        <v>3</v>
      </c>
      <c r="J141" s="7">
        <v>800</v>
      </c>
      <c r="K141" s="7">
        <v>600</v>
      </c>
      <c r="L141" s="7">
        <v>150</v>
      </c>
      <c r="M141" s="7">
        <v>30</v>
      </c>
      <c r="N141" s="7">
        <v>60</v>
      </c>
      <c r="O141" s="7">
        <v>650</v>
      </c>
      <c r="P141" s="7">
        <v>810</v>
      </c>
    </row>
    <row r="142" spans="1:16" s="10" customFormat="1">
      <c r="A142" s="7">
        <f>IF(B142="","",SUBTOTAL(103,$B$2:B142))</f>
        <v>141</v>
      </c>
      <c r="B142" s="8" t="s">
        <v>433</v>
      </c>
      <c r="C142" s="7" t="s">
        <v>451</v>
      </c>
      <c r="D142" s="9" t="s">
        <v>455</v>
      </c>
      <c r="E142" s="7" t="s">
        <v>440</v>
      </c>
      <c r="F142" s="7" t="s">
        <v>453</v>
      </c>
      <c r="G142" s="7" t="str">
        <f>E142&amp;F142</f>
        <v>KI KV-041 阀盖毛坯NPS11/2 CL150 CF8M</v>
      </c>
      <c r="H142" s="7">
        <v>2.2869999999999999</v>
      </c>
      <c r="I142" s="7">
        <v>3</v>
      </c>
      <c r="J142" s="7">
        <v>800</v>
      </c>
      <c r="K142" s="7">
        <v>600</v>
      </c>
      <c r="L142" s="7">
        <v>150</v>
      </c>
      <c r="M142" s="7">
        <v>30</v>
      </c>
      <c r="N142" s="7">
        <v>60</v>
      </c>
      <c r="O142" s="7">
        <v>650</v>
      </c>
      <c r="P142" s="7">
        <v>810</v>
      </c>
    </row>
    <row r="143" spans="1:16" s="10" customFormat="1">
      <c r="A143" s="7">
        <f>IF(B143="","",SUBTOTAL(103,$B$2:B143))</f>
        <v>142</v>
      </c>
      <c r="B143" s="8" t="s">
        <v>433</v>
      </c>
      <c r="C143" s="7" t="s">
        <v>456</v>
      </c>
      <c r="D143" s="9" t="s">
        <v>457</v>
      </c>
      <c r="E143" s="7" t="s">
        <v>440</v>
      </c>
      <c r="F143" s="7" t="s">
        <v>458</v>
      </c>
      <c r="G143" s="7" t="str">
        <f>E143&amp;F143</f>
        <v>KI KV-041 阀盖毛坯NPS11/4 CL150 CF8M</v>
      </c>
      <c r="H143" s="7">
        <v>1.5</v>
      </c>
      <c r="I143" s="7">
        <v>2</v>
      </c>
      <c r="J143" s="7"/>
      <c r="K143" s="7"/>
      <c r="L143" s="7"/>
      <c r="M143" s="7"/>
      <c r="N143" s="7">
        <v>60</v>
      </c>
      <c r="O143" s="7">
        <v>1000</v>
      </c>
      <c r="P143" s="7">
        <v>1320</v>
      </c>
    </row>
    <row r="144" spans="1:16" s="10" customFormat="1">
      <c r="A144" s="7">
        <f>IF(B144="","",SUBTOTAL(103,$B$2:B144))</f>
        <v>143</v>
      </c>
      <c r="B144" s="8" t="s">
        <v>433</v>
      </c>
      <c r="C144" s="7" t="s">
        <v>451</v>
      </c>
      <c r="D144" s="9" t="s">
        <v>459</v>
      </c>
      <c r="E144" s="7" t="s">
        <v>460</v>
      </c>
      <c r="F144" s="7" t="s">
        <v>453</v>
      </c>
      <c r="G144" s="7" t="str">
        <f>E144&amp;F144</f>
        <v>SVF KV-041 阀盖毛坯NPS11/2 CL150 CF8M</v>
      </c>
      <c r="H144" s="7">
        <v>2.29</v>
      </c>
      <c r="I144" s="7">
        <v>3</v>
      </c>
      <c r="J144" s="7">
        <v>800</v>
      </c>
      <c r="K144" s="7">
        <v>600</v>
      </c>
      <c r="L144" s="7">
        <v>150</v>
      </c>
      <c r="M144" s="7">
        <v>30</v>
      </c>
      <c r="N144" s="7">
        <v>60</v>
      </c>
      <c r="O144" s="7">
        <v>650</v>
      </c>
      <c r="P144" s="7">
        <v>810</v>
      </c>
    </row>
    <row r="145" spans="1:16" s="10" customFormat="1">
      <c r="A145" s="7">
        <f>IF(B145="","",SUBTOTAL(103,$B$2:B145))</f>
        <v>144</v>
      </c>
      <c r="B145" s="8" t="s">
        <v>433</v>
      </c>
      <c r="C145" s="7" t="s">
        <v>451</v>
      </c>
      <c r="D145" s="9" t="s">
        <v>461</v>
      </c>
      <c r="E145" s="7" t="s">
        <v>436</v>
      </c>
      <c r="F145" s="7" t="s">
        <v>462</v>
      </c>
      <c r="G145" s="7" t="str">
        <f>E145&amp;F145</f>
        <v>FNW KV-041 阀盖毛坯 (NACE)NPS11/2 CL150 WCB</v>
      </c>
      <c r="H145" s="7">
        <v>2.2869999999999999</v>
      </c>
      <c r="I145" s="7">
        <v>3</v>
      </c>
      <c r="J145" s="7">
        <v>800</v>
      </c>
      <c r="K145" s="7">
        <v>600</v>
      </c>
      <c r="L145" s="7">
        <v>150</v>
      </c>
      <c r="M145" s="7">
        <v>30</v>
      </c>
      <c r="N145" s="7">
        <v>60</v>
      </c>
      <c r="O145" s="7">
        <v>650</v>
      </c>
      <c r="P145" s="7">
        <v>810</v>
      </c>
    </row>
    <row r="146" spans="1:16" s="10" customFormat="1">
      <c r="A146" s="7">
        <f>IF(B146="","",SUBTOTAL(103,$B$2:B146))</f>
        <v>145</v>
      </c>
      <c r="B146" s="8" t="s">
        <v>433</v>
      </c>
      <c r="C146" s="7" t="s">
        <v>463</v>
      </c>
      <c r="D146" s="9" t="s">
        <v>464</v>
      </c>
      <c r="E146" s="7" t="s">
        <v>436</v>
      </c>
      <c r="F146" s="7" t="s">
        <v>465</v>
      </c>
      <c r="G146" s="7" t="s">
        <v>466</v>
      </c>
      <c r="H146" s="7">
        <v>3.26</v>
      </c>
      <c r="I146" s="7">
        <v>2</v>
      </c>
      <c r="J146" s="7">
        <v>800</v>
      </c>
      <c r="K146" s="7">
        <v>600</v>
      </c>
      <c r="L146" s="7">
        <v>150</v>
      </c>
      <c r="M146" s="7">
        <v>30</v>
      </c>
      <c r="N146" s="7">
        <v>60</v>
      </c>
      <c r="O146" s="7">
        <v>1000</v>
      </c>
      <c r="P146" s="7">
        <v>1320</v>
      </c>
    </row>
    <row r="147" spans="1:16" s="10" customFormat="1">
      <c r="A147" s="7">
        <f>IF(B147="","",SUBTOTAL(103,$B$2:B147))</f>
        <v>146</v>
      </c>
      <c r="B147" s="8" t="s">
        <v>433</v>
      </c>
      <c r="C147" s="7" t="s">
        <v>463</v>
      </c>
      <c r="D147" s="9" t="s">
        <v>467</v>
      </c>
      <c r="E147" s="7" t="s">
        <v>440</v>
      </c>
      <c r="F147" s="7" t="s">
        <v>465</v>
      </c>
      <c r="G147" s="7" t="str">
        <f>E147&amp;F147</f>
        <v>KI KV-041 阀盖毛坯NPS2 CL150 CF8M</v>
      </c>
      <c r="H147" s="7">
        <v>3.26</v>
      </c>
      <c r="I147" s="7">
        <v>2</v>
      </c>
      <c r="J147" s="7">
        <v>800</v>
      </c>
      <c r="K147" s="7">
        <v>600</v>
      </c>
      <c r="L147" s="7">
        <v>150</v>
      </c>
      <c r="M147" s="7">
        <v>30</v>
      </c>
      <c r="N147" s="7">
        <v>60</v>
      </c>
      <c r="O147" s="7">
        <v>1000</v>
      </c>
      <c r="P147" s="7">
        <v>1320</v>
      </c>
    </row>
    <row r="148" spans="1:16" s="10" customFormat="1">
      <c r="A148" s="7">
        <f>IF(B148="","",SUBTOTAL(103,$B$2:B148))</f>
        <v>147</v>
      </c>
      <c r="B148" s="8" t="s">
        <v>433</v>
      </c>
      <c r="C148" s="7" t="s">
        <v>463</v>
      </c>
      <c r="D148" s="9" t="s">
        <v>468</v>
      </c>
      <c r="E148" s="7" t="s">
        <v>460</v>
      </c>
      <c r="F148" s="7" t="s">
        <v>465</v>
      </c>
      <c r="G148" s="7" t="str">
        <f>E148&amp;F148</f>
        <v>SVF KV-041 阀盖毛坯NPS2 CL150 CF8M</v>
      </c>
      <c r="H148" s="7">
        <v>3.26</v>
      </c>
      <c r="I148" s="7">
        <v>2</v>
      </c>
      <c r="J148" s="7">
        <v>800</v>
      </c>
      <c r="K148" s="7">
        <v>600</v>
      </c>
      <c r="L148" s="7">
        <v>150</v>
      </c>
      <c r="M148" s="7">
        <v>30</v>
      </c>
      <c r="N148" s="7">
        <v>60</v>
      </c>
      <c r="O148" s="7">
        <v>1000</v>
      </c>
      <c r="P148" s="7">
        <v>1320</v>
      </c>
    </row>
    <row r="149" spans="1:16" s="10" customFormat="1">
      <c r="A149" s="7">
        <f>IF(B149="","",SUBTOTAL(103,$B$2:B149))</f>
        <v>148</v>
      </c>
      <c r="B149" s="8" t="s">
        <v>433</v>
      </c>
      <c r="C149" s="7" t="s">
        <v>463</v>
      </c>
      <c r="D149" s="9" t="s">
        <v>469</v>
      </c>
      <c r="E149" s="7" t="s">
        <v>436</v>
      </c>
      <c r="F149" s="7" t="s">
        <v>470</v>
      </c>
      <c r="G149" s="7" t="s">
        <v>471</v>
      </c>
      <c r="H149" s="7">
        <v>3.26</v>
      </c>
      <c r="I149" s="7">
        <v>2</v>
      </c>
      <c r="J149" s="7">
        <v>800</v>
      </c>
      <c r="K149" s="7">
        <v>600</v>
      </c>
      <c r="L149" s="7">
        <v>150</v>
      </c>
      <c r="M149" s="7">
        <v>30</v>
      </c>
      <c r="N149" s="7">
        <v>60</v>
      </c>
      <c r="O149" s="7">
        <v>1000</v>
      </c>
      <c r="P149" s="7">
        <v>1320</v>
      </c>
    </row>
    <row r="150" spans="1:16" s="10" customFormat="1">
      <c r="A150" s="7">
        <f>IF(B150="","",SUBTOTAL(103,$B$2:B150))</f>
        <v>149</v>
      </c>
      <c r="B150" s="8" t="s">
        <v>433</v>
      </c>
      <c r="C150" s="7" t="s">
        <v>463</v>
      </c>
      <c r="D150" s="9" t="s">
        <v>472</v>
      </c>
      <c r="E150" s="7" t="s">
        <v>460</v>
      </c>
      <c r="F150" s="7" t="s">
        <v>470</v>
      </c>
      <c r="G150" s="7" t="str">
        <f>E150&amp;F150</f>
        <v>SVF KV-041 阀盖毛坯NPS2 CL150 WCB</v>
      </c>
      <c r="H150" s="7">
        <v>3.26</v>
      </c>
      <c r="I150" s="7">
        <v>2</v>
      </c>
      <c r="J150" s="7">
        <v>800</v>
      </c>
      <c r="K150" s="7">
        <v>600</v>
      </c>
      <c r="L150" s="7">
        <v>150</v>
      </c>
      <c r="M150" s="7">
        <v>30</v>
      </c>
      <c r="N150" s="7">
        <v>60</v>
      </c>
      <c r="O150" s="7">
        <v>1000</v>
      </c>
      <c r="P150" s="7">
        <v>1320</v>
      </c>
    </row>
    <row r="151" spans="1:16" s="10" customFormat="1">
      <c r="A151" s="7">
        <f>IF(B151="","",SUBTOTAL(103,$B$2:B151))</f>
        <v>150</v>
      </c>
      <c r="B151" s="8" t="s">
        <v>433</v>
      </c>
      <c r="C151" s="7" t="s">
        <v>473</v>
      </c>
      <c r="D151" s="9" t="s">
        <v>474</v>
      </c>
      <c r="E151" s="7" t="s">
        <v>436</v>
      </c>
      <c r="F151" s="7" t="s">
        <v>475</v>
      </c>
      <c r="G151" s="7" t="s">
        <v>476</v>
      </c>
      <c r="H151" s="7">
        <v>4.96</v>
      </c>
      <c r="I151" s="7">
        <v>1</v>
      </c>
      <c r="J151" s="7">
        <v>800</v>
      </c>
      <c r="K151" s="7">
        <v>600</v>
      </c>
      <c r="L151" s="7">
        <v>150</v>
      </c>
      <c r="M151" s="7">
        <v>30</v>
      </c>
      <c r="N151" s="7">
        <v>60</v>
      </c>
      <c r="O151" s="7">
        <v>2000</v>
      </c>
      <c r="P151" s="7">
        <v>2460</v>
      </c>
    </row>
    <row r="152" spans="1:16" s="10" customFormat="1">
      <c r="A152" s="7">
        <f>IF(B152="","",SUBTOTAL(103,$B$2:B152))</f>
        <v>151</v>
      </c>
      <c r="B152" s="8" t="s">
        <v>433</v>
      </c>
      <c r="C152" s="7" t="s">
        <v>473</v>
      </c>
      <c r="D152" s="9" t="s">
        <v>477</v>
      </c>
      <c r="E152" s="7" t="s">
        <v>460</v>
      </c>
      <c r="F152" s="7" t="s">
        <v>475</v>
      </c>
      <c r="G152" s="7" t="str">
        <f>E152&amp;F152</f>
        <v>SVF KV-041 阀盖毛坯NPS21/2 CL150 CF8M</v>
      </c>
      <c r="H152" s="7">
        <v>4.92</v>
      </c>
      <c r="I152" s="7">
        <v>1</v>
      </c>
      <c r="J152" s="7">
        <v>800</v>
      </c>
      <c r="K152" s="7">
        <v>600</v>
      </c>
      <c r="L152" s="7">
        <v>150</v>
      </c>
      <c r="M152" s="7">
        <v>30</v>
      </c>
      <c r="N152" s="7">
        <v>60</v>
      </c>
      <c r="O152" s="7">
        <v>2000</v>
      </c>
      <c r="P152" s="7">
        <v>2460</v>
      </c>
    </row>
    <row r="153" spans="1:16" s="10" customFormat="1">
      <c r="A153" s="7">
        <f>IF(B153="","",SUBTOTAL(103,$B$2:B153))</f>
        <v>152</v>
      </c>
      <c r="B153" s="8" t="s">
        <v>433</v>
      </c>
      <c r="C153" s="7" t="s">
        <v>473</v>
      </c>
      <c r="D153" s="9" t="s">
        <v>478</v>
      </c>
      <c r="E153" s="7" t="s">
        <v>440</v>
      </c>
      <c r="F153" s="7" t="s">
        <v>475</v>
      </c>
      <c r="G153" s="7" t="str">
        <f>E153&amp;F153</f>
        <v>KI KV-041 阀盖毛坯NPS21/2 CL150 CF8M</v>
      </c>
      <c r="H153" s="7">
        <v>4.96</v>
      </c>
      <c r="I153" s="7">
        <v>1</v>
      </c>
      <c r="J153" s="7">
        <v>800</v>
      </c>
      <c r="K153" s="7">
        <v>600</v>
      </c>
      <c r="L153" s="7">
        <v>150</v>
      </c>
      <c r="M153" s="7">
        <v>30</v>
      </c>
      <c r="N153" s="7">
        <v>60</v>
      </c>
      <c r="O153" s="7">
        <v>2000</v>
      </c>
      <c r="P153" s="7">
        <v>2460</v>
      </c>
    </row>
    <row r="154" spans="1:16" s="10" customFormat="1">
      <c r="A154" s="7">
        <f>IF(B154="","",SUBTOTAL(103,$B$2:B154))</f>
        <v>153</v>
      </c>
      <c r="B154" s="8" t="s">
        <v>433</v>
      </c>
      <c r="C154" s="7" t="s">
        <v>473</v>
      </c>
      <c r="D154" s="9" t="s">
        <v>479</v>
      </c>
      <c r="E154" s="7" t="s">
        <v>436</v>
      </c>
      <c r="F154" s="7" t="s">
        <v>480</v>
      </c>
      <c r="G154" s="7" t="s">
        <v>481</v>
      </c>
      <c r="H154" s="7">
        <v>4.96</v>
      </c>
      <c r="I154" s="7">
        <v>1</v>
      </c>
      <c r="J154" s="7">
        <v>800</v>
      </c>
      <c r="K154" s="7">
        <v>600</v>
      </c>
      <c r="L154" s="7">
        <v>150</v>
      </c>
      <c r="M154" s="7">
        <v>30</v>
      </c>
      <c r="N154" s="7">
        <v>60</v>
      </c>
      <c r="O154" s="7">
        <v>2000</v>
      </c>
      <c r="P154" s="7">
        <v>2460</v>
      </c>
    </row>
    <row r="155" spans="1:16" s="10" customFormat="1">
      <c r="A155" s="7">
        <f>IF(B155="","",SUBTOTAL(103,$B$2:B155))</f>
        <v>154</v>
      </c>
      <c r="B155" s="8" t="s">
        <v>433</v>
      </c>
      <c r="C155" s="7" t="s">
        <v>482</v>
      </c>
      <c r="D155" s="9" t="s">
        <v>483</v>
      </c>
      <c r="E155" s="7" t="s">
        <v>436</v>
      </c>
      <c r="F155" s="7" t="s">
        <v>484</v>
      </c>
      <c r="G155" s="7" t="s">
        <v>485</v>
      </c>
      <c r="H155" s="7">
        <v>6.39</v>
      </c>
      <c r="I155" s="7">
        <v>1</v>
      </c>
      <c r="J155" s="7">
        <v>800</v>
      </c>
      <c r="K155" s="7">
        <v>600</v>
      </c>
      <c r="L155" s="7">
        <v>150</v>
      </c>
      <c r="M155" s="7">
        <v>30</v>
      </c>
      <c r="N155" s="7">
        <v>60</v>
      </c>
      <c r="O155" s="7">
        <v>2000</v>
      </c>
      <c r="P155" s="7">
        <v>2460</v>
      </c>
    </row>
    <row r="156" spans="1:16" s="10" customFormat="1">
      <c r="A156" s="7">
        <f>IF(B156="","",SUBTOTAL(103,$B$2:B156))</f>
        <v>155</v>
      </c>
      <c r="B156" s="8" t="s">
        <v>433</v>
      </c>
      <c r="C156" s="7" t="s">
        <v>482</v>
      </c>
      <c r="D156" s="9" t="s">
        <v>486</v>
      </c>
      <c r="E156" s="7" t="s">
        <v>487</v>
      </c>
      <c r="F156" s="7" t="s">
        <v>484</v>
      </c>
      <c r="G156" s="7" t="str">
        <f>E156&amp;F156</f>
        <v>SVF KV-041 阀盖毛坯 (NACE MR 0175)NPS3 CL150 CF8M</v>
      </c>
      <c r="H156" s="7">
        <v>6.24</v>
      </c>
      <c r="I156" s="7">
        <v>1</v>
      </c>
      <c r="J156" s="7">
        <v>800</v>
      </c>
      <c r="K156" s="7">
        <v>600</v>
      </c>
      <c r="L156" s="7">
        <v>150</v>
      </c>
      <c r="M156" s="7">
        <v>30</v>
      </c>
      <c r="N156" s="7">
        <v>60</v>
      </c>
      <c r="O156" s="7">
        <v>2000</v>
      </c>
      <c r="P156" s="7">
        <v>2460</v>
      </c>
    </row>
    <row r="157" spans="1:16" s="10" customFormat="1">
      <c r="A157" s="7">
        <f>IF(B157="","",SUBTOTAL(103,$B$2:B157))</f>
        <v>156</v>
      </c>
      <c r="B157" s="8" t="s">
        <v>433</v>
      </c>
      <c r="C157" s="7" t="s">
        <v>482</v>
      </c>
      <c r="D157" s="9" t="s">
        <v>488</v>
      </c>
      <c r="E157" s="7" t="s">
        <v>436</v>
      </c>
      <c r="F157" s="7" t="s">
        <v>489</v>
      </c>
      <c r="G157" s="7" t="s">
        <v>490</v>
      </c>
      <c r="H157" s="7">
        <v>6.39</v>
      </c>
      <c r="I157" s="7">
        <v>1</v>
      </c>
      <c r="J157" s="7">
        <v>800</v>
      </c>
      <c r="K157" s="7">
        <v>600</v>
      </c>
      <c r="L157" s="7">
        <v>150</v>
      </c>
      <c r="M157" s="7">
        <v>30</v>
      </c>
      <c r="N157" s="7">
        <v>60</v>
      </c>
      <c r="O157" s="7">
        <v>2000</v>
      </c>
      <c r="P157" s="7">
        <v>2460</v>
      </c>
    </row>
    <row r="158" spans="1:16" s="10" customFormat="1">
      <c r="A158" s="7">
        <f>IF(B158="","",SUBTOTAL(103,$B$2:B158))</f>
        <v>157</v>
      </c>
      <c r="B158" s="8" t="s">
        <v>433</v>
      </c>
      <c r="C158" s="7" t="s">
        <v>482</v>
      </c>
      <c r="D158" s="9" t="s">
        <v>491</v>
      </c>
      <c r="E158" s="7" t="s">
        <v>492</v>
      </c>
      <c r="F158" s="7" t="s">
        <v>489</v>
      </c>
      <c r="G158" s="7" t="str">
        <f>E158&amp;F158</f>
        <v>SVF KV-041 阀盖毛坯 (NACE)NPS3 CL150 WCB</v>
      </c>
      <c r="H158" s="7">
        <v>6.24</v>
      </c>
      <c r="I158" s="7">
        <v>1</v>
      </c>
      <c r="J158" s="7">
        <v>800</v>
      </c>
      <c r="K158" s="7">
        <v>600</v>
      </c>
      <c r="L158" s="7">
        <v>150</v>
      </c>
      <c r="M158" s="7">
        <v>30</v>
      </c>
      <c r="N158" s="7">
        <v>60</v>
      </c>
      <c r="O158" s="7">
        <v>2000</v>
      </c>
      <c r="P158" s="7">
        <v>2460</v>
      </c>
    </row>
    <row r="159" spans="1:16" s="10" customFormat="1">
      <c r="A159" s="7">
        <f>IF(B159="","",SUBTOTAL(103,$B$2:B159))</f>
        <v>158</v>
      </c>
      <c r="B159" s="8" t="s">
        <v>493</v>
      </c>
      <c r="C159" s="7" t="s">
        <v>482</v>
      </c>
      <c r="D159" s="9" t="s">
        <v>494</v>
      </c>
      <c r="E159" s="7" t="s">
        <v>495</v>
      </c>
      <c r="F159" s="7" t="s">
        <v>489</v>
      </c>
      <c r="G159" s="7" t="str">
        <f>E159&amp;F159</f>
        <v>SVF KV-L61-V 阀体毛坯 (增加流向,NACE MR 0175)NPS3 CL150 WCB</v>
      </c>
      <c r="H159" s="7">
        <v>6.83</v>
      </c>
      <c r="I159" s="7">
        <v>1</v>
      </c>
      <c r="J159" s="7">
        <v>800</v>
      </c>
      <c r="K159" s="7">
        <v>600</v>
      </c>
      <c r="L159" s="7">
        <v>150</v>
      </c>
      <c r="M159" s="7">
        <v>30</v>
      </c>
      <c r="N159" s="7">
        <v>60</v>
      </c>
      <c r="O159" s="7">
        <v>2000</v>
      </c>
      <c r="P159" s="7">
        <v>2460</v>
      </c>
    </row>
    <row r="160" spans="1:16" s="10" customFormat="1">
      <c r="A160" s="7">
        <f>IF(B160="","",SUBTOTAL(103,$B$2:B160))</f>
        <v>159</v>
      </c>
      <c r="B160" s="8" t="s">
        <v>433</v>
      </c>
      <c r="C160" s="7" t="s">
        <v>496</v>
      </c>
      <c r="D160" s="9" t="s">
        <v>497</v>
      </c>
      <c r="E160" s="7" t="s">
        <v>436</v>
      </c>
      <c r="F160" s="7" t="s">
        <v>498</v>
      </c>
      <c r="G160" s="7" t="str">
        <f>E160&amp;F160</f>
        <v>FNW KV-041 阀盖毛坯 (NACE)NPS3/4 CL150 WCB</v>
      </c>
      <c r="H160" s="7">
        <v>0.87</v>
      </c>
      <c r="I160" s="7">
        <v>3</v>
      </c>
      <c r="J160" s="7">
        <v>800</v>
      </c>
      <c r="K160" s="7">
        <v>600</v>
      </c>
      <c r="L160" s="7">
        <v>150</v>
      </c>
      <c r="M160" s="7">
        <v>30</v>
      </c>
      <c r="N160" s="7">
        <v>60</v>
      </c>
      <c r="O160" s="7">
        <v>650</v>
      </c>
      <c r="P160" s="7">
        <v>810</v>
      </c>
    </row>
    <row r="161" spans="1:16" s="10" customFormat="1">
      <c r="A161" s="7">
        <f>IF(B161="","",SUBTOTAL(103,$B$2:B161))</f>
        <v>160</v>
      </c>
      <c r="B161" s="8" t="s">
        <v>433</v>
      </c>
      <c r="C161" s="7" t="s">
        <v>496</v>
      </c>
      <c r="D161" s="9" t="s">
        <v>499</v>
      </c>
      <c r="E161" s="7" t="s">
        <v>436</v>
      </c>
      <c r="F161" s="7" t="s">
        <v>500</v>
      </c>
      <c r="G161" s="7" t="s">
        <v>501</v>
      </c>
      <c r="H161" s="7">
        <v>0.87</v>
      </c>
      <c r="I161" s="7">
        <v>3</v>
      </c>
      <c r="J161" s="7">
        <v>800</v>
      </c>
      <c r="K161" s="7">
        <v>600</v>
      </c>
      <c r="L161" s="7">
        <v>150</v>
      </c>
      <c r="M161" s="7">
        <v>30</v>
      </c>
      <c r="N161" s="7">
        <v>60</v>
      </c>
      <c r="O161" s="7">
        <v>650</v>
      </c>
      <c r="P161" s="7">
        <v>810</v>
      </c>
    </row>
    <row r="162" spans="1:16" s="10" customFormat="1">
      <c r="A162" s="7">
        <f>IF(B162="","",SUBTOTAL(103,$B$2:B162))</f>
        <v>161</v>
      </c>
      <c r="B162" s="8" t="s">
        <v>433</v>
      </c>
      <c r="C162" s="7" t="s">
        <v>496</v>
      </c>
      <c r="D162" s="9" t="s">
        <v>502</v>
      </c>
      <c r="E162" s="7" t="s">
        <v>440</v>
      </c>
      <c r="F162" s="7" t="s">
        <v>500</v>
      </c>
      <c r="G162" s="7" t="str">
        <f>E162&amp;F162</f>
        <v>KI KV-041 阀盖毛坯NPS3/4 CL150 CF8M</v>
      </c>
      <c r="H162" s="7">
        <v>0.87</v>
      </c>
      <c r="I162" s="7">
        <v>3</v>
      </c>
      <c r="J162" s="7">
        <v>800</v>
      </c>
      <c r="K162" s="7">
        <v>600</v>
      </c>
      <c r="L162" s="7">
        <v>150</v>
      </c>
      <c r="M162" s="7">
        <v>30</v>
      </c>
      <c r="N162" s="7">
        <v>60</v>
      </c>
      <c r="O162" s="7">
        <v>650</v>
      </c>
      <c r="P162" s="7">
        <v>810</v>
      </c>
    </row>
    <row r="163" spans="1:16" s="10" customFormat="1">
      <c r="A163" s="7">
        <f>IF(B163="","",SUBTOTAL(103,$B$2:B163))</f>
        <v>162</v>
      </c>
      <c r="B163" s="8" t="s">
        <v>433</v>
      </c>
      <c r="C163" s="7" t="s">
        <v>503</v>
      </c>
      <c r="D163" s="9" t="s">
        <v>504</v>
      </c>
      <c r="E163" s="7" t="s">
        <v>436</v>
      </c>
      <c r="F163" s="7" t="s">
        <v>505</v>
      </c>
      <c r="G163" s="7" t="s">
        <v>506</v>
      </c>
      <c r="H163" s="7">
        <v>9.68</v>
      </c>
      <c r="I163" s="7">
        <v>1</v>
      </c>
      <c r="J163" s="7">
        <v>800</v>
      </c>
      <c r="K163" s="7">
        <v>600</v>
      </c>
      <c r="L163" s="7">
        <v>150</v>
      </c>
      <c r="M163" s="7">
        <v>30</v>
      </c>
      <c r="N163" s="7">
        <v>60</v>
      </c>
      <c r="O163" s="7">
        <v>2000</v>
      </c>
      <c r="P163" s="7">
        <v>2460</v>
      </c>
    </row>
    <row r="164" spans="1:16" s="10" customFormat="1">
      <c r="A164" s="7">
        <f>IF(B164="","",SUBTOTAL(103,$B$2:B164))</f>
        <v>163</v>
      </c>
      <c r="B164" s="8" t="s">
        <v>433</v>
      </c>
      <c r="C164" s="7" t="s">
        <v>503</v>
      </c>
      <c r="D164" s="9" t="s">
        <v>507</v>
      </c>
      <c r="E164" s="7" t="s">
        <v>440</v>
      </c>
      <c r="F164" s="7" t="s">
        <v>505</v>
      </c>
      <c r="G164" s="7" t="s">
        <v>508</v>
      </c>
      <c r="H164" s="7">
        <v>10.02</v>
      </c>
      <c r="I164" s="7">
        <v>1</v>
      </c>
      <c r="J164" s="7">
        <v>800</v>
      </c>
      <c r="K164" s="7">
        <v>600</v>
      </c>
      <c r="L164" s="7">
        <v>150</v>
      </c>
      <c r="M164" s="7">
        <v>30</v>
      </c>
      <c r="N164" s="7">
        <v>60</v>
      </c>
      <c r="O164" s="7">
        <v>2000</v>
      </c>
      <c r="P164" s="7">
        <v>2460</v>
      </c>
    </row>
    <row r="165" spans="1:16" s="10" customFormat="1">
      <c r="A165" s="7">
        <f>IF(B165="","",SUBTOTAL(103,$B$2:B165))</f>
        <v>164</v>
      </c>
      <c r="B165" s="8" t="s">
        <v>433</v>
      </c>
      <c r="C165" s="7" t="s">
        <v>482</v>
      </c>
      <c r="D165" s="9" t="s">
        <v>509</v>
      </c>
      <c r="E165" s="7" t="s">
        <v>436</v>
      </c>
      <c r="F165" s="7" t="s">
        <v>510</v>
      </c>
      <c r="G165" s="7" t="s">
        <v>511</v>
      </c>
      <c r="H165" s="7">
        <v>9.68</v>
      </c>
      <c r="I165" s="7">
        <v>1</v>
      </c>
      <c r="J165" s="7">
        <v>800</v>
      </c>
      <c r="K165" s="7">
        <v>600</v>
      </c>
      <c r="L165" s="7">
        <v>150</v>
      </c>
      <c r="M165" s="7">
        <v>30</v>
      </c>
      <c r="N165" s="7">
        <v>60</v>
      </c>
      <c r="O165" s="7">
        <v>2000</v>
      </c>
      <c r="P165" s="7">
        <v>2460</v>
      </c>
    </row>
    <row r="166" spans="1:16" s="10" customFormat="1">
      <c r="A166" s="7">
        <f>IF(B166="","",SUBTOTAL(103,$B$2:B166))</f>
        <v>165</v>
      </c>
      <c r="B166" s="8" t="s">
        <v>433</v>
      </c>
      <c r="C166" s="7" t="s">
        <v>482</v>
      </c>
      <c r="D166" s="9" t="s">
        <v>512</v>
      </c>
      <c r="E166" s="7" t="s">
        <v>440</v>
      </c>
      <c r="F166" s="7" t="s">
        <v>484</v>
      </c>
      <c r="G166" s="7" t="s">
        <v>513</v>
      </c>
      <c r="H166" s="7">
        <v>5.97</v>
      </c>
      <c r="I166" s="7">
        <v>1</v>
      </c>
      <c r="J166" s="7">
        <v>800</v>
      </c>
      <c r="K166" s="7">
        <v>600</v>
      </c>
      <c r="L166" s="7">
        <v>150</v>
      </c>
      <c r="M166" s="7">
        <v>30</v>
      </c>
      <c r="N166" s="7">
        <v>60</v>
      </c>
      <c r="O166" s="7">
        <v>2000</v>
      </c>
      <c r="P166" s="7">
        <v>2460</v>
      </c>
    </row>
    <row r="167" spans="1:16" s="10" customFormat="1">
      <c r="A167" s="7">
        <f>IF(B167="","",SUBTOTAL(103,$B$2:B167))</f>
        <v>166</v>
      </c>
      <c r="B167" s="8" t="s">
        <v>433</v>
      </c>
      <c r="C167" s="7" t="s">
        <v>514</v>
      </c>
      <c r="D167" s="9" t="s">
        <v>515</v>
      </c>
      <c r="E167" s="7" t="s">
        <v>516</v>
      </c>
      <c r="F167" s="7" t="s">
        <v>517</v>
      </c>
      <c r="G167" s="7" t="str">
        <f>E167&amp;F167</f>
        <v>FNW KV-L41 阀盖毛坯 (NACE)NPS6 CL150 CF8M</v>
      </c>
      <c r="H167" s="7">
        <v>23.18</v>
      </c>
      <c r="I167" s="7"/>
      <c r="J167" s="7">
        <v>800</v>
      </c>
      <c r="K167" s="7">
        <v>600</v>
      </c>
      <c r="L167" s="7">
        <v>150</v>
      </c>
      <c r="M167" s="7">
        <v>30</v>
      </c>
      <c r="N167" s="7">
        <v>0</v>
      </c>
      <c r="O167" s="7">
        <v>0</v>
      </c>
      <c r="P167" s="7">
        <v>10000</v>
      </c>
    </row>
    <row r="168" spans="1:16" s="10" customFormat="1">
      <c r="A168" s="7">
        <f>IF(B168="","",SUBTOTAL(103,$B$2:B168))</f>
        <v>167</v>
      </c>
      <c r="B168" s="8" t="s">
        <v>433</v>
      </c>
      <c r="C168" s="7" t="s">
        <v>514</v>
      </c>
      <c r="D168" s="9" t="s">
        <v>518</v>
      </c>
      <c r="E168" s="7" t="s">
        <v>519</v>
      </c>
      <c r="F168" s="7" t="s">
        <v>520</v>
      </c>
      <c r="G168" s="7" t="str">
        <f>E168&amp;F168</f>
        <v>KI KV-L41 阀盖毛坯NPS6 CL150 WCB</v>
      </c>
      <c r="H168" s="7">
        <v>23.7</v>
      </c>
      <c r="I168" s="7">
        <v>1</v>
      </c>
      <c r="J168" s="7">
        <v>800</v>
      </c>
      <c r="K168" s="7">
        <v>600</v>
      </c>
      <c r="L168" s="7">
        <v>150</v>
      </c>
      <c r="M168" s="7">
        <v>30</v>
      </c>
      <c r="N168" s="7">
        <v>0</v>
      </c>
      <c r="O168" s="7">
        <v>0</v>
      </c>
      <c r="P168" s="7">
        <v>10000</v>
      </c>
    </row>
    <row r="169" spans="1:16" s="10" customFormat="1">
      <c r="A169" s="7">
        <f>IF(B169="","",SUBTOTAL(103,$B$2:B169))</f>
        <v>168</v>
      </c>
      <c r="B169" s="8" t="s">
        <v>433</v>
      </c>
      <c r="C169" s="7" t="s">
        <v>514</v>
      </c>
      <c r="D169" s="9" t="s">
        <v>521</v>
      </c>
      <c r="E169" s="7" t="s">
        <v>516</v>
      </c>
      <c r="F169" s="7" t="s">
        <v>520</v>
      </c>
      <c r="G169" s="7" t="str">
        <f>E169&amp;F169</f>
        <v>FNW KV-L41 阀盖毛坯 (NACE)NPS6 CL150 WCB</v>
      </c>
      <c r="H169" s="7">
        <v>23.18</v>
      </c>
      <c r="I169" s="7"/>
      <c r="J169" s="7">
        <v>800</v>
      </c>
      <c r="K169" s="7">
        <v>600</v>
      </c>
      <c r="L169" s="7">
        <v>150</v>
      </c>
      <c r="M169" s="7">
        <v>30</v>
      </c>
      <c r="N169" s="7">
        <v>0</v>
      </c>
      <c r="O169" s="7">
        <v>0</v>
      </c>
      <c r="P169" s="7">
        <v>10000</v>
      </c>
    </row>
    <row r="170" spans="1:16" s="10" customFormat="1">
      <c r="A170" s="7">
        <f>IF(B170="","",SUBTOTAL(103,$B$2:B170))</f>
        <v>169</v>
      </c>
      <c r="B170" s="8" t="s">
        <v>522</v>
      </c>
      <c r="C170" s="7" t="s">
        <v>523</v>
      </c>
      <c r="D170" s="9" t="s">
        <v>524</v>
      </c>
      <c r="E170" s="7" t="s">
        <v>525</v>
      </c>
      <c r="F170" s="7" t="s">
        <v>319</v>
      </c>
      <c r="G170" s="7" t="s">
        <v>526</v>
      </c>
      <c r="H170" s="7">
        <v>0.436</v>
      </c>
      <c r="I170" s="7">
        <v>6</v>
      </c>
      <c r="J170" s="7"/>
      <c r="K170" s="7"/>
      <c r="L170" s="7"/>
      <c r="M170" s="7"/>
      <c r="N170" s="7"/>
      <c r="O170" s="7">
        <v>310</v>
      </c>
      <c r="P170" s="7">
        <v>420</v>
      </c>
    </row>
    <row r="171" spans="1:16" s="10" customFormat="1">
      <c r="A171" s="7">
        <f>IF(B171="","",SUBTOTAL(103,$B$2:B171))</f>
        <v>170</v>
      </c>
      <c r="B171" s="8" t="s">
        <v>522</v>
      </c>
      <c r="C171" s="7" t="s">
        <v>527</v>
      </c>
      <c r="D171" s="9" t="s">
        <v>528</v>
      </c>
      <c r="E171" s="7" t="s">
        <v>525</v>
      </c>
      <c r="F171" s="7" t="s">
        <v>76</v>
      </c>
      <c r="G171" s="7" t="s">
        <v>529</v>
      </c>
      <c r="H171" s="7">
        <v>0.14899999999999999</v>
      </c>
      <c r="I171" s="7">
        <v>12</v>
      </c>
      <c r="J171" s="7"/>
      <c r="K171" s="7"/>
      <c r="L171" s="7"/>
      <c r="M171" s="7"/>
      <c r="N171" s="7"/>
      <c r="O171" s="7">
        <v>150</v>
      </c>
      <c r="P171" s="7">
        <v>198</v>
      </c>
    </row>
    <row r="172" spans="1:16" s="10" customFormat="1">
      <c r="A172" s="7">
        <f>IF(B172="","",SUBTOTAL(103,$B$2:B172))</f>
        <v>171</v>
      </c>
      <c r="B172" s="8" t="s">
        <v>522</v>
      </c>
      <c r="C172" s="7" t="s">
        <v>530</v>
      </c>
      <c r="D172" s="9" t="s">
        <v>531</v>
      </c>
      <c r="E172" s="7" t="s">
        <v>525</v>
      </c>
      <c r="F172" s="7" t="s">
        <v>85</v>
      </c>
      <c r="G172" s="7" t="s">
        <v>532</v>
      </c>
      <c r="H172" s="7">
        <v>0.98099999999999998</v>
      </c>
      <c r="I172" s="7">
        <v>10</v>
      </c>
      <c r="J172" s="7"/>
      <c r="K172" s="7"/>
      <c r="L172" s="7"/>
      <c r="M172" s="7"/>
      <c r="N172" s="7"/>
      <c r="O172" s="7">
        <v>195</v>
      </c>
      <c r="P172" s="7">
        <v>360</v>
      </c>
    </row>
    <row r="173" spans="1:16" s="10" customFormat="1">
      <c r="A173" s="7">
        <f>IF(B173="","",SUBTOTAL(103,$B$2:B173))</f>
        <v>172</v>
      </c>
      <c r="B173" s="8" t="s">
        <v>533</v>
      </c>
      <c r="C173" s="7" t="s">
        <v>534</v>
      </c>
      <c r="D173" s="9" t="s">
        <v>535</v>
      </c>
      <c r="E173" s="7" t="s">
        <v>536</v>
      </c>
      <c r="F173" s="7" t="s">
        <v>537</v>
      </c>
      <c r="G173" s="7" t="s">
        <v>538</v>
      </c>
      <c r="H173" s="7">
        <v>0.42</v>
      </c>
      <c r="I173" s="7">
        <v>4</v>
      </c>
      <c r="J173" s="7"/>
      <c r="K173" s="7"/>
      <c r="L173" s="7"/>
      <c r="M173" s="7"/>
      <c r="N173" s="7">
        <v>240</v>
      </c>
      <c r="O173" s="7">
        <v>800</v>
      </c>
      <c r="P173" s="7">
        <v>840</v>
      </c>
    </row>
    <row r="174" spans="1:16" s="10" customFormat="1">
      <c r="A174" s="7">
        <f>IF(B174="","",SUBTOTAL(103,$B$2:B174))</f>
        <v>173</v>
      </c>
      <c r="B174" s="8" t="s">
        <v>533</v>
      </c>
      <c r="C174" s="7" t="s">
        <v>539</v>
      </c>
      <c r="D174" s="9" t="s">
        <v>540</v>
      </c>
      <c r="E174" s="7" t="s">
        <v>536</v>
      </c>
      <c r="F174" s="7" t="s">
        <v>541</v>
      </c>
      <c r="G174" s="7" t="s">
        <v>542</v>
      </c>
      <c r="H174" s="7">
        <v>0.22</v>
      </c>
      <c r="I174" s="7">
        <v>5</v>
      </c>
      <c r="J174" s="7"/>
      <c r="K174" s="7"/>
      <c r="L174" s="7"/>
      <c r="M174" s="7"/>
      <c r="N174" s="7">
        <v>240</v>
      </c>
      <c r="O174" s="7">
        <v>700</v>
      </c>
      <c r="P174" s="7">
        <v>840</v>
      </c>
    </row>
    <row r="175" spans="1:16" s="10" customFormat="1">
      <c r="A175" s="7">
        <f>IF(B175="","",SUBTOTAL(103,$B$2:B175))</f>
        <v>174</v>
      </c>
      <c r="B175" s="8" t="s">
        <v>533</v>
      </c>
      <c r="C175" s="7" t="s">
        <v>543</v>
      </c>
      <c r="D175" s="9" t="s">
        <v>544</v>
      </c>
      <c r="E175" s="7" t="s">
        <v>536</v>
      </c>
      <c r="F175" s="7" t="s">
        <v>545</v>
      </c>
      <c r="G175" s="7" t="s">
        <v>546</v>
      </c>
      <c r="H175" s="7">
        <v>0.85499999999999998</v>
      </c>
      <c r="I175" s="7">
        <v>3</v>
      </c>
      <c r="J175" s="7"/>
      <c r="K175" s="7"/>
      <c r="L175" s="7"/>
      <c r="M175" s="7"/>
      <c r="N175" s="7">
        <v>240</v>
      </c>
      <c r="O175" s="7">
        <v>1000</v>
      </c>
      <c r="P175" s="7">
        <v>1320</v>
      </c>
    </row>
    <row r="176" spans="1:16" s="10" customFormat="1">
      <c r="A176" s="7">
        <f>IF(B176="","",SUBTOTAL(103,$B$2:B176))</f>
        <v>175</v>
      </c>
      <c r="B176" s="8" t="s">
        <v>547</v>
      </c>
      <c r="C176" s="7" t="s">
        <v>548</v>
      </c>
      <c r="D176" s="9" t="s">
        <v>549</v>
      </c>
      <c r="E176" s="7" t="s">
        <v>550</v>
      </c>
      <c r="F176" s="7" t="s">
        <v>551</v>
      </c>
      <c r="G176" s="7" t="str">
        <f>E176&amp;F176</f>
        <v>FNW KV-080 阀体毛坯 (借KV-080 NPS1/4换字块)NPS3/8 2000CWP ASTM A351-CF8M</v>
      </c>
      <c r="H176" s="7">
        <v>0.25</v>
      </c>
      <c r="I176" s="7">
        <v>12</v>
      </c>
      <c r="J176" s="7">
        <v>800</v>
      </c>
      <c r="K176" s="7">
        <v>600</v>
      </c>
      <c r="L176" s="7">
        <v>150</v>
      </c>
      <c r="M176" s="7">
        <v>30</v>
      </c>
      <c r="N176" s="7">
        <v>240</v>
      </c>
      <c r="O176" s="7">
        <v>195</v>
      </c>
      <c r="P176" s="7">
        <v>360</v>
      </c>
    </row>
    <row r="177" spans="1:16" s="10" customFormat="1">
      <c r="A177" s="7">
        <f>IF(B177="","",SUBTOTAL(103,$B$2:B177))</f>
        <v>176</v>
      </c>
      <c r="B177" s="8" t="s">
        <v>547</v>
      </c>
      <c r="C177" s="7" t="s">
        <v>548</v>
      </c>
      <c r="D177" s="9" t="s">
        <v>552</v>
      </c>
      <c r="E177" s="7" t="s">
        <v>550</v>
      </c>
      <c r="F177" s="7" t="s">
        <v>553</v>
      </c>
      <c r="G177" s="7" t="s">
        <v>554</v>
      </c>
      <c r="H177" s="7">
        <v>0.25</v>
      </c>
      <c r="I177" s="7">
        <v>10</v>
      </c>
      <c r="J177" s="7">
        <v>800</v>
      </c>
      <c r="K177" s="7">
        <v>600</v>
      </c>
      <c r="L177" s="7">
        <v>150</v>
      </c>
      <c r="M177" s="7">
        <v>30</v>
      </c>
      <c r="N177" s="7">
        <v>240</v>
      </c>
      <c r="O177" s="7">
        <v>195</v>
      </c>
      <c r="P177" s="7">
        <v>360</v>
      </c>
    </row>
    <row r="178" spans="1:16" s="10" customFormat="1">
      <c r="A178" s="7">
        <f>IF(B178="","",SUBTOTAL(103,$B$2:B178))</f>
        <v>177</v>
      </c>
      <c r="B178" s="8" t="s">
        <v>547</v>
      </c>
      <c r="C178" s="7" t="s">
        <v>555</v>
      </c>
      <c r="D178" s="9" t="s">
        <v>556</v>
      </c>
      <c r="E178" s="7" t="s">
        <v>557</v>
      </c>
      <c r="F178" s="7" t="s">
        <v>169</v>
      </c>
      <c r="G178" s="7" t="s">
        <v>558</v>
      </c>
      <c r="H178" s="7">
        <v>3.19</v>
      </c>
      <c r="I178" s="7">
        <v>2</v>
      </c>
      <c r="J178" s="7">
        <v>800</v>
      </c>
      <c r="K178" s="7">
        <v>600</v>
      </c>
      <c r="L178" s="7">
        <v>150</v>
      </c>
      <c r="M178" s="7">
        <v>30</v>
      </c>
      <c r="N178" s="7">
        <v>240</v>
      </c>
      <c r="O178" s="7">
        <v>1000</v>
      </c>
      <c r="P178" s="7">
        <v>1320</v>
      </c>
    </row>
    <row r="179" spans="1:16" s="10" customFormat="1">
      <c r="A179" s="7">
        <f>IF(B179="","",SUBTOTAL(103,$B$2:B179))</f>
        <v>178</v>
      </c>
      <c r="B179" s="8" t="s">
        <v>547</v>
      </c>
      <c r="C179" s="7" t="s">
        <v>555</v>
      </c>
      <c r="D179" s="9" t="s">
        <v>559</v>
      </c>
      <c r="E179" s="7" t="s">
        <v>557</v>
      </c>
      <c r="F179" s="7" t="s">
        <v>172</v>
      </c>
      <c r="G179" s="7" t="s">
        <v>560</v>
      </c>
      <c r="H179" s="7">
        <v>3.19</v>
      </c>
      <c r="I179" s="7">
        <v>2</v>
      </c>
      <c r="J179" s="7">
        <v>800</v>
      </c>
      <c r="K179" s="7">
        <v>600</v>
      </c>
      <c r="L179" s="7">
        <v>150</v>
      </c>
      <c r="M179" s="7">
        <v>30</v>
      </c>
      <c r="N179" s="7">
        <v>240</v>
      </c>
      <c r="O179" s="7">
        <v>1000</v>
      </c>
      <c r="P179" s="7">
        <v>1320</v>
      </c>
    </row>
    <row r="180" spans="1:16" s="10" customFormat="1">
      <c r="A180" s="7">
        <f>IF(B180="","",SUBTOTAL(103,$B$2:B180))</f>
        <v>179</v>
      </c>
      <c r="B180" s="8" t="s">
        <v>547</v>
      </c>
      <c r="C180" s="7" t="s">
        <v>555</v>
      </c>
      <c r="D180" s="9" t="s">
        <v>561</v>
      </c>
      <c r="E180" s="7" t="s">
        <v>562</v>
      </c>
      <c r="F180" s="7" t="s">
        <v>563</v>
      </c>
      <c r="G180" s="7" t="str">
        <f t="shared" ref="G180:G185" si="0">E180&amp;F180</f>
        <v>Ladish KV-080-RD 阀体毛坯NPS2 CL600 ASTM A216-WCB</v>
      </c>
      <c r="H180" s="7">
        <v>3.19</v>
      </c>
      <c r="I180" s="7">
        <v>2</v>
      </c>
      <c r="J180" s="7">
        <v>800</v>
      </c>
      <c r="K180" s="7">
        <v>600</v>
      </c>
      <c r="L180" s="7">
        <v>150</v>
      </c>
      <c r="M180" s="7">
        <v>30</v>
      </c>
      <c r="N180" s="7">
        <v>240</v>
      </c>
      <c r="O180" s="7">
        <v>1000</v>
      </c>
      <c r="P180" s="7">
        <v>1320</v>
      </c>
    </row>
    <row r="181" spans="1:16" s="10" customFormat="1">
      <c r="A181" s="7">
        <f>IF(B181="","",SUBTOTAL(103,$B$2:B181))</f>
        <v>180</v>
      </c>
      <c r="B181" s="8" t="s">
        <v>547</v>
      </c>
      <c r="C181" s="7" t="s">
        <v>555</v>
      </c>
      <c r="D181" s="9" t="s">
        <v>564</v>
      </c>
      <c r="E181" s="7" t="s">
        <v>565</v>
      </c>
      <c r="F181" s="7" t="s">
        <v>566</v>
      </c>
      <c r="G181" s="7" t="str">
        <f t="shared" si="0"/>
        <v>SMITH KV-080 阀体毛坯 (英制芯棒，NACE)NPS2 1500WOG ASTM A351-CN7M</v>
      </c>
      <c r="H181" s="7">
        <v>3.19</v>
      </c>
      <c r="I181" s="7">
        <v>2</v>
      </c>
      <c r="J181" s="7">
        <v>800</v>
      </c>
      <c r="K181" s="7">
        <v>600</v>
      </c>
      <c r="L181" s="7">
        <v>150</v>
      </c>
      <c r="M181" s="7">
        <v>30</v>
      </c>
      <c r="N181" s="7">
        <v>240</v>
      </c>
      <c r="O181" s="7">
        <v>1000</v>
      </c>
      <c r="P181" s="7">
        <v>1320</v>
      </c>
    </row>
    <row r="182" spans="1:16" s="10" customFormat="1">
      <c r="A182" s="7">
        <f>IF(B182="","",SUBTOTAL(103,$B$2:B182))</f>
        <v>181</v>
      </c>
      <c r="B182" s="8" t="s">
        <v>547</v>
      </c>
      <c r="C182" s="7" t="s">
        <v>555</v>
      </c>
      <c r="D182" s="9" t="s">
        <v>567</v>
      </c>
      <c r="E182" s="7" t="s">
        <v>565</v>
      </c>
      <c r="F182" s="7" t="s">
        <v>568</v>
      </c>
      <c r="G182" s="7" t="str">
        <f t="shared" si="0"/>
        <v>SMITH KV-080 阀体毛坯 (英制芯棒，NACE)NPS2 1500WOG ASTM A216-WCB</v>
      </c>
      <c r="H182" s="7">
        <v>3.19</v>
      </c>
      <c r="I182" s="7">
        <v>2</v>
      </c>
      <c r="J182" s="7">
        <v>800</v>
      </c>
      <c r="K182" s="7">
        <v>600</v>
      </c>
      <c r="L182" s="7">
        <v>150</v>
      </c>
      <c r="M182" s="7">
        <v>30</v>
      </c>
      <c r="N182" s="7">
        <v>240</v>
      </c>
      <c r="O182" s="7">
        <v>1000</v>
      </c>
      <c r="P182" s="7">
        <v>1320</v>
      </c>
    </row>
    <row r="183" spans="1:16" s="10" customFormat="1">
      <c r="A183" s="7">
        <f>IF(B183="","",SUBTOTAL(103,$B$2:B183))</f>
        <v>182</v>
      </c>
      <c r="B183" s="8" t="s">
        <v>547</v>
      </c>
      <c r="C183" s="7" t="s">
        <v>555</v>
      </c>
      <c r="D183" s="9" t="s">
        <v>569</v>
      </c>
      <c r="E183" s="7" t="s">
        <v>570</v>
      </c>
      <c r="F183" s="7" t="s">
        <v>571</v>
      </c>
      <c r="G183" s="7" t="str">
        <f t="shared" si="0"/>
        <v>SMITH KV-080 阀体毛坯 (英制芯棒,NACE)NPS2 1500WOG ASTM A351-CF3M</v>
      </c>
      <c r="H183" s="7">
        <v>3.19</v>
      </c>
      <c r="I183" s="7">
        <v>2</v>
      </c>
      <c r="J183" s="7">
        <v>800</v>
      </c>
      <c r="K183" s="7">
        <v>600</v>
      </c>
      <c r="L183" s="7">
        <v>150</v>
      </c>
      <c r="M183" s="7">
        <v>30</v>
      </c>
      <c r="N183" s="7">
        <v>240</v>
      </c>
      <c r="O183" s="7">
        <v>1000</v>
      </c>
      <c r="P183" s="7">
        <v>1320</v>
      </c>
    </row>
    <row r="184" spans="1:16" s="10" customFormat="1">
      <c r="A184" s="7">
        <f>IF(B184="","",SUBTOTAL(103,$B$2:B184))</f>
        <v>183</v>
      </c>
      <c r="B184" s="8" t="s">
        <v>547</v>
      </c>
      <c r="C184" s="7" t="s">
        <v>555</v>
      </c>
      <c r="D184" s="9" t="s">
        <v>572</v>
      </c>
      <c r="E184" s="7" t="s">
        <v>562</v>
      </c>
      <c r="F184" s="7" t="s">
        <v>573</v>
      </c>
      <c r="G184" s="7" t="str">
        <f t="shared" si="0"/>
        <v>Ladish KV-080-RD 阀体毛坯NPS2 CL600 ASTM A351-CF3M</v>
      </c>
      <c r="H184" s="7">
        <v>3.19</v>
      </c>
      <c r="I184" s="7">
        <v>2</v>
      </c>
      <c r="J184" s="7">
        <v>800</v>
      </c>
      <c r="K184" s="7">
        <v>600</v>
      </c>
      <c r="L184" s="7">
        <v>150</v>
      </c>
      <c r="M184" s="7">
        <v>30</v>
      </c>
      <c r="N184" s="7">
        <v>240</v>
      </c>
      <c r="O184" s="7">
        <v>1000</v>
      </c>
      <c r="P184" s="7">
        <v>1320</v>
      </c>
    </row>
    <row r="185" spans="1:16" s="10" customFormat="1">
      <c r="A185" s="7">
        <f>IF(B185="","",SUBTOTAL(103,$B$2:B185))</f>
        <v>184</v>
      </c>
      <c r="B185" s="8" t="s">
        <v>547</v>
      </c>
      <c r="C185" s="7" t="s">
        <v>555</v>
      </c>
      <c r="D185" s="9" t="s">
        <v>574</v>
      </c>
      <c r="E185" s="7" t="s">
        <v>575</v>
      </c>
      <c r="F185" s="7" t="s">
        <v>573</v>
      </c>
      <c r="G185" s="7" t="str">
        <f t="shared" si="0"/>
        <v>Ladish KV-C80 阀体毛坯 (不需做深冷处理，借080-RD换字块，NACE)NPS2 CL600 ASTM A351-CF3M</v>
      </c>
      <c r="H185" s="7">
        <v>3.44</v>
      </c>
      <c r="I185" s="7">
        <v>2</v>
      </c>
      <c r="J185" s="7">
        <v>800</v>
      </c>
      <c r="K185" s="7">
        <v>600</v>
      </c>
      <c r="L185" s="7">
        <v>150</v>
      </c>
      <c r="M185" s="7">
        <v>30</v>
      </c>
      <c r="N185" s="7">
        <v>240</v>
      </c>
      <c r="O185" s="7">
        <v>1000</v>
      </c>
      <c r="P185" s="7">
        <v>1320</v>
      </c>
    </row>
    <row r="186" spans="1:16" s="10" customFormat="1">
      <c r="A186" s="7">
        <f>IF(B186="","",SUBTOTAL(103,$B$2:B186))</f>
        <v>185</v>
      </c>
      <c r="B186" s="8" t="s">
        <v>547</v>
      </c>
      <c r="C186" s="7" t="s">
        <v>576</v>
      </c>
      <c r="D186" s="9" t="s">
        <v>577</v>
      </c>
      <c r="E186" s="7" t="s">
        <v>578</v>
      </c>
      <c r="F186" s="7" t="s">
        <v>134</v>
      </c>
      <c r="G186" s="7" t="s">
        <v>579</v>
      </c>
      <c r="H186" s="7">
        <v>0.69499999999999995</v>
      </c>
      <c r="I186" s="7">
        <v>8</v>
      </c>
      <c r="J186" s="7">
        <v>800</v>
      </c>
      <c r="K186" s="7">
        <v>600</v>
      </c>
      <c r="L186" s="7">
        <v>150</v>
      </c>
      <c r="M186" s="7">
        <v>30</v>
      </c>
      <c r="N186" s="7">
        <v>240</v>
      </c>
      <c r="O186" s="7">
        <v>225</v>
      </c>
      <c r="P186" s="7">
        <v>300</v>
      </c>
    </row>
    <row r="187" spans="1:16" s="10" customFormat="1">
      <c r="A187" s="7">
        <f>IF(B187="","",SUBTOTAL(103,$B$2:B187))</f>
        <v>186</v>
      </c>
      <c r="B187" s="8" t="s">
        <v>547</v>
      </c>
      <c r="C187" s="7" t="s">
        <v>576</v>
      </c>
      <c r="D187" s="9" t="s">
        <v>580</v>
      </c>
      <c r="E187" s="7" t="s">
        <v>578</v>
      </c>
      <c r="F187" s="7" t="s">
        <v>581</v>
      </c>
      <c r="G187" s="7" t="s">
        <v>582</v>
      </c>
      <c r="H187" s="7">
        <v>0.7</v>
      </c>
      <c r="I187" s="7">
        <v>8</v>
      </c>
      <c r="J187" s="7">
        <v>800</v>
      </c>
      <c r="K187" s="7">
        <v>600</v>
      </c>
      <c r="L187" s="7">
        <v>150</v>
      </c>
      <c r="M187" s="7">
        <v>30</v>
      </c>
      <c r="N187" s="7">
        <v>240</v>
      </c>
      <c r="O187" s="7">
        <v>225</v>
      </c>
      <c r="P187" s="7">
        <v>300</v>
      </c>
    </row>
    <row r="188" spans="1:16" s="10" customFormat="1">
      <c r="A188" s="7">
        <f>IF(B188="","",SUBTOTAL(103,$B$2:B188))</f>
        <v>187</v>
      </c>
      <c r="B188" s="8" t="s">
        <v>547</v>
      </c>
      <c r="C188" s="7" t="s">
        <v>576</v>
      </c>
      <c r="D188" s="9" t="s">
        <v>583</v>
      </c>
      <c r="E188" s="7" t="s">
        <v>584</v>
      </c>
      <c r="F188" s="7" t="s">
        <v>585</v>
      </c>
      <c r="G188" s="7" t="str">
        <f t="shared" ref="G188:G195" si="1">E188&amp;F188</f>
        <v>SMITH KV-080 阀体毛坯 (NACE)NPS1 2000WOG ASTM A216-WCB</v>
      </c>
      <c r="H188" s="7">
        <v>0.69599999999999995</v>
      </c>
      <c r="I188" s="7">
        <v>8</v>
      </c>
      <c r="J188" s="7">
        <v>800</v>
      </c>
      <c r="K188" s="7">
        <v>600</v>
      </c>
      <c r="L188" s="7">
        <v>150</v>
      </c>
      <c r="M188" s="7">
        <v>30</v>
      </c>
      <c r="N188" s="7">
        <v>240</v>
      </c>
      <c r="O188" s="7">
        <v>225</v>
      </c>
      <c r="P188" s="7">
        <v>300</v>
      </c>
    </row>
    <row r="189" spans="1:16" s="10" customFormat="1">
      <c r="A189" s="7">
        <f>IF(B189="","",SUBTOTAL(103,$B$2:B189))</f>
        <v>188</v>
      </c>
      <c r="B189" s="8" t="s">
        <v>547</v>
      </c>
      <c r="C189" s="7" t="s">
        <v>576</v>
      </c>
      <c r="D189" s="9" t="s">
        <v>586</v>
      </c>
      <c r="E189" s="7" t="s">
        <v>562</v>
      </c>
      <c r="F189" s="7" t="s">
        <v>587</v>
      </c>
      <c r="G189" s="7" t="str">
        <f t="shared" si="1"/>
        <v>Ladish KV-080-RD 阀体毛坯NPS1 CL800 ASTM A216-WCB</v>
      </c>
      <c r="H189" s="7">
        <v>0.69599999999999995</v>
      </c>
      <c r="I189" s="7">
        <v>4</v>
      </c>
      <c r="J189" s="7">
        <v>800</v>
      </c>
      <c r="K189" s="7">
        <v>600</v>
      </c>
      <c r="L189" s="7">
        <v>150</v>
      </c>
      <c r="M189" s="7">
        <v>30</v>
      </c>
      <c r="N189" s="7">
        <v>240</v>
      </c>
      <c r="O189" s="7">
        <v>225</v>
      </c>
      <c r="P189" s="7">
        <v>300</v>
      </c>
    </row>
    <row r="190" spans="1:16" s="10" customFormat="1">
      <c r="A190" s="7">
        <f>IF(B190="","",SUBTOTAL(103,$B$2:B190))</f>
        <v>189</v>
      </c>
      <c r="B190" s="8" t="s">
        <v>547</v>
      </c>
      <c r="C190" s="7" t="s">
        <v>576</v>
      </c>
      <c r="D190" s="9" t="s">
        <v>588</v>
      </c>
      <c r="E190" s="7" t="s">
        <v>584</v>
      </c>
      <c r="F190" s="7" t="s">
        <v>589</v>
      </c>
      <c r="G190" s="7" t="str">
        <f t="shared" si="1"/>
        <v>SMITH KV-080 阀体毛坯 (NACE)NPS1 2000WOG ASTM A351-CN7M</v>
      </c>
      <c r="H190" s="7">
        <v>0.69599999999999995</v>
      </c>
      <c r="I190" s="7">
        <v>8</v>
      </c>
      <c r="J190" s="7">
        <v>800</v>
      </c>
      <c r="K190" s="7">
        <v>600</v>
      </c>
      <c r="L190" s="7">
        <v>150</v>
      </c>
      <c r="M190" s="7">
        <v>30</v>
      </c>
      <c r="N190" s="7">
        <v>240</v>
      </c>
      <c r="O190" s="7">
        <v>225</v>
      </c>
      <c r="P190" s="7">
        <v>300</v>
      </c>
    </row>
    <row r="191" spans="1:16" s="10" customFormat="1">
      <c r="A191" s="7">
        <f>IF(B191="","",SUBTOTAL(103,$B$2:B191))</f>
        <v>190</v>
      </c>
      <c r="B191" s="8" t="s">
        <v>547</v>
      </c>
      <c r="C191" s="7" t="s">
        <v>576</v>
      </c>
      <c r="D191" s="9" t="s">
        <v>590</v>
      </c>
      <c r="E191" s="7" t="s">
        <v>584</v>
      </c>
      <c r="F191" s="7" t="s">
        <v>591</v>
      </c>
      <c r="G191" s="7" t="str">
        <f t="shared" si="1"/>
        <v>SMITH KV-080 阀体毛坯 (NACE)NPS1 2000WOG ASTM A351-CF3M</v>
      </c>
      <c r="H191" s="7">
        <v>0.69599999999999995</v>
      </c>
      <c r="I191" s="7">
        <v>8</v>
      </c>
      <c r="J191" s="7">
        <v>800</v>
      </c>
      <c r="K191" s="7">
        <v>600</v>
      </c>
      <c r="L191" s="7">
        <v>150</v>
      </c>
      <c r="M191" s="7">
        <v>30</v>
      </c>
      <c r="N191" s="7">
        <v>240</v>
      </c>
      <c r="O191" s="7">
        <v>225</v>
      </c>
      <c r="P191" s="7">
        <v>300</v>
      </c>
    </row>
    <row r="192" spans="1:16" s="10" customFormat="1">
      <c r="A192" s="7">
        <f>IF(B192="","",SUBTOTAL(103,$B$2:B192))</f>
        <v>191</v>
      </c>
      <c r="B192" s="8" t="s">
        <v>547</v>
      </c>
      <c r="C192" s="7" t="s">
        <v>576</v>
      </c>
      <c r="D192" s="9" t="s">
        <v>592</v>
      </c>
      <c r="E192" s="7" t="s">
        <v>562</v>
      </c>
      <c r="F192" s="7" t="s">
        <v>593</v>
      </c>
      <c r="G192" s="7" t="str">
        <f t="shared" si="1"/>
        <v>Ladish KV-080-RD 阀体毛坯NPS1 CL800 ASTM A351-CF3M</v>
      </c>
      <c r="H192" s="7">
        <v>0.69599999999999995</v>
      </c>
      <c r="I192" s="7">
        <v>4</v>
      </c>
      <c r="J192" s="7">
        <v>800</v>
      </c>
      <c r="K192" s="7">
        <v>600</v>
      </c>
      <c r="L192" s="7">
        <v>150</v>
      </c>
      <c r="M192" s="7">
        <v>30</v>
      </c>
      <c r="N192" s="7">
        <v>240</v>
      </c>
      <c r="O192" s="7">
        <v>225</v>
      </c>
      <c r="P192" s="7">
        <v>300</v>
      </c>
    </row>
    <row r="193" spans="1:16" s="10" customFormat="1">
      <c r="A193" s="7">
        <f>IF(B193="","",SUBTOTAL(103,$B$2:B193))</f>
        <v>192</v>
      </c>
      <c r="B193" s="8" t="s">
        <v>547</v>
      </c>
      <c r="C193" s="7" t="s">
        <v>576</v>
      </c>
      <c r="D193" s="9" t="s">
        <v>594</v>
      </c>
      <c r="E193" s="7" t="s">
        <v>575</v>
      </c>
      <c r="F193" s="7" t="s">
        <v>593</v>
      </c>
      <c r="G193" s="7" t="str">
        <f t="shared" si="1"/>
        <v>Ladish KV-C80 阀体毛坯 (不需做深冷处理，借080-RD换字块，NACE)NPS1 CL800 ASTM A351-CF3M</v>
      </c>
      <c r="H193" s="7">
        <v>0.69599999999999995</v>
      </c>
      <c r="I193" s="7">
        <v>3</v>
      </c>
      <c r="J193" s="7">
        <v>800</v>
      </c>
      <c r="K193" s="7">
        <v>600</v>
      </c>
      <c r="L193" s="7">
        <v>150</v>
      </c>
      <c r="M193" s="7">
        <v>30</v>
      </c>
      <c r="N193" s="7">
        <v>240</v>
      </c>
      <c r="O193" s="7">
        <v>225</v>
      </c>
      <c r="P193" s="7">
        <v>300</v>
      </c>
    </row>
    <row r="194" spans="1:16" s="10" customFormat="1">
      <c r="A194" s="7">
        <f>IF(B194="","",SUBTOTAL(103,$B$2:B194))</f>
        <v>193</v>
      </c>
      <c r="B194" s="8" t="s">
        <v>547</v>
      </c>
      <c r="C194" s="7" t="s">
        <v>576</v>
      </c>
      <c r="D194" s="9" t="s">
        <v>595</v>
      </c>
      <c r="E194" s="7" t="s">
        <v>584</v>
      </c>
      <c r="F194" s="7" t="s">
        <v>596</v>
      </c>
      <c r="G194" s="7" t="str">
        <f t="shared" si="1"/>
        <v>SMITH KV-080 阀体毛坯 (NACE)NPS1 2000WOG ASTM A995-CD3MN</v>
      </c>
      <c r="H194" s="7">
        <v>0.69599999999999995</v>
      </c>
      <c r="I194" s="7">
        <v>8</v>
      </c>
      <c r="J194" s="7">
        <v>800</v>
      </c>
      <c r="K194" s="7">
        <v>600</v>
      </c>
      <c r="L194" s="7">
        <v>150</v>
      </c>
      <c r="M194" s="7">
        <v>30</v>
      </c>
      <c r="N194" s="7">
        <v>240</v>
      </c>
      <c r="O194" s="7">
        <v>225</v>
      </c>
      <c r="P194" s="7">
        <v>300</v>
      </c>
    </row>
    <row r="195" spans="1:16" s="10" customFormat="1">
      <c r="A195" s="7">
        <f>IF(B195="","",SUBTOTAL(103,$B$2:B195))</f>
        <v>194</v>
      </c>
      <c r="B195" s="8" t="s">
        <v>547</v>
      </c>
      <c r="C195" s="7" t="s">
        <v>576</v>
      </c>
      <c r="D195" s="9" t="s">
        <v>597</v>
      </c>
      <c r="E195" s="7" t="s">
        <v>562</v>
      </c>
      <c r="F195" s="7" t="s">
        <v>598</v>
      </c>
      <c r="G195" s="7" t="str">
        <f t="shared" si="1"/>
        <v>Ladish KV-080-RD 阀体毛坯NPS1 CL800 ASTM A995-CD3MN</v>
      </c>
      <c r="H195" s="7">
        <v>0.69599999999999995</v>
      </c>
      <c r="I195" s="7">
        <v>4</v>
      </c>
      <c r="J195" s="7">
        <v>800</v>
      </c>
      <c r="K195" s="7">
        <v>600</v>
      </c>
      <c r="L195" s="7">
        <v>150</v>
      </c>
      <c r="M195" s="7">
        <v>30</v>
      </c>
      <c r="N195" s="7">
        <v>240</v>
      </c>
      <c r="O195" s="7">
        <v>225</v>
      </c>
      <c r="P195" s="7">
        <v>300</v>
      </c>
    </row>
    <row r="196" spans="1:16" s="10" customFormat="1">
      <c r="A196" s="7">
        <f>IF(B196="","",SUBTOTAL(103,$B$2:B196))</f>
        <v>195</v>
      </c>
      <c r="B196" s="8" t="s">
        <v>547</v>
      </c>
      <c r="C196" s="7" t="s">
        <v>599</v>
      </c>
      <c r="D196" s="9" t="s">
        <v>600</v>
      </c>
      <c r="E196" s="7" t="s">
        <v>578</v>
      </c>
      <c r="F196" s="7" t="s">
        <v>601</v>
      </c>
      <c r="G196" s="7" t="s">
        <v>602</v>
      </c>
      <c r="H196" s="7">
        <v>0.36399999999999999</v>
      </c>
      <c r="I196" s="7">
        <v>8</v>
      </c>
      <c r="J196" s="7">
        <v>800</v>
      </c>
      <c r="K196" s="7">
        <v>600</v>
      </c>
      <c r="L196" s="7">
        <v>150</v>
      </c>
      <c r="M196" s="7">
        <v>30</v>
      </c>
      <c r="N196" s="7">
        <v>240</v>
      </c>
      <c r="O196" s="7">
        <v>225</v>
      </c>
      <c r="P196" s="7">
        <v>300</v>
      </c>
    </row>
    <row r="197" spans="1:16" s="10" customFormat="1">
      <c r="A197" s="7">
        <f>IF(B197="","",SUBTOTAL(103,$B$2:B197))</f>
        <v>196</v>
      </c>
      <c r="B197" s="8" t="s">
        <v>547</v>
      </c>
      <c r="C197" s="7" t="s">
        <v>599</v>
      </c>
      <c r="D197" s="9" t="s">
        <v>603</v>
      </c>
      <c r="E197" s="7" t="s">
        <v>578</v>
      </c>
      <c r="F197" s="7" t="s">
        <v>146</v>
      </c>
      <c r="G197" s="7" t="s">
        <v>604</v>
      </c>
      <c r="H197" s="7">
        <v>0.36399999999999999</v>
      </c>
      <c r="I197" s="7">
        <v>8</v>
      </c>
      <c r="J197" s="7">
        <v>800</v>
      </c>
      <c r="K197" s="7">
        <v>600</v>
      </c>
      <c r="L197" s="7">
        <v>150</v>
      </c>
      <c r="M197" s="7">
        <v>30</v>
      </c>
      <c r="N197" s="7">
        <v>240</v>
      </c>
      <c r="O197" s="7">
        <v>225</v>
      </c>
      <c r="P197" s="7">
        <v>300</v>
      </c>
    </row>
    <row r="198" spans="1:16" s="10" customFormat="1">
      <c r="A198" s="7">
        <f>IF(B198="","",SUBTOTAL(103,$B$2:B198))</f>
        <v>197</v>
      </c>
      <c r="B198" s="8" t="s">
        <v>547</v>
      </c>
      <c r="C198" s="7" t="s">
        <v>599</v>
      </c>
      <c r="D198" s="9" t="s">
        <v>605</v>
      </c>
      <c r="E198" s="7" t="s">
        <v>584</v>
      </c>
      <c r="F198" s="7" t="s">
        <v>606</v>
      </c>
      <c r="G198" s="7" t="str">
        <f t="shared" ref="G198:G203" si="2">E198&amp;F198</f>
        <v>SMITH KV-080 阀体毛坯 (NACE)NPS1/2 2000WOG ASTM A216-WCB</v>
      </c>
      <c r="H198" s="7">
        <v>0.36399999999999999</v>
      </c>
      <c r="I198" s="7">
        <v>8</v>
      </c>
      <c r="J198" s="7">
        <v>800</v>
      </c>
      <c r="K198" s="7">
        <v>600</v>
      </c>
      <c r="L198" s="7">
        <v>150</v>
      </c>
      <c r="M198" s="7">
        <v>30</v>
      </c>
      <c r="N198" s="7">
        <v>240</v>
      </c>
      <c r="O198" s="7">
        <v>225</v>
      </c>
      <c r="P198" s="7">
        <v>300</v>
      </c>
    </row>
    <row r="199" spans="1:16" s="10" customFormat="1">
      <c r="A199" s="7">
        <f>IF(B199="","",SUBTOTAL(103,$B$2:B199))</f>
        <v>198</v>
      </c>
      <c r="B199" s="8" t="s">
        <v>547</v>
      </c>
      <c r="C199" s="7" t="s">
        <v>599</v>
      </c>
      <c r="D199" s="9" t="s">
        <v>607</v>
      </c>
      <c r="E199" s="7" t="s">
        <v>562</v>
      </c>
      <c r="F199" s="7" t="s">
        <v>608</v>
      </c>
      <c r="G199" s="7" t="str">
        <f t="shared" si="2"/>
        <v>Ladish KV-080-RD 阀体毛坯NPS1/2 CL800 ASTM A216-WCB</v>
      </c>
      <c r="H199" s="7">
        <v>0.36399999999999999</v>
      </c>
      <c r="I199" s="7">
        <v>4</v>
      </c>
      <c r="J199" s="7">
        <v>800</v>
      </c>
      <c r="K199" s="7">
        <v>600</v>
      </c>
      <c r="L199" s="7">
        <v>150</v>
      </c>
      <c r="M199" s="7">
        <v>30</v>
      </c>
      <c r="N199" s="7">
        <v>240</v>
      </c>
      <c r="O199" s="7">
        <v>225</v>
      </c>
      <c r="P199" s="7">
        <v>300</v>
      </c>
    </row>
    <row r="200" spans="1:16" s="10" customFormat="1">
      <c r="A200" s="7">
        <f>IF(B200="","",SUBTOTAL(103,$B$2:B200))</f>
        <v>199</v>
      </c>
      <c r="B200" s="8" t="s">
        <v>547</v>
      </c>
      <c r="C200" s="7" t="s">
        <v>599</v>
      </c>
      <c r="D200" s="9" t="s">
        <v>609</v>
      </c>
      <c r="E200" s="7" t="s">
        <v>584</v>
      </c>
      <c r="F200" s="7" t="s">
        <v>610</v>
      </c>
      <c r="G200" s="7" t="str">
        <f t="shared" si="2"/>
        <v>SMITH KV-080 阀体毛坯 (NACE)NPS1/2 2000WOG ASTM A351-CN7M</v>
      </c>
      <c r="H200" s="7">
        <v>0.36399999999999999</v>
      </c>
      <c r="I200" s="7">
        <v>8</v>
      </c>
      <c r="J200" s="7">
        <v>800</v>
      </c>
      <c r="K200" s="7">
        <v>600</v>
      </c>
      <c r="L200" s="7">
        <v>150</v>
      </c>
      <c r="M200" s="7">
        <v>30</v>
      </c>
      <c r="N200" s="7">
        <v>240</v>
      </c>
      <c r="O200" s="7">
        <v>225</v>
      </c>
      <c r="P200" s="7">
        <v>300</v>
      </c>
    </row>
    <row r="201" spans="1:16" s="10" customFormat="1">
      <c r="A201" s="7">
        <f>IF(B201="","",SUBTOTAL(103,$B$2:B201))</f>
        <v>200</v>
      </c>
      <c r="B201" s="8" t="s">
        <v>547</v>
      </c>
      <c r="C201" s="7" t="s">
        <v>599</v>
      </c>
      <c r="D201" s="9" t="s">
        <v>611</v>
      </c>
      <c r="E201" s="7" t="s">
        <v>584</v>
      </c>
      <c r="F201" s="7" t="s">
        <v>612</v>
      </c>
      <c r="G201" s="7" t="str">
        <f>E201&amp;F201</f>
        <v>SMITH KV-080 阀体毛坯 (NACE)NPS1/2 2000WOG ASTM A351-CF3M</v>
      </c>
      <c r="H201" s="7">
        <v>0.36399999999999999</v>
      </c>
      <c r="I201" s="7">
        <v>8</v>
      </c>
      <c r="J201" s="7">
        <v>800</v>
      </c>
      <c r="K201" s="7">
        <v>600</v>
      </c>
      <c r="L201" s="7">
        <v>150</v>
      </c>
      <c r="M201" s="7">
        <v>30</v>
      </c>
      <c r="N201" s="7">
        <v>240</v>
      </c>
      <c r="O201" s="7">
        <v>225</v>
      </c>
      <c r="P201" s="7">
        <v>300</v>
      </c>
    </row>
    <row r="202" spans="1:16" s="10" customFormat="1">
      <c r="A202" s="7">
        <f>IF(B202="","",SUBTOTAL(103,$B$2:B202))</f>
        <v>201</v>
      </c>
      <c r="B202" s="8" t="s">
        <v>547</v>
      </c>
      <c r="C202" s="7" t="s">
        <v>599</v>
      </c>
      <c r="D202" s="9" t="s">
        <v>613</v>
      </c>
      <c r="E202" s="7" t="s">
        <v>575</v>
      </c>
      <c r="F202" s="7" t="s">
        <v>614</v>
      </c>
      <c r="G202" s="7" t="str">
        <f>E202&amp;F202</f>
        <v>Ladish KV-C80 阀体毛坯 (不需做深冷处理，借080-RD换字块，NACE)NPS1/2 CL800 ASTM A351-CF3M</v>
      </c>
      <c r="H202" s="7">
        <v>0.36399999999999999</v>
      </c>
      <c r="I202" s="7">
        <v>5</v>
      </c>
      <c r="J202" s="7">
        <v>800</v>
      </c>
      <c r="K202" s="7">
        <v>600</v>
      </c>
      <c r="L202" s="7">
        <v>150</v>
      </c>
      <c r="M202" s="7">
        <v>30</v>
      </c>
      <c r="N202" s="7">
        <v>240</v>
      </c>
      <c r="O202" s="7">
        <v>225</v>
      </c>
      <c r="P202" s="7">
        <v>300</v>
      </c>
    </row>
    <row r="203" spans="1:16" s="10" customFormat="1">
      <c r="A203" s="7">
        <f>IF(B203="","",SUBTOTAL(103,$B$2:B203))</f>
        <v>202</v>
      </c>
      <c r="B203" s="8" t="s">
        <v>547</v>
      </c>
      <c r="C203" s="7" t="s">
        <v>599</v>
      </c>
      <c r="D203" s="9" t="s">
        <v>615</v>
      </c>
      <c r="E203" s="7" t="s">
        <v>562</v>
      </c>
      <c r="F203" s="7" t="s">
        <v>614</v>
      </c>
      <c r="G203" s="7" t="str">
        <f t="shared" si="2"/>
        <v>Ladish KV-080-RD 阀体毛坯NPS1/2 CL800 ASTM A351-CF3M</v>
      </c>
      <c r="H203" s="7">
        <v>0.36399999999999999</v>
      </c>
      <c r="I203" s="7">
        <v>4</v>
      </c>
      <c r="J203" s="7">
        <v>800</v>
      </c>
      <c r="K203" s="7">
        <v>600</v>
      </c>
      <c r="L203" s="7">
        <v>150</v>
      </c>
      <c r="M203" s="7">
        <v>30</v>
      </c>
      <c r="N203" s="7">
        <v>240</v>
      </c>
      <c r="O203" s="7">
        <v>225</v>
      </c>
      <c r="P203" s="7">
        <v>300</v>
      </c>
    </row>
    <row r="204" spans="1:16" s="10" customFormat="1">
      <c r="A204" s="7">
        <f>IF(B204="","",SUBTOTAL(103,$B$2:B204))</f>
        <v>203</v>
      </c>
      <c r="B204" s="8" t="s">
        <v>547</v>
      </c>
      <c r="C204" s="7" t="s">
        <v>599</v>
      </c>
      <c r="D204" s="9" t="s">
        <v>616</v>
      </c>
      <c r="E204" s="7" t="s">
        <v>584</v>
      </c>
      <c r="F204" s="7" t="s">
        <v>617</v>
      </c>
      <c r="G204" s="7" t="str">
        <f>E204&amp;F204</f>
        <v>SMITH KV-080 阀体毛坯 (NACE)NPS1/2 2000WOG ASTM A995-CD3MN</v>
      </c>
      <c r="H204" s="7">
        <v>0.36399999999999999</v>
      </c>
      <c r="I204" s="7">
        <v>8</v>
      </c>
      <c r="J204" s="7">
        <v>800</v>
      </c>
      <c r="K204" s="7">
        <v>600</v>
      </c>
      <c r="L204" s="7">
        <v>150</v>
      </c>
      <c r="M204" s="7">
        <v>30</v>
      </c>
      <c r="N204" s="7">
        <v>240</v>
      </c>
      <c r="O204" s="7">
        <v>225</v>
      </c>
      <c r="P204" s="7">
        <v>300</v>
      </c>
    </row>
    <row r="205" spans="1:16" s="10" customFormat="1">
      <c r="A205" s="7">
        <f>IF(B205="","",SUBTOTAL(103,$B$2:B205))</f>
        <v>204</v>
      </c>
      <c r="B205" s="8" t="s">
        <v>547</v>
      </c>
      <c r="C205" s="7" t="s">
        <v>599</v>
      </c>
      <c r="D205" s="9" t="s">
        <v>618</v>
      </c>
      <c r="E205" s="7" t="s">
        <v>562</v>
      </c>
      <c r="F205" s="7" t="s">
        <v>619</v>
      </c>
      <c r="G205" s="7" t="str">
        <f>E205&amp;F205</f>
        <v>Ladish KV-080-RD 阀体毛坯NPS1/2 CL800 ASTM A995-CD3MN</v>
      </c>
      <c r="H205" s="7">
        <v>0.36399999999999999</v>
      </c>
      <c r="I205" s="7">
        <v>4</v>
      </c>
      <c r="J205" s="7">
        <v>800</v>
      </c>
      <c r="K205" s="7">
        <v>600</v>
      </c>
      <c r="L205" s="7">
        <v>150</v>
      </c>
      <c r="M205" s="7">
        <v>30</v>
      </c>
      <c r="N205" s="7">
        <v>240</v>
      </c>
      <c r="O205" s="7">
        <v>225</v>
      </c>
      <c r="P205" s="7">
        <v>300</v>
      </c>
    </row>
    <row r="206" spans="1:16" s="10" customFormat="1">
      <c r="A206" s="7">
        <f>IF(B206="","",SUBTOTAL(103,$B$2:B206))</f>
        <v>205</v>
      </c>
      <c r="B206" s="8" t="s">
        <v>547</v>
      </c>
      <c r="C206" s="7" t="s">
        <v>620</v>
      </c>
      <c r="D206" s="9" t="s">
        <v>621</v>
      </c>
      <c r="E206" s="7" t="s">
        <v>622</v>
      </c>
      <c r="F206" s="7" t="s">
        <v>623</v>
      </c>
      <c r="G206" s="7" t="str">
        <f>E206&amp;F206</f>
        <v>FNW KV-080 阀体毛坯 (1/4/quot;字块)NPS1/4 2000CWP ASTM A351-CF8M</v>
      </c>
      <c r="H206" s="7">
        <v>0.25</v>
      </c>
      <c r="I206" s="7">
        <v>12</v>
      </c>
      <c r="J206" s="7">
        <v>800</v>
      </c>
      <c r="K206" s="7">
        <v>600</v>
      </c>
      <c r="L206" s="7">
        <v>150</v>
      </c>
      <c r="M206" s="7">
        <v>30</v>
      </c>
      <c r="N206" s="7">
        <v>60</v>
      </c>
      <c r="O206" s="7">
        <v>175</v>
      </c>
      <c r="P206" s="7">
        <v>250</v>
      </c>
    </row>
    <row r="207" spans="1:16" s="10" customFormat="1">
      <c r="A207" s="7">
        <f>IF(B207="","",SUBTOTAL(103,$B$2:B207))</f>
        <v>206</v>
      </c>
      <c r="B207" s="8" t="s">
        <v>547</v>
      </c>
      <c r="C207" s="7" t="s">
        <v>620</v>
      </c>
      <c r="D207" s="9" t="s">
        <v>624</v>
      </c>
      <c r="E207" s="7" t="s">
        <v>622</v>
      </c>
      <c r="F207" s="7" t="s">
        <v>625</v>
      </c>
      <c r="G207" s="7" t="str">
        <f>E207&amp;F207</f>
        <v>FNW KV-080 阀体毛坯 (1/4/quot;字块)NPS1/4 2000CWP ASTM A216-WCB</v>
      </c>
      <c r="H207" s="7">
        <v>0.25</v>
      </c>
      <c r="I207" s="7">
        <v>12</v>
      </c>
      <c r="J207" s="7">
        <v>800</v>
      </c>
      <c r="K207" s="7">
        <v>600</v>
      </c>
      <c r="L207" s="7">
        <v>150</v>
      </c>
      <c r="M207" s="7">
        <v>30</v>
      </c>
      <c r="N207" s="7">
        <v>60</v>
      </c>
      <c r="O207" s="7">
        <v>175</v>
      </c>
      <c r="P207" s="7">
        <v>250</v>
      </c>
    </row>
    <row r="208" spans="1:16" s="10" customFormat="1">
      <c r="A208" s="7">
        <f>IF(B208="","",SUBTOTAL(103,$B$2:B208))</f>
        <v>207</v>
      </c>
      <c r="B208" s="8" t="s">
        <v>547</v>
      </c>
      <c r="C208" s="7" t="s">
        <v>626</v>
      </c>
      <c r="D208" s="9" t="s">
        <v>627</v>
      </c>
      <c r="E208" s="7" t="s">
        <v>578</v>
      </c>
      <c r="F208" s="7" t="s">
        <v>155</v>
      </c>
      <c r="G208" s="7" t="s">
        <v>628</v>
      </c>
      <c r="H208" s="7">
        <v>1.93</v>
      </c>
      <c r="I208" s="7">
        <v>2</v>
      </c>
      <c r="J208" s="7">
        <v>800</v>
      </c>
      <c r="K208" s="7">
        <v>600</v>
      </c>
      <c r="L208" s="7">
        <v>150</v>
      </c>
      <c r="M208" s="7">
        <v>30</v>
      </c>
      <c r="N208" s="7">
        <v>240</v>
      </c>
      <c r="O208" s="7">
        <v>1000</v>
      </c>
      <c r="P208" s="7">
        <v>1320</v>
      </c>
    </row>
    <row r="209" spans="1:16" s="10" customFormat="1">
      <c r="A209" s="7">
        <f>IF(B209="","",SUBTOTAL(103,$B$2:B209))</f>
        <v>208</v>
      </c>
      <c r="B209" s="8" t="s">
        <v>547</v>
      </c>
      <c r="C209" s="7" t="s">
        <v>626</v>
      </c>
      <c r="D209" s="9" t="s">
        <v>629</v>
      </c>
      <c r="E209" s="7" t="s">
        <v>578</v>
      </c>
      <c r="F209" s="7" t="s">
        <v>158</v>
      </c>
      <c r="G209" s="7" t="s">
        <v>630</v>
      </c>
      <c r="H209" s="7">
        <v>1.93</v>
      </c>
      <c r="I209" s="7">
        <v>2</v>
      </c>
      <c r="J209" s="7">
        <v>800</v>
      </c>
      <c r="K209" s="7">
        <v>600</v>
      </c>
      <c r="L209" s="7">
        <v>150</v>
      </c>
      <c r="M209" s="7">
        <v>30</v>
      </c>
      <c r="N209" s="7">
        <v>240</v>
      </c>
      <c r="O209" s="7">
        <v>1000</v>
      </c>
      <c r="P209" s="7">
        <v>1320</v>
      </c>
    </row>
    <row r="210" spans="1:16" s="10" customFormat="1">
      <c r="A210" s="7">
        <f>IF(B210="","",SUBTOTAL(103,$B$2:B210))</f>
        <v>209</v>
      </c>
      <c r="B210" s="8" t="s">
        <v>547</v>
      </c>
      <c r="C210" s="7" t="s">
        <v>626</v>
      </c>
      <c r="D210" s="9" t="s">
        <v>631</v>
      </c>
      <c r="E210" s="7" t="s">
        <v>565</v>
      </c>
      <c r="F210" s="7" t="s">
        <v>632</v>
      </c>
      <c r="G210" s="7" t="str">
        <f>E210&amp;F210</f>
        <v>SMITH KV-080 阀体毛坯 (英制芯棒，NACE)NPS11/2 1500WOG ASTM A216-WCB</v>
      </c>
      <c r="H210" s="7">
        <v>1.93</v>
      </c>
      <c r="I210" s="7">
        <v>2</v>
      </c>
      <c r="J210" s="7">
        <v>800</v>
      </c>
      <c r="K210" s="7">
        <v>600</v>
      </c>
      <c r="L210" s="7">
        <v>150</v>
      </c>
      <c r="M210" s="7">
        <v>30</v>
      </c>
      <c r="N210" s="7">
        <v>240</v>
      </c>
      <c r="O210" s="7">
        <v>1000</v>
      </c>
      <c r="P210" s="7">
        <v>1320</v>
      </c>
    </row>
    <row r="211" spans="1:16" s="10" customFormat="1">
      <c r="A211" s="7">
        <f>IF(B211="","",SUBTOTAL(103,$B$2:B211))</f>
        <v>210</v>
      </c>
      <c r="B211" s="8" t="s">
        <v>547</v>
      </c>
      <c r="C211" s="7" t="s">
        <v>626</v>
      </c>
      <c r="D211" s="9" t="s">
        <v>633</v>
      </c>
      <c r="E211" s="7" t="s">
        <v>562</v>
      </c>
      <c r="F211" s="7" t="s">
        <v>634</v>
      </c>
      <c r="G211" s="7" t="str">
        <f>E211&amp;F211</f>
        <v>Ladish KV-080-RD 阀体毛坯NPS11/2 CL600 ASTM A216-WCB</v>
      </c>
      <c r="H211" s="7">
        <v>1.93</v>
      </c>
      <c r="I211" s="7">
        <v>2</v>
      </c>
      <c r="J211" s="7">
        <v>800</v>
      </c>
      <c r="K211" s="7">
        <v>600</v>
      </c>
      <c r="L211" s="7">
        <v>150</v>
      </c>
      <c r="M211" s="7">
        <v>30</v>
      </c>
      <c r="N211" s="7">
        <v>240</v>
      </c>
      <c r="O211" s="7">
        <v>1000</v>
      </c>
      <c r="P211" s="7">
        <v>1320</v>
      </c>
    </row>
    <row r="212" spans="1:16" s="10" customFormat="1">
      <c r="A212" s="7">
        <f>IF(B212="","",SUBTOTAL(103,$B$2:B212))</f>
        <v>211</v>
      </c>
      <c r="B212" s="8" t="s">
        <v>547</v>
      </c>
      <c r="C212" s="7" t="s">
        <v>626</v>
      </c>
      <c r="D212" s="9" t="s">
        <v>635</v>
      </c>
      <c r="E212" s="7" t="s">
        <v>570</v>
      </c>
      <c r="F212" s="7" t="s">
        <v>636</v>
      </c>
      <c r="G212" s="7" t="str">
        <f>E212&amp;F212</f>
        <v>SMITH KV-080 阀体毛坯 (英制芯棒,NACE)NPS11/2 1500WOG ASTM A351-CF3M</v>
      </c>
      <c r="H212" s="7">
        <v>1.93</v>
      </c>
      <c r="I212" s="7">
        <v>2</v>
      </c>
      <c r="J212" s="7">
        <v>800</v>
      </c>
      <c r="K212" s="7">
        <v>600</v>
      </c>
      <c r="L212" s="7">
        <v>150</v>
      </c>
      <c r="M212" s="7">
        <v>30</v>
      </c>
      <c r="N212" s="7">
        <v>240</v>
      </c>
      <c r="O212" s="7">
        <v>1000</v>
      </c>
      <c r="P212" s="7">
        <v>1320</v>
      </c>
    </row>
    <row r="213" spans="1:16" s="10" customFormat="1">
      <c r="A213" s="7">
        <f>IF(B213="","",SUBTOTAL(103,$B$2:B213))</f>
        <v>212</v>
      </c>
      <c r="B213" s="8" t="s">
        <v>547</v>
      </c>
      <c r="C213" s="7" t="s">
        <v>626</v>
      </c>
      <c r="D213" s="9" t="s">
        <v>637</v>
      </c>
      <c r="E213" s="7" t="s">
        <v>562</v>
      </c>
      <c r="F213" s="7" t="s">
        <v>638</v>
      </c>
      <c r="G213" s="7" t="str">
        <f>E213&amp;F213</f>
        <v>Ladish KV-080-RD 阀体毛坯NPS11/2 CL600 ASTM A351-CF3M</v>
      </c>
      <c r="H213" s="7">
        <v>1.93</v>
      </c>
      <c r="I213" s="7">
        <v>2</v>
      </c>
      <c r="J213" s="7">
        <v>800</v>
      </c>
      <c r="K213" s="7">
        <v>600</v>
      </c>
      <c r="L213" s="7">
        <v>150</v>
      </c>
      <c r="M213" s="7">
        <v>30</v>
      </c>
      <c r="N213" s="7">
        <v>240</v>
      </c>
      <c r="O213" s="7">
        <v>1000</v>
      </c>
      <c r="P213" s="7">
        <v>1320</v>
      </c>
    </row>
    <row r="214" spans="1:16" s="10" customFormat="1">
      <c r="A214" s="7">
        <f>IF(B214="","",SUBTOTAL(103,$B$2:B214))</f>
        <v>213</v>
      </c>
      <c r="B214" s="8" t="s">
        <v>547</v>
      </c>
      <c r="C214" s="7" t="s">
        <v>626</v>
      </c>
      <c r="D214" s="9" t="s">
        <v>639</v>
      </c>
      <c r="E214" s="7" t="s">
        <v>575</v>
      </c>
      <c r="F214" s="7" t="s">
        <v>638</v>
      </c>
      <c r="G214" s="7" t="str">
        <f>E214&amp;F214</f>
        <v>Ladish KV-C80 阀体毛坯 (不需做深冷处理，借080-RD换字块，NACE)NPS11/2 CL600 ASTM A351-CF3M</v>
      </c>
      <c r="H214" s="7">
        <v>1.93</v>
      </c>
      <c r="I214" s="7">
        <v>2</v>
      </c>
      <c r="J214" s="7">
        <v>800</v>
      </c>
      <c r="K214" s="7">
        <v>600</v>
      </c>
      <c r="L214" s="7">
        <v>150</v>
      </c>
      <c r="M214" s="7">
        <v>30</v>
      </c>
      <c r="N214" s="7">
        <v>240</v>
      </c>
      <c r="O214" s="7">
        <v>1000</v>
      </c>
      <c r="P214" s="7">
        <v>1320</v>
      </c>
    </row>
    <row r="215" spans="1:16" s="10" customFormat="1">
      <c r="A215" s="7">
        <f>IF(B215="","",SUBTOTAL(103,$B$2:B215))</f>
        <v>214</v>
      </c>
      <c r="B215" s="8" t="s">
        <v>547</v>
      </c>
      <c r="C215" s="7" t="s">
        <v>640</v>
      </c>
      <c r="D215" s="9" t="s">
        <v>641</v>
      </c>
      <c r="E215" s="7" t="s">
        <v>578</v>
      </c>
      <c r="F215" s="7" t="s">
        <v>162</v>
      </c>
      <c r="G215" s="7" t="s">
        <v>642</v>
      </c>
      <c r="H215" s="7">
        <v>1.02</v>
      </c>
      <c r="I215" s="7">
        <v>3</v>
      </c>
      <c r="J215" s="7">
        <v>800</v>
      </c>
      <c r="K215" s="7">
        <v>600</v>
      </c>
      <c r="L215" s="7">
        <v>150</v>
      </c>
      <c r="M215" s="7">
        <v>30</v>
      </c>
      <c r="N215" s="7">
        <v>240</v>
      </c>
      <c r="O215" s="7">
        <v>650</v>
      </c>
      <c r="P215" s="7">
        <v>810</v>
      </c>
    </row>
    <row r="216" spans="1:16" s="10" customFormat="1">
      <c r="A216" s="7">
        <f>IF(B216="","",SUBTOTAL(103,$B$2:B216))</f>
        <v>215</v>
      </c>
      <c r="B216" s="8" t="s">
        <v>547</v>
      </c>
      <c r="C216" s="7" t="s">
        <v>640</v>
      </c>
      <c r="D216" s="9" t="s">
        <v>643</v>
      </c>
      <c r="E216" s="7" t="s">
        <v>578</v>
      </c>
      <c r="F216" s="7" t="s">
        <v>644</v>
      </c>
      <c r="G216" s="7" t="s">
        <v>645</v>
      </c>
      <c r="H216" s="7">
        <v>1.0149999999999999</v>
      </c>
      <c r="I216" s="7">
        <v>3</v>
      </c>
      <c r="J216" s="7">
        <v>800</v>
      </c>
      <c r="K216" s="7">
        <v>600</v>
      </c>
      <c r="L216" s="7">
        <v>150</v>
      </c>
      <c r="M216" s="7">
        <v>30</v>
      </c>
      <c r="N216" s="7">
        <v>240</v>
      </c>
      <c r="O216" s="7">
        <v>650</v>
      </c>
      <c r="P216" s="7">
        <v>810</v>
      </c>
    </row>
    <row r="217" spans="1:16" s="10" customFormat="1">
      <c r="A217" s="7">
        <f>IF(B217="","",SUBTOTAL(103,$B$2:B217))</f>
        <v>216</v>
      </c>
      <c r="B217" s="8" t="s">
        <v>547</v>
      </c>
      <c r="C217" s="7" t="s">
        <v>646</v>
      </c>
      <c r="D217" s="9" t="s">
        <v>647</v>
      </c>
      <c r="E217" s="7" t="s">
        <v>578</v>
      </c>
      <c r="F217" s="7" t="s">
        <v>190</v>
      </c>
      <c r="G217" s="7" t="s">
        <v>648</v>
      </c>
      <c r="H217" s="7">
        <v>0.50700000000000001</v>
      </c>
      <c r="I217" s="7">
        <v>8</v>
      </c>
      <c r="J217" s="7">
        <v>800</v>
      </c>
      <c r="K217" s="7">
        <v>600</v>
      </c>
      <c r="L217" s="7">
        <v>150</v>
      </c>
      <c r="M217" s="7">
        <v>30</v>
      </c>
      <c r="N217" s="7">
        <v>240</v>
      </c>
      <c r="O217" s="7">
        <v>225</v>
      </c>
      <c r="P217" s="7">
        <v>300</v>
      </c>
    </row>
    <row r="218" spans="1:16" s="10" customFormat="1">
      <c r="A218" s="7">
        <f>IF(B218="","",SUBTOTAL(103,$B$2:B218))</f>
        <v>217</v>
      </c>
      <c r="B218" s="8" t="s">
        <v>547</v>
      </c>
      <c r="C218" s="7" t="s">
        <v>646</v>
      </c>
      <c r="D218" s="9" t="s">
        <v>649</v>
      </c>
      <c r="E218" s="7" t="s">
        <v>578</v>
      </c>
      <c r="F218" s="7" t="s">
        <v>193</v>
      </c>
      <c r="G218" s="7" t="s">
        <v>650</v>
      </c>
      <c r="H218" s="7">
        <v>0.50700000000000001</v>
      </c>
      <c r="I218" s="7">
        <v>8</v>
      </c>
      <c r="J218" s="7">
        <v>800</v>
      </c>
      <c r="K218" s="7">
        <v>600</v>
      </c>
      <c r="L218" s="7">
        <v>150</v>
      </c>
      <c r="M218" s="7">
        <v>30</v>
      </c>
      <c r="N218" s="7">
        <v>240</v>
      </c>
      <c r="O218" s="7">
        <v>225</v>
      </c>
      <c r="P218" s="7">
        <v>300</v>
      </c>
    </row>
    <row r="219" spans="1:16" s="10" customFormat="1">
      <c r="A219" s="7">
        <f>IF(B219="","",SUBTOTAL(103,$B$2:B219))</f>
        <v>218</v>
      </c>
      <c r="B219" s="8" t="s">
        <v>547</v>
      </c>
      <c r="C219" s="7" t="s">
        <v>646</v>
      </c>
      <c r="D219" s="9" t="s">
        <v>651</v>
      </c>
      <c r="E219" s="7" t="s">
        <v>584</v>
      </c>
      <c r="F219" s="7" t="s">
        <v>652</v>
      </c>
      <c r="G219" s="7" t="str">
        <f t="shared" ref="G219:G226" si="3">E219&amp;F219</f>
        <v>SMITH KV-080 阀体毛坯 (NACE)NPS3/4 2000WOG ASTM A216-WCB</v>
      </c>
      <c r="H219" s="7">
        <v>0.50700000000000001</v>
      </c>
      <c r="I219" s="7">
        <v>8</v>
      </c>
      <c r="J219" s="7">
        <v>800</v>
      </c>
      <c r="K219" s="7">
        <v>600</v>
      </c>
      <c r="L219" s="7">
        <v>150</v>
      </c>
      <c r="M219" s="7">
        <v>30</v>
      </c>
      <c r="N219" s="7">
        <v>240</v>
      </c>
      <c r="O219" s="7">
        <v>225</v>
      </c>
      <c r="P219" s="7">
        <v>300</v>
      </c>
    </row>
    <row r="220" spans="1:16" s="10" customFormat="1">
      <c r="A220" s="7">
        <f>IF(B220="","",SUBTOTAL(103,$B$2:B220))</f>
        <v>219</v>
      </c>
      <c r="B220" s="8" t="s">
        <v>547</v>
      </c>
      <c r="C220" s="7" t="s">
        <v>646</v>
      </c>
      <c r="D220" s="9" t="s">
        <v>653</v>
      </c>
      <c r="E220" s="7" t="s">
        <v>562</v>
      </c>
      <c r="F220" s="7" t="s">
        <v>654</v>
      </c>
      <c r="G220" s="7" t="str">
        <f t="shared" si="3"/>
        <v>Ladish KV-080-RD 阀体毛坯NPS3/4 CL800 ASTM A216-WCB</v>
      </c>
      <c r="H220" s="7">
        <v>0.50700000000000001</v>
      </c>
      <c r="I220" s="7">
        <v>56</v>
      </c>
      <c r="J220" s="7">
        <v>800</v>
      </c>
      <c r="K220" s="7">
        <v>600</v>
      </c>
      <c r="L220" s="7">
        <v>150</v>
      </c>
      <c r="M220" s="7">
        <v>30</v>
      </c>
      <c r="N220" s="7">
        <v>240</v>
      </c>
      <c r="O220" s="7">
        <v>225</v>
      </c>
      <c r="P220" s="7">
        <v>300</v>
      </c>
    </row>
    <row r="221" spans="1:16" s="10" customFormat="1">
      <c r="A221" s="7">
        <f>IF(B221="","",SUBTOTAL(103,$B$2:B221))</f>
        <v>220</v>
      </c>
      <c r="B221" s="8" t="s">
        <v>547</v>
      </c>
      <c r="C221" s="7" t="s">
        <v>646</v>
      </c>
      <c r="D221" s="9" t="s">
        <v>655</v>
      </c>
      <c r="E221" s="7" t="s">
        <v>584</v>
      </c>
      <c r="F221" s="7" t="s">
        <v>656</v>
      </c>
      <c r="G221" s="7" t="str">
        <f t="shared" si="3"/>
        <v>SMITH KV-080 阀体毛坯 (NACE)NPS3/4 2000WOG ASTM A351-CN7M</v>
      </c>
      <c r="H221" s="7">
        <v>0.50700000000000001</v>
      </c>
      <c r="I221" s="7">
        <v>8</v>
      </c>
      <c r="J221" s="7">
        <v>800</v>
      </c>
      <c r="K221" s="7">
        <v>600</v>
      </c>
      <c r="L221" s="7">
        <v>150</v>
      </c>
      <c r="M221" s="7">
        <v>30</v>
      </c>
      <c r="N221" s="7">
        <v>240</v>
      </c>
      <c r="O221" s="7">
        <v>225</v>
      </c>
      <c r="P221" s="7">
        <v>300</v>
      </c>
    </row>
    <row r="222" spans="1:16" s="10" customFormat="1">
      <c r="A222" s="7">
        <f>IF(B222="","",SUBTOTAL(103,$B$2:B222))</f>
        <v>221</v>
      </c>
      <c r="B222" s="8" t="s">
        <v>547</v>
      </c>
      <c r="C222" s="7" t="s">
        <v>646</v>
      </c>
      <c r="D222" s="9" t="s">
        <v>657</v>
      </c>
      <c r="E222" s="7" t="s">
        <v>584</v>
      </c>
      <c r="F222" s="7" t="s">
        <v>658</v>
      </c>
      <c r="G222" s="7" t="str">
        <f t="shared" si="3"/>
        <v>SMITH KV-080 阀体毛坯 (NACE)NPS3/4 2000WOG ASTM A351-CF3M</v>
      </c>
      <c r="H222" s="7">
        <v>0.50700000000000001</v>
      </c>
      <c r="I222" s="7">
        <v>8</v>
      </c>
      <c r="J222" s="7">
        <v>800</v>
      </c>
      <c r="K222" s="7">
        <v>600</v>
      </c>
      <c r="L222" s="7">
        <v>150</v>
      </c>
      <c r="M222" s="7">
        <v>30</v>
      </c>
      <c r="N222" s="7">
        <v>240</v>
      </c>
      <c r="O222" s="7">
        <v>225</v>
      </c>
      <c r="P222" s="7">
        <v>300</v>
      </c>
    </row>
    <row r="223" spans="1:16" s="10" customFormat="1">
      <c r="A223" s="7">
        <f>IF(B223="","",SUBTOTAL(103,$B$2:B223))</f>
        <v>222</v>
      </c>
      <c r="B223" s="8" t="s">
        <v>547</v>
      </c>
      <c r="C223" s="7" t="s">
        <v>646</v>
      </c>
      <c r="D223" s="9" t="s">
        <v>659</v>
      </c>
      <c r="E223" s="7" t="s">
        <v>562</v>
      </c>
      <c r="F223" s="7" t="s">
        <v>660</v>
      </c>
      <c r="G223" s="7" t="str">
        <f t="shared" si="3"/>
        <v>Ladish KV-080-RD 阀体毛坯NPS3/4 CL800 ASTM A351-CF3M</v>
      </c>
      <c r="H223" s="7">
        <v>0.50700000000000001</v>
      </c>
      <c r="I223" s="7">
        <v>4</v>
      </c>
      <c r="J223" s="7">
        <v>800</v>
      </c>
      <c r="K223" s="7">
        <v>600</v>
      </c>
      <c r="L223" s="7">
        <v>150</v>
      </c>
      <c r="M223" s="7">
        <v>30</v>
      </c>
      <c r="N223" s="7">
        <v>240</v>
      </c>
      <c r="O223" s="7">
        <v>225</v>
      </c>
      <c r="P223" s="7">
        <v>300</v>
      </c>
    </row>
    <row r="224" spans="1:16" s="10" customFormat="1">
      <c r="A224" s="7">
        <f>IF(B224="","",SUBTOTAL(103,$B$2:B224))</f>
        <v>223</v>
      </c>
      <c r="B224" s="8" t="s">
        <v>547</v>
      </c>
      <c r="C224" s="7" t="s">
        <v>646</v>
      </c>
      <c r="D224" s="9" t="s">
        <v>661</v>
      </c>
      <c r="E224" s="7" t="s">
        <v>575</v>
      </c>
      <c r="F224" s="7" t="s">
        <v>660</v>
      </c>
      <c r="G224" s="7" t="str">
        <f t="shared" si="3"/>
        <v>Ladish KV-C80 阀体毛坯 (不需做深冷处理，借080-RD换字块，NACE)NPS3/4 CL800 ASTM A351-CF3M</v>
      </c>
      <c r="H224" s="7">
        <v>0.36399999999999999</v>
      </c>
      <c r="I224" s="7">
        <v>5</v>
      </c>
      <c r="J224" s="7">
        <v>800</v>
      </c>
      <c r="K224" s="7">
        <v>600</v>
      </c>
      <c r="L224" s="7">
        <v>150</v>
      </c>
      <c r="M224" s="7">
        <v>30</v>
      </c>
      <c r="N224" s="7">
        <v>240</v>
      </c>
      <c r="O224" s="7">
        <v>225</v>
      </c>
      <c r="P224" s="7">
        <v>300</v>
      </c>
    </row>
    <row r="225" spans="1:16" s="10" customFormat="1">
      <c r="A225" s="7">
        <f>IF(B225="","",SUBTOTAL(103,$B$2:B225))</f>
        <v>224</v>
      </c>
      <c r="B225" s="8" t="s">
        <v>547</v>
      </c>
      <c r="C225" s="7" t="s">
        <v>646</v>
      </c>
      <c r="D225" s="9" t="s">
        <v>662</v>
      </c>
      <c r="E225" s="7" t="s">
        <v>584</v>
      </c>
      <c r="F225" s="7" t="s">
        <v>663</v>
      </c>
      <c r="G225" s="7" t="str">
        <f t="shared" si="3"/>
        <v>SMITH KV-080 阀体毛坯 (NACE)NPS3/4 2000WOG ASTM A995-CD3MN</v>
      </c>
      <c r="H225" s="7">
        <v>0.50700000000000001</v>
      </c>
      <c r="I225" s="7">
        <v>8</v>
      </c>
      <c r="J225" s="7">
        <v>800</v>
      </c>
      <c r="K225" s="7">
        <v>600</v>
      </c>
      <c r="L225" s="7">
        <v>150</v>
      </c>
      <c r="M225" s="7">
        <v>30</v>
      </c>
      <c r="N225" s="7">
        <v>240</v>
      </c>
      <c r="O225" s="7">
        <v>225</v>
      </c>
      <c r="P225" s="7">
        <v>300</v>
      </c>
    </row>
    <row r="226" spans="1:16" s="10" customFormat="1">
      <c r="A226" s="7">
        <f>IF(B226="","",SUBTOTAL(103,$B$2:B226))</f>
        <v>225</v>
      </c>
      <c r="B226" s="8" t="s">
        <v>547</v>
      </c>
      <c r="C226" s="7" t="s">
        <v>646</v>
      </c>
      <c r="D226" s="9" t="s">
        <v>664</v>
      </c>
      <c r="E226" s="7" t="s">
        <v>562</v>
      </c>
      <c r="F226" s="7" t="s">
        <v>665</v>
      </c>
      <c r="G226" s="7" t="str">
        <f t="shared" si="3"/>
        <v>Ladish KV-080-RD 阀体毛坯NPS3/4 CL800 ASTM A995-CD3MN</v>
      </c>
      <c r="H226" s="7">
        <v>0.50700000000000001</v>
      </c>
      <c r="I226" s="7">
        <v>4</v>
      </c>
      <c r="J226" s="7">
        <v>800</v>
      </c>
      <c r="K226" s="7">
        <v>600</v>
      </c>
      <c r="L226" s="7">
        <v>150</v>
      </c>
      <c r="M226" s="7">
        <v>30</v>
      </c>
      <c r="N226" s="7">
        <v>240</v>
      </c>
      <c r="O226" s="7">
        <v>225</v>
      </c>
      <c r="P226" s="7">
        <v>300</v>
      </c>
    </row>
    <row r="227" spans="1:16" s="10" customFormat="1">
      <c r="A227" s="7">
        <f>IF(B227="","",SUBTOTAL(103,$B$2:B227))</f>
        <v>226</v>
      </c>
      <c r="B227" s="8" t="s">
        <v>666</v>
      </c>
      <c r="C227" s="7" t="s">
        <v>646</v>
      </c>
      <c r="D227" s="9" t="s">
        <v>667</v>
      </c>
      <c r="E227" s="7" t="s">
        <v>668</v>
      </c>
      <c r="F227" s="7" t="s">
        <v>669</v>
      </c>
      <c r="G227" s="7" t="s">
        <v>670</v>
      </c>
      <c r="H227" s="7">
        <v>0.85</v>
      </c>
      <c r="I227" s="7">
        <v>6</v>
      </c>
      <c r="J227" s="7">
        <v>800</v>
      </c>
      <c r="K227" s="7">
        <v>600</v>
      </c>
      <c r="L227" s="7">
        <v>150</v>
      </c>
      <c r="M227" s="7">
        <v>30</v>
      </c>
      <c r="N227" s="7">
        <v>60</v>
      </c>
      <c r="O227" s="7">
        <v>310</v>
      </c>
      <c r="P227" s="7">
        <v>420</v>
      </c>
    </row>
    <row r="228" spans="1:16" s="10" customFormat="1">
      <c r="A228" s="7">
        <f>IF(B228="","",SUBTOTAL(103,$B$2:B228))</f>
        <v>227</v>
      </c>
      <c r="B228" s="8" t="s">
        <v>122</v>
      </c>
      <c r="C228" s="7" t="s">
        <v>144</v>
      </c>
      <c r="D228" s="9" t="s">
        <v>671</v>
      </c>
      <c r="E228" s="7" t="s">
        <v>672</v>
      </c>
      <c r="F228" s="7" t="s">
        <v>673</v>
      </c>
      <c r="G228" s="7" t="s">
        <v>674</v>
      </c>
      <c r="H228" s="7">
        <v>0.34100000000000003</v>
      </c>
      <c r="I228" s="7">
        <v>10</v>
      </c>
      <c r="J228" s="7">
        <v>800</v>
      </c>
      <c r="K228" s="7">
        <v>600</v>
      </c>
      <c r="L228" s="7">
        <v>150</v>
      </c>
      <c r="M228" s="7">
        <v>30</v>
      </c>
      <c r="N228" s="7">
        <v>60</v>
      </c>
      <c r="O228" s="7">
        <v>195</v>
      </c>
      <c r="P228" s="7">
        <v>360</v>
      </c>
    </row>
    <row r="229" spans="1:16" s="10" customFormat="1">
      <c r="A229" s="7">
        <f>IF(B229="","",SUBTOTAL(103,$B$2:B229))</f>
        <v>228</v>
      </c>
      <c r="B229" s="8" t="s">
        <v>122</v>
      </c>
      <c r="C229" s="7" t="s">
        <v>188</v>
      </c>
      <c r="D229" s="9" t="s">
        <v>675</v>
      </c>
      <c r="E229" s="7" t="s">
        <v>672</v>
      </c>
      <c r="F229" s="7" t="s">
        <v>676</v>
      </c>
      <c r="G229" s="7" t="s">
        <v>677</v>
      </c>
      <c r="H229" s="7">
        <v>0.49</v>
      </c>
      <c r="I229" s="7">
        <v>10</v>
      </c>
      <c r="J229" s="7">
        <v>800</v>
      </c>
      <c r="K229" s="7">
        <v>600</v>
      </c>
      <c r="L229" s="7">
        <v>150</v>
      </c>
      <c r="M229" s="7">
        <v>30</v>
      </c>
      <c r="N229" s="7">
        <v>60</v>
      </c>
      <c r="O229" s="7">
        <v>195</v>
      </c>
      <c r="P229" s="7">
        <v>360</v>
      </c>
    </row>
    <row r="230" spans="1:16" s="10" customFormat="1">
      <c r="A230" s="7">
        <f>IF(B230="","",SUBTOTAL(103,$B$2:B230))</f>
        <v>229</v>
      </c>
      <c r="B230" s="8" t="s">
        <v>122</v>
      </c>
      <c r="C230" s="7" t="s">
        <v>131</v>
      </c>
      <c r="D230" s="9" t="s">
        <v>678</v>
      </c>
      <c r="E230" s="7" t="s">
        <v>672</v>
      </c>
      <c r="F230" s="7" t="s">
        <v>679</v>
      </c>
      <c r="G230" s="7" t="s">
        <v>680</v>
      </c>
      <c r="H230" s="7">
        <v>0.81</v>
      </c>
      <c r="I230" s="7">
        <v>4</v>
      </c>
      <c r="J230" s="7">
        <v>800</v>
      </c>
      <c r="K230" s="7">
        <v>600</v>
      </c>
      <c r="L230" s="7">
        <v>150</v>
      </c>
      <c r="M230" s="7">
        <v>30</v>
      </c>
      <c r="N230" s="7">
        <v>60</v>
      </c>
      <c r="O230" s="7">
        <v>500</v>
      </c>
      <c r="P230" s="7">
        <v>720</v>
      </c>
    </row>
    <row r="231" spans="1:16" s="10" customFormat="1">
      <c r="A231" s="7">
        <f>IF(B231="","",SUBTOTAL(103,$B$2:B231))</f>
        <v>230</v>
      </c>
      <c r="B231" s="8" t="s">
        <v>122</v>
      </c>
      <c r="C231" s="7" t="s">
        <v>153</v>
      </c>
      <c r="D231" s="9" t="s">
        <v>681</v>
      </c>
      <c r="E231" s="7" t="s">
        <v>672</v>
      </c>
      <c r="F231" s="7" t="s">
        <v>682</v>
      </c>
      <c r="G231" s="7" t="s">
        <v>683</v>
      </c>
      <c r="H231" s="7">
        <v>1.46</v>
      </c>
      <c r="I231" s="7">
        <v>3</v>
      </c>
      <c r="J231" s="7">
        <v>800</v>
      </c>
      <c r="K231" s="7">
        <v>600</v>
      </c>
      <c r="L231" s="7">
        <v>150</v>
      </c>
      <c r="M231" s="7">
        <v>30</v>
      </c>
      <c r="N231" s="7">
        <v>60</v>
      </c>
      <c r="O231" s="7">
        <v>650</v>
      </c>
      <c r="P231" s="7">
        <v>810</v>
      </c>
    </row>
    <row r="232" spans="1:16" s="10" customFormat="1">
      <c r="A232" s="7">
        <f>IF(B232="","",SUBTOTAL(103,$B$2:B232))</f>
        <v>231</v>
      </c>
      <c r="B232" s="8" t="s">
        <v>122</v>
      </c>
      <c r="C232" s="7" t="s">
        <v>167</v>
      </c>
      <c r="D232" s="9" t="s">
        <v>684</v>
      </c>
      <c r="E232" s="7" t="s">
        <v>672</v>
      </c>
      <c r="F232" s="7" t="s">
        <v>685</v>
      </c>
      <c r="G232" s="7" t="s">
        <v>686</v>
      </c>
      <c r="H232" s="7">
        <v>2.2650000000000001</v>
      </c>
      <c r="I232" s="7">
        <v>2</v>
      </c>
      <c r="J232" s="7">
        <v>800</v>
      </c>
      <c r="K232" s="7">
        <v>600</v>
      </c>
      <c r="L232" s="7">
        <v>150</v>
      </c>
      <c r="M232" s="7">
        <v>30</v>
      </c>
      <c r="N232" s="7">
        <v>60</v>
      </c>
      <c r="O232" s="7">
        <v>1000</v>
      </c>
      <c r="P232" s="7">
        <v>1320</v>
      </c>
    </row>
    <row r="233" spans="1:16" s="10" customFormat="1">
      <c r="A233" s="7">
        <f>IF(B233="","",SUBTOTAL(103,$B$2:B233))</f>
        <v>232</v>
      </c>
      <c r="B233" s="8" t="s">
        <v>122</v>
      </c>
      <c r="C233" s="7" t="s">
        <v>174</v>
      </c>
      <c r="D233" s="9" t="s">
        <v>687</v>
      </c>
      <c r="E233" s="7" t="s">
        <v>672</v>
      </c>
      <c r="F233" s="7" t="s">
        <v>688</v>
      </c>
      <c r="G233" s="7" t="s">
        <v>689</v>
      </c>
      <c r="H233" s="7">
        <v>5.62</v>
      </c>
      <c r="I233" s="7">
        <v>1</v>
      </c>
      <c r="J233" s="7">
        <v>800</v>
      </c>
      <c r="K233" s="7">
        <v>600</v>
      </c>
      <c r="L233" s="7">
        <v>150</v>
      </c>
      <c r="M233" s="7">
        <v>30</v>
      </c>
      <c r="N233" s="7">
        <v>60</v>
      </c>
      <c r="O233" s="7">
        <v>2000</v>
      </c>
      <c r="P233" s="7">
        <v>2460</v>
      </c>
    </row>
    <row r="234" spans="1:16" s="10" customFormat="1">
      <c r="A234" s="7">
        <f>IF(B234="","",SUBTOTAL(103,$B$2:B234))</f>
        <v>233</v>
      </c>
      <c r="B234" s="8" t="s">
        <v>122</v>
      </c>
      <c r="C234" s="7" t="s">
        <v>123</v>
      </c>
      <c r="D234" s="9" t="s">
        <v>690</v>
      </c>
      <c r="E234" s="7" t="s">
        <v>672</v>
      </c>
      <c r="F234" s="7" t="s">
        <v>691</v>
      </c>
      <c r="G234" s="7" t="s">
        <v>692</v>
      </c>
      <c r="H234" s="7">
        <v>0.14000000000000001</v>
      </c>
      <c r="I234" s="7">
        <v>10</v>
      </c>
      <c r="J234" s="7">
        <v>800</v>
      </c>
      <c r="K234" s="7">
        <v>600</v>
      </c>
      <c r="L234" s="7">
        <v>150</v>
      </c>
      <c r="M234" s="7">
        <v>30</v>
      </c>
      <c r="N234" s="7">
        <v>60</v>
      </c>
      <c r="O234" s="7">
        <v>195</v>
      </c>
      <c r="P234" s="7">
        <v>360</v>
      </c>
    </row>
    <row r="235" spans="1:16" s="10" customFormat="1">
      <c r="A235" s="7">
        <f>IF(B235="","",SUBTOTAL(103,$B$2:B235))</f>
        <v>234</v>
      </c>
      <c r="B235" s="8" t="s">
        <v>122</v>
      </c>
      <c r="C235" s="7" t="s">
        <v>181</v>
      </c>
      <c r="D235" s="9" t="s">
        <v>693</v>
      </c>
      <c r="E235" s="7" t="s">
        <v>672</v>
      </c>
      <c r="F235" s="7" t="s">
        <v>694</v>
      </c>
      <c r="G235" s="7" t="s">
        <v>695</v>
      </c>
      <c r="H235" s="7">
        <v>6.47</v>
      </c>
      <c r="I235" s="7">
        <v>1</v>
      </c>
      <c r="J235" s="7">
        <v>800</v>
      </c>
      <c r="K235" s="7">
        <v>600</v>
      </c>
      <c r="L235" s="7">
        <v>150</v>
      </c>
      <c r="M235" s="7">
        <v>30</v>
      </c>
      <c r="N235" s="7">
        <v>60</v>
      </c>
      <c r="O235" s="7">
        <v>2000</v>
      </c>
      <c r="P235" s="7">
        <v>2460</v>
      </c>
    </row>
    <row r="236" spans="1:16" s="10" customFormat="1">
      <c r="A236" s="7">
        <f>IF(B236="","",SUBTOTAL(103,$B$2:B236))</f>
        <v>235</v>
      </c>
      <c r="B236" s="8" t="s">
        <v>696</v>
      </c>
      <c r="C236" s="7" t="s">
        <v>697</v>
      </c>
      <c r="D236" s="9" t="s">
        <v>698</v>
      </c>
      <c r="E236" s="7" t="s">
        <v>699</v>
      </c>
      <c r="F236" s="7" t="s">
        <v>49</v>
      </c>
      <c r="G236" s="7" t="s">
        <v>700</v>
      </c>
      <c r="H236" s="7">
        <v>0.379</v>
      </c>
      <c r="I236" s="7">
        <v>10</v>
      </c>
      <c r="J236" s="7">
        <v>800</v>
      </c>
      <c r="K236" s="7">
        <v>600</v>
      </c>
      <c r="L236" s="7">
        <v>150</v>
      </c>
      <c r="M236" s="7">
        <v>30</v>
      </c>
      <c r="N236" s="7">
        <v>60</v>
      </c>
      <c r="O236" s="7">
        <v>195</v>
      </c>
      <c r="P236" s="7">
        <v>360</v>
      </c>
    </row>
    <row r="237" spans="1:16" s="10" customFormat="1">
      <c r="A237" s="7">
        <f>IF(B237="","",SUBTOTAL(103,$B$2:B237))</f>
        <v>236</v>
      </c>
      <c r="B237" s="8" t="s">
        <v>696</v>
      </c>
      <c r="C237" s="7" t="s">
        <v>697</v>
      </c>
      <c r="D237" s="9" t="s">
        <v>701</v>
      </c>
      <c r="E237" s="7" t="s">
        <v>699</v>
      </c>
      <c r="F237" s="7" t="s">
        <v>423</v>
      </c>
      <c r="G237" s="7" t="s">
        <v>702</v>
      </c>
      <c r="H237" s="7">
        <v>0.379</v>
      </c>
      <c r="I237" s="7">
        <v>10</v>
      </c>
      <c r="J237" s="7">
        <v>800</v>
      </c>
      <c r="K237" s="7">
        <v>600</v>
      </c>
      <c r="L237" s="7">
        <v>150</v>
      </c>
      <c r="M237" s="7">
        <v>30</v>
      </c>
      <c r="N237" s="7">
        <v>60</v>
      </c>
      <c r="O237" s="7">
        <v>195</v>
      </c>
      <c r="P237" s="7">
        <v>360</v>
      </c>
    </row>
    <row r="238" spans="1:16" s="10" customFormat="1">
      <c r="A238" s="7">
        <f>IF(B238="","",SUBTOTAL(103,$B$2:B238))</f>
        <v>237</v>
      </c>
      <c r="B238" s="8" t="s">
        <v>696</v>
      </c>
      <c r="C238" s="7" t="s">
        <v>703</v>
      </c>
      <c r="D238" s="9" t="s">
        <v>704</v>
      </c>
      <c r="E238" s="7" t="s">
        <v>699</v>
      </c>
      <c r="F238" s="7" t="s">
        <v>53</v>
      </c>
      <c r="G238" s="7" t="s">
        <v>705</v>
      </c>
      <c r="H238" s="7">
        <v>0.19</v>
      </c>
      <c r="I238" s="7">
        <v>12</v>
      </c>
      <c r="J238" s="7">
        <v>800</v>
      </c>
      <c r="K238" s="7">
        <v>600</v>
      </c>
      <c r="L238" s="7">
        <v>150</v>
      </c>
      <c r="M238" s="7">
        <v>30</v>
      </c>
      <c r="N238" s="7">
        <v>60</v>
      </c>
      <c r="O238" s="7">
        <v>150</v>
      </c>
      <c r="P238" s="7">
        <v>264</v>
      </c>
    </row>
    <row r="239" spans="1:16" s="10" customFormat="1">
      <c r="A239" s="7">
        <f>IF(B239="","",SUBTOTAL(103,$B$2:B239))</f>
        <v>238</v>
      </c>
      <c r="B239" s="8" t="s">
        <v>696</v>
      </c>
      <c r="C239" s="7" t="s">
        <v>703</v>
      </c>
      <c r="D239" s="9" t="s">
        <v>706</v>
      </c>
      <c r="E239" s="7" t="s">
        <v>699</v>
      </c>
      <c r="F239" s="7" t="s">
        <v>707</v>
      </c>
      <c r="G239" s="7" t="str">
        <f>E239&amp;F239</f>
        <v>FNW KV-L30 阀体毛坯NPS1/2 1000CWP ASTM A216-WCB</v>
      </c>
      <c r="H239" s="7">
        <v>0.19</v>
      </c>
      <c r="I239" s="7">
        <v>12</v>
      </c>
      <c r="J239" s="7">
        <v>800</v>
      </c>
      <c r="K239" s="7">
        <v>600</v>
      </c>
      <c r="L239" s="7">
        <v>150</v>
      </c>
      <c r="M239" s="7">
        <v>30</v>
      </c>
      <c r="N239" s="7">
        <v>60</v>
      </c>
      <c r="O239" s="7">
        <v>150</v>
      </c>
      <c r="P239" s="7">
        <v>264</v>
      </c>
    </row>
    <row r="240" spans="1:16" s="10" customFormat="1">
      <c r="A240" s="7">
        <f>IF(B240="","",SUBTOTAL(103,$B$2:B240))</f>
        <v>239</v>
      </c>
      <c r="B240" s="8" t="s">
        <v>696</v>
      </c>
      <c r="C240" s="7" t="s">
        <v>708</v>
      </c>
      <c r="D240" s="9" t="s">
        <v>709</v>
      </c>
      <c r="E240" s="7" t="s">
        <v>699</v>
      </c>
      <c r="F240" s="7" t="s">
        <v>710</v>
      </c>
      <c r="G240" s="7" t="s">
        <v>711</v>
      </c>
      <c r="H240" s="7">
        <v>0.193</v>
      </c>
      <c r="I240" s="7">
        <v>12</v>
      </c>
      <c r="J240" s="7">
        <v>800</v>
      </c>
      <c r="K240" s="7">
        <v>600</v>
      </c>
      <c r="L240" s="7">
        <v>150</v>
      </c>
      <c r="M240" s="7">
        <v>30</v>
      </c>
      <c r="N240" s="7">
        <v>60</v>
      </c>
      <c r="O240" s="7">
        <v>150</v>
      </c>
      <c r="P240" s="7">
        <v>198</v>
      </c>
    </row>
    <row r="241" spans="1:16" s="10" customFormat="1">
      <c r="A241" s="7">
        <f>IF(B241="","",SUBTOTAL(103,$B$2:B241))</f>
        <v>240</v>
      </c>
      <c r="B241" s="8" t="s">
        <v>696</v>
      </c>
      <c r="C241" s="7" t="s">
        <v>708</v>
      </c>
      <c r="D241" s="9" t="s">
        <v>712</v>
      </c>
      <c r="E241" s="7" t="s">
        <v>699</v>
      </c>
      <c r="F241" s="7" t="s">
        <v>713</v>
      </c>
      <c r="G241" s="7" t="str">
        <f>E241&amp;F241</f>
        <v>FNW KV-L30 阀体毛坯NPS1/4 1000CWP ASTM A351-CF8M</v>
      </c>
      <c r="H241" s="7">
        <v>0.193</v>
      </c>
      <c r="I241" s="7">
        <v>12</v>
      </c>
      <c r="J241" s="7">
        <v>800</v>
      </c>
      <c r="K241" s="7">
        <v>600</v>
      </c>
      <c r="L241" s="7">
        <v>150</v>
      </c>
      <c r="M241" s="7">
        <v>30</v>
      </c>
      <c r="N241" s="7">
        <v>60</v>
      </c>
      <c r="O241" s="7">
        <v>150</v>
      </c>
      <c r="P241" s="7">
        <v>198</v>
      </c>
    </row>
    <row r="242" spans="1:16" s="10" customFormat="1">
      <c r="A242" s="7">
        <f>IF(B242="","",SUBTOTAL(103,$B$2:B242))</f>
        <v>241</v>
      </c>
      <c r="B242" s="8" t="s">
        <v>696</v>
      </c>
      <c r="C242" s="7" t="s">
        <v>714</v>
      </c>
      <c r="D242" s="9" t="s">
        <v>715</v>
      </c>
      <c r="E242" s="7" t="s">
        <v>699</v>
      </c>
      <c r="F242" s="7" t="s">
        <v>59</v>
      </c>
      <c r="G242" s="7" t="s">
        <v>716</v>
      </c>
      <c r="H242" s="7">
        <v>0.82699999999999996</v>
      </c>
      <c r="I242" s="7">
        <v>4</v>
      </c>
      <c r="J242" s="7">
        <v>800</v>
      </c>
      <c r="K242" s="7">
        <v>600</v>
      </c>
      <c r="L242" s="7">
        <v>150</v>
      </c>
      <c r="M242" s="7">
        <v>30</v>
      </c>
      <c r="N242" s="7">
        <v>60</v>
      </c>
      <c r="O242" s="7">
        <v>500</v>
      </c>
      <c r="P242" s="7">
        <v>720</v>
      </c>
    </row>
    <row r="243" spans="1:16" s="10" customFormat="1">
      <c r="A243" s="7">
        <f>IF(B243="","",SUBTOTAL(103,$B$2:B243))</f>
        <v>242</v>
      </c>
      <c r="B243" s="8" t="s">
        <v>696</v>
      </c>
      <c r="C243" s="7" t="s">
        <v>714</v>
      </c>
      <c r="D243" s="9" t="s">
        <v>717</v>
      </c>
      <c r="E243" s="7" t="s">
        <v>699</v>
      </c>
      <c r="F243" s="7" t="s">
        <v>718</v>
      </c>
      <c r="G243" s="7" t="str">
        <f>E243&amp;F243</f>
        <v>FNW KV-L30 阀体毛坯NPS11/2 1000CWP ASTM A216-WCB</v>
      </c>
      <c r="H243" s="7">
        <v>0.82699999999999996</v>
      </c>
      <c r="I243" s="7">
        <v>4</v>
      </c>
      <c r="J243" s="7">
        <v>800</v>
      </c>
      <c r="K243" s="7">
        <v>600</v>
      </c>
      <c r="L243" s="7">
        <v>150</v>
      </c>
      <c r="M243" s="7">
        <v>30</v>
      </c>
      <c r="N243" s="7">
        <v>60</v>
      </c>
      <c r="O243" s="7">
        <v>500</v>
      </c>
      <c r="P243" s="7">
        <v>720</v>
      </c>
    </row>
    <row r="244" spans="1:16" s="10" customFormat="1">
      <c r="A244" s="7">
        <f>IF(B244="","",SUBTOTAL(103,$B$2:B244))</f>
        <v>243</v>
      </c>
      <c r="B244" s="8" t="s">
        <v>696</v>
      </c>
      <c r="C244" s="7" t="s">
        <v>719</v>
      </c>
      <c r="D244" s="9" t="s">
        <v>720</v>
      </c>
      <c r="E244" s="7" t="s">
        <v>699</v>
      </c>
      <c r="F244" s="7" t="s">
        <v>109</v>
      </c>
      <c r="G244" s="7" t="s">
        <v>721</v>
      </c>
      <c r="H244" s="7">
        <v>0.62</v>
      </c>
      <c r="I244" s="7">
        <v>8</v>
      </c>
      <c r="J244" s="7">
        <v>800</v>
      </c>
      <c r="K244" s="7">
        <v>600</v>
      </c>
      <c r="L244" s="7">
        <v>150</v>
      </c>
      <c r="M244" s="7">
        <v>30</v>
      </c>
      <c r="N244" s="7">
        <v>60</v>
      </c>
      <c r="O244" s="7">
        <v>225</v>
      </c>
      <c r="P244" s="7">
        <v>300</v>
      </c>
    </row>
    <row r="245" spans="1:16" s="10" customFormat="1">
      <c r="A245" s="7">
        <f>IF(B245="","",SUBTOTAL(103,$B$2:B245))</f>
        <v>244</v>
      </c>
      <c r="B245" s="8" t="s">
        <v>696</v>
      </c>
      <c r="C245" s="7" t="s">
        <v>722</v>
      </c>
      <c r="D245" s="9" t="s">
        <v>723</v>
      </c>
      <c r="E245" s="7" t="s">
        <v>699</v>
      </c>
      <c r="F245" s="7" t="s">
        <v>273</v>
      </c>
      <c r="G245" s="7" t="s">
        <v>724</v>
      </c>
      <c r="H245" s="7">
        <v>2.44</v>
      </c>
      <c r="I245" s="7">
        <v>1</v>
      </c>
      <c r="J245" s="7">
        <v>800</v>
      </c>
      <c r="K245" s="7">
        <v>600</v>
      </c>
      <c r="L245" s="7">
        <v>150</v>
      </c>
      <c r="M245" s="7">
        <v>30</v>
      </c>
      <c r="N245" s="7">
        <v>60</v>
      </c>
      <c r="O245" s="7">
        <v>650</v>
      </c>
      <c r="P245" s="7">
        <v>810</v>
      </c>
    </row>
    <row r="246" spans="1:16" s="10" customFormat="1">
      <c r="A246" s="7">
        <f>IF(B246="","",SUBTOTAL(103,$B$2:B246))</f>
        <v>245</v>
      </c>
      <c r="B246" s="8" t="s">
        <v>696</v>
      </c>
      <c r="C246" s="7" t="s">
        <v>722</v>
      </c>
      <c r="D246" s="9" t="s">
        <v>725</v>
      </c>
      <c r="E246" s="7" t="s">
        <v>699</v>
      </c>
      <c r="F246" s="7" t="s">
        <v>726</v>
      </c>
      <c r="G246" s="7" t="str">
        <f>+E246&amp;F246</f>
        <v>FNW KV-L30 阀体毛坯NPS21/2 1000CWP ASTM A216-WCB</v>
      </c>
      <c r="H246" s="7">
        <v>2.44</v>
      </c>
      <c r="I246" s="7">
        <v>1</v>
      </c>
      <c r="J246" s="7">
        <v>800</v>
      </c>
      <c r="K246" s="7">
        <v>600</v>
      </c>
      <c r="L246" s="7">
        <v>150</v>
      </c>
      <c r="M246" s="7">
        <v>30</v>
      </c>
      <c r="N246" s="7">
        <v>60</v>
      </c>
      <c r="O246" s="7">
        <v>650</v>
      </c>
      <c r="P246" s="7">
        <v>810</v>
      </c>
    </row>
    <row r="247" spans="1:16" s="10" customFormat="1">
      <c r="A247" s="7">
        <f>IF(B247="","",SUBTOTAL(103,$B$2:B247))</f>
        <v>246</v>
      </c>
      <c r="B247" s="8" t="s">
        <v>696</v>
      </c>
      <c r="C247" s="7" t="s">
        <v>727</v>
      </c>
      <c r="D247" s="9" t="s">
        <v>728</v>
      </c>
      <c r="E247" s="7" t="s">
        <v>699</v>
      </c>
      <c r="F247" s="7" t="s">
        <v>38</v>
      </c>
      <c r="G247" s="7" t="s">
        <v>729</v>
      </c>
      <c r="H247" s="7">
        <v>1.44</v>
      </c>
      <c r="I247" s="7">
        <v>3</v>
      </c>
      <c r="J247" s="7">
        <v>800</v>
      </c>
      <c r="K247" s="7">
        <v>600</v>
      </c>
      <c r="L247" s="7">
        <v>150</v>
      </c>
      <c r="M247" s="7">
        <v>30</v>
      </c>
      <c r="N247" s="7">
        <v>60</v>
      </c>
      <c r="O247" s="7">
        <v>650</v>
      </c>
      <c r="P247" s="7">
        <v>810</v>
      </c>
    </row>
    <row r="248" spans="1:16" s="10" customFormat="1">
      <c r="A248" s="7">
        <f>IF(B248="","",SUBTOTAL(103,$B$2:B248))</f>
        <v>247</v>
      </c>
      <c r="B248" s="8" t="s">
        <v>696</v>
      </c>
      <c r="C248" s="7" t="s">
        <v>727</v>
      </c>
      <c r="D248" s="9" t="s">
        <v>730</v>
      </c>
      <c r="E248" s="7" t="s">
        <v>699</v>
      </c>
      <c r="F248" s="7" t="s">
        <v>731</v>
      </c>
      <c r="G248" s="7" t="str">
        <f>E248&amp;F248</f>
        <v>FNW KV-L30 阀体毛坯NPS2 1000CWP ASTM A216-WCB</v>
      </c>
      <c r="H248" s="7">
        <v>1.44</v>
      </c>
      <c r="I248" s="7">
        <v>3</v>
      </c>
      <c r="J248" s="7">
        <v>800</v>
      </c>
      <c r="K248" s="7">
        <v>600</v>
      </c>
      <c r="L248" s="7">
        <v>150</v>
      </c>
      <c r="M248" s="7">
        <v>30</v>
      </c>
      <c r="N248" s="7">
        <v>60</v>
      </c>
      <c r="O248" s="7">
        <v>650</v>
      </c>
      <c r="P248" s="7">
        <v>810</v>
      </c>
    </row>
    <row r="249" spans="1:16" s="10" customFormat="1">
      <c r="A249" s="7">
        <f>IF(B249="","",SUBTOTAL(103,$B$2:B249))</f>
        <v>248</v>
      </c>
      <c r="B249" s="8" t="s">
        <v>696</v>
      </c>
      <c r="C249" s="7" t="s">
        <v>732</v>
      </c>
      <c r="D249" s="9" t="s">
        <v>733</v>
      </c>
      <c r="E249" s="7" t="s">
        <v>699</v>
      </c>
      <c r="F249" s="7" t="s">
        <v>183</v>
      </c>
      <c r="G249" s="7" t="s">
        <v>734</v>
      </c>
      <c r="H249" s="7">
        <v>3.3</v>
      </c>
      <c r="I249" s="7">
        <v>1</v>
      </c>
      <c r="J249" s="7">
        <v>800</v>
      </c>
      <c r="K249" s="7">
        <v>600</v>
      </c>
      <c r="L249" s="7">
        <v>150</v>
      </c>
      <c r="M249" s="7">
        <v>30</v>
      </c>
      <c r="N249" s="7">
        <v>60</v>
      </c>
      <c r="O249" s="7">
        <v>2000</v>
      </c>
      <c r="P249" s="7">
        <v>2460</v>
      </c>
    </row>
    <row r="250" spans="1:16" s="10" customFormat="1">
      <c r="A250" s="7">
        <f>IF(B250="","",SUBTOTAL(103,$B$2:B250))</f>
        <v>249</v>
      </c>
      <c r="B250" s="8" t="s">
        <v>696</v>
      </c>
      <c r="C250" s="7" t="s">
        <v>732</v>
      </c>
      <c r="D250" s="9" t="s">
        <v>735</v>
      </c>
      <c r="E250" s="7" t="s">
        <v>699</v>
      </c>
      <c r="F250" s="7" t="s">
        <v>736</v>
      </c>
      <c r="G250" s="7" t="str">
        <f>E250&amp;F250</f>
        <v>FNW KV-L30 阀体毛坯NPS3 1000CWP ASTM A216-WCB</v>
      </c>
      <c r="H250" s="7">
        <v>3.3</v>
      </c>
      <c r="I250" s="7">
        <v>1</v>
      </c>
      <c r="J250" s="7">
        <v>800</v>
      </c>
      <c r="K250" s="7">
        <v>600</v>
      </c>
      <c r="L250" s="7">
        <v>150</v>
      </c>
      <c r="M250" s="7">
        <v>30</v>
      </c>
      <c r="N250" s="7">
        <v>60</v>
      </c>
      <c r="O250" s="7">
        <v>2000</v>
      </c>
      <c r="P250" s="7">
        <v>2460</v>
      </c>
    </row>
    <row r="251" spans="1:16" s="10" customFormat="1">
      <c r="A251" s="7">
        <f>IF(B251="","",SUBTOTAL(103,$B$2:B251))</f>
        <v>250</v>
      </c>
      <c r="B251" s="8" t="s">
        <v>696</v>
      </c>
      <c r="C251" s="7" t="s">
        <v>737</v>
      </c>
      <c r="D251" s="9" t="s">
        <v>738</v>
      </c>
      <c r="E251" s="7" t="s">
        <v>699</v>
      </c>
      <c r="F251" s="7" t="s">
        <v>67</v>
      </c>
      <c r="G251" s="7" t="s">
        <v>739</v>
      </c>
      <c r="H251" s="7">
        <v>0.28299999999999997</v>
      </c>
      <c r="I251" s="7">
        <v>10</v>
      </c>
      <c r="J251" s="7">
        <v>800</v>
      </c>
      <c r="K251" s="7">
        <v>600</v>
      </c>
      <c r="L251" s="7">
        <v>150</v>
      </c>
      <c r="M251" s="7">
        <v>30</v>
      </c>
      <c r="N251" s="7">
        <v>60</v>
      </c>
      <c r="O251" s="7">
        <v>195</v>
      </c>
      <c r="P251" s="7">
        <v>360</v>
      </c>
    </row>
    <row r="252" spans="1:16" s="10" customFormat="1">
      <c r="A252" s="7">
        <f>IF(B252="","",SUBTOTAL(103,$B$2:B252))</f>
        <v>251</v>
      </c>
      <c r="B252" s="8" t="s">
        <v>696</v>
      </c>
      <c r="C252" s="7" t="s">
        <v>737</v>
      </c>
      <c r="D252" s="9" t="s">
        <v>740</v>
      </c>
      <c r="E252" s="7" t="s">
        <v>699</v>
      </c>
      <c r="F252" s="7" t="s">
        <v>741</v>
      </c>
      <c r="G252" s="7" t="str">
        <f>E252&amp;F252</f>
        <v>FNW KV-L30 阀体毛坯NPS3/4 1000CWP ASTM A216-WCB</v>
      </c>
      <c r="H252" s="7">
        <v>0.28299999999999997</v>
      </c>
      <c r="I252" s="7">
        <v>10</v>
      </c>
      <c r="J252" s="7">
        <v>800</v>
      </c>
      <c r="K252" s="7">
        <v>600</v>
      </c>
      <c r="L252" s="7">
        <v>150</v>
      </c>
      <c r="M252" s="7">
        <v>30</v>
      </c>
      <c r="N252" s="7">
        <v>60</v>
      </c>
      <c r="O252" s="7">
        <v>195</v>
      </c>
      <c r="P252" s="7">
        <v>360</v>
      </c>
    </row>
    <row r="253" spans="1:16" s="10" customFormat="1">
      <c r="A253" s="7">
        <f>IF(B253="","",SUBTOTAL(103,$B$2:B253))</f>
        <v>252</v>
      </c>
      <c r="B253" s="8" t="s">
        <v>696</v>
      </c>
      <c r="C253" s="7" t="s">
        <v>742</v>
      </c>
      <c r="D253" s="9" t="s">
        <v>743</v>
      </c>
      <c r="E253" s="7" t="s">
        <v>699</v>
      </c>
      <c r="F253" s="7" t="s">
        <v>744</v>
      </c>
      <c r="G253" s="7" t="s">
        <v>745</v>
      </c>
      <c r="H253" s="7">
        <v>6.4</v>
      </c>
      <c r="I253" s="7">
        <v>1</v>
      </c>
      <c r="J253" s="7">
        <v>800</v>
      </c>
      <c r="K253" s="7">
        <v>600</v>
      </c>
      <c r="L253" s="7">
        <v>150</v>
      </c>
      <c r="M253" s="7">
        <v>30</v>
      </c>
      <c r="N253" s="7">
        <v>60</v>
      </c>
      <c r="O253" s="7">
        <v>2000</v>
      </c>
      <c r="P253" s="7">
        <v>2460</v>
      </c>
    </row>
    <row r="254" spans="1:16" s="10" customFormat="1">
      <c r="A254" s="7">
        <f>IF(B254="","",SUBTOTAL(103,$B$2:B254))</f>
        <v>253</v>
      </c>
      <c r="B254" s="8" t="s">
        <v>696</v>
      </c>
      <c r="C254" s="7" t="s">
        <v>742</v>
      </c>
      <c r="D254" s="9" t="s">
        <v>746</v>
      </c>
      <c r="E254" s="7" t="s">
        <v>699</v>
      </c>
      <c r="F254" s="7" t="s">
        <v>747</v>
      </c>
      <c r="G254" s="7" t="s">
        <v>748</v>
      </c>
      <c r="H254" s="7">
        <v>6.4</v>
      </c>
      <c r="I254" s="7">
        <v>1</v>
      </c>
      <c r="J254" s="7">
        <v>800</v>
      </c>
      <c r="K254" s="7">
        <v>600</v>
      </c>
      <c r="L254" s="7">
        <v>150</v>
      </c>
      <c r="M254" s="7">
        <v>30</v>
      </c>
      <c r="N254" s="7">
        <v>60</v>
      </c>
      <c r="O254" s="7">
        <v>2000</v>
      </c>
      <c r="P254" s="7">
        <v>2460</v>
      </c>
    </row>
    <row r="255" spans="1:16" s="10" customFormat="1">
      <c r="A255" s="7">
        <f>IF(B255="","",SUBTOTAL(103,$B$2:B255))</f>
        <v>254</v>
      </c>
      <c r="B255" s="8" t="s">
        <v>749</v>
      </c>
      <c r="C255" s="7" t="s">
        <v>750</v>
      </c>
      <c r="D255" s="9" t="s">
        <v>751</v>
      </c>
      <c r="E255" s="7" t="s">
        <v>752</v>
      </c>
      <c r="F255" s="7" t="s">
        <v>446</v>
      </c>
      <c r="G255" s="7" t="s">
        <v>753</v>
      </c>
      <c r="H255" s="7">
        <v>0.83</v>
      </c>
      <c r="I255" s="7">
        <v>6</v>
      </c>
      <c r="J255" s="7">
        <v>800</v>
      </c>
      <c r="K255" s="7">
        <v>600</v>
      </c>
      <c r="L255" s="7">
        <v>150</v>
      </c>
      <c r="M255" s="7">
        <v>30</v>
      </c>
      <c r="N255" s="7">
        <v>60</v>
      </c>
      <c r="O255" s="7">
        <v>310</v>
      </c>
      <c r="P255" s="7">
        <v>420</v>
      </c>
    </row>
    <row r="256" spans="1:16" s="10" customFormat="1">
      <c r="A256" s="7">
        <f>IF(B256="","",SUBTOTAL(103,$B$2:B256))</f>
        <v>255</v>
      </c>
      <c r="B256" s="8" t="s">
        <v>749</v>
      </c>
      <c r="C256" s="7" t="s">
        <v>750</v>
      </c>
      <c r="D256" s="9" t="s">
        <v>754</v>
      </c>
      <c r="E256" s="7" t="s">
        <v>755</v>
      </c>
      <c r="F256" s="7" t="s">
        <v>446</v>
      </c>
      <c r="G256" s="7" t="str">
        <f>E256&amp;F256</f>
        <v>KI KV-L41 阀体毛坯NPS1/2 CL150 CF8M</v>
      </c>
      <c r="H256" s="7">
        <v>0.83</v>
      </c>
      <c r="I256" s="7">
        <v>6</v>
      </c>
      <c r="J256" s="7">
        <v>800</v>
      </c>
      <c r="K256" s="7">
        <v>600</v>
      </c>
      <c r="L256" s="7">
        <v>150</v>
      </c>
      <c r="M256" s="7">
        <v>30</v>
      </c>
      <c r="N256" s="7">
        <v>60</v>
      </c>
      <c r="O256" s="7">
        <v>310</v>
      </c>
      <c r="P256" s="7">
        <v>420</v>
      </c>
    </row>
    <row r="257" spans="1:16" s="10" customFormat="1">
      <c r="A257" s="7">
        <f>IF(B257="","",SUBTOTAL(103,$B$2:B257))</f>
        <v>256</v>
      </c>
      <c r="B257" s="8" t="s">
        <v>749</v>
      </c>
      <c r="C257" s="7" t="s">
        <v>750</v>
      </c>
      <c r="D257" s="9" t="s">
        <v>756</v>
      </c>
      <c r="E257" s="7" t="s">
        <v>752</v>
      </c>
      <c r="F257" s="7" t="s">
        <v>450</v>
      </c>
      <c r="G257" s="7" t="str">
        <f>E257&amp;F257</f>
        <v>FNW KV-L41 阀体毛坯 (NACE)NPS1/2 CL150 WCB</v>
      </c>
      <c r="H257" s="7">
        <v>0.83</v>
      </c>
      <c r="I257" s="7">
        <v>6</v>
      </c>
      <c r="J257" s="7">
        <v>800</v>
      </c>
      <c r="K257" s="7">
        <v>600</v>
      </c>
      <c r="L257" s="7">
        <v>150</v>
      </c>
      <c r="M257" s="7">
        <v>30</v>
      </c>
      <c r="N257" s="7">
        <v>60</v>
      </c>
      <c r="O257" s="7">
        <v>310</v>
      </c>
      <c r="P257" s="7">
        <v>420</v>
      </c>
    </row>
    <row r="258" spans="1:16" s="10" customFormat="1">
      <c r="A258" s="7">
        <f>IF(B258="","",SUBTOTAL(103,$B$2:B258))</f>
        <v>257</v>
      </c>
      <c r="B258" s="8" t="s">
        <v>749</v>
      </c>
      <c r="C258" s="7" t="s">
        <v>757</v>
      </c>
      <c r="D258" s="9" t="s">
        <v>758</v>
      </c>
      <c r="E258" s="7" t="s">
        <v>752</v>
      </c>
      <c r="F258" s="7" t="s">
        <v>453</v>
      </c>
      <c r="G258" s="7" t="s">
        <v>759</v>
      </c>
      <c r="H258" s="7">
        <v>2.6</v>
      </c>
      <c r="I258" s="7">
        <v>2</v>
      </c>
      <c r="J258" s="7">
        <v>800</v>
      </c>
      <c r="K258" s="7">
        <v>600</v>
      </c>
      <c r="L258" s="7">
        <v>150</v>
      </c>
      <c r="M258" s="7">
        <v>30</v>
      </c>
      <c r="N258" s="7">
        <v>60</v>
      </c>
      <c r="O258" s="7">
        <v>1000</v>
      </c>
      <c r="P258" s="7">
        <v>1320</v>
      </c>
    </row>
    <row r="259" spans="1:16" s="10" customFormat="1">
      <c r="A259" s="7">
        <f>IF(B259="","",SUBTOTAL(103,$B$2:B259))</f>
        <v>258</v>
      </c>
      <c r="B259" s="8" t="s">
        <v>749</v>
      </c>
      <c r="C259" s="7" t="s">
        <v>757</v>
      </c>
      <c r="D259" s="9" t="s">
        <v>760</v>
      </c>
      <c r="E259" s="7" t="s">
        <v>755</v>
      </c>
      <c r="F259" s="7" t="s">
        <v>453</v>
      </c>
      <c r="G259" s="7" t="str">
        <f>E259&amp;F259</f>
        <v>KI KV-L41 阀体毛坯NPS11/2 CL150 CF8M</v>
      </c>
      <c r="H259" s="7">
        <v>2.6</v>
      </c>
      <c r="I259" s="7">
        <v>2</v>
      </c>
      <c r="J259" s="7">
        <v>800</v>
      </c>
      <c r="K259" s="7">
        <v>600</v>
      </c>
      <c r="L259" s="7">
        <v>150</v>
      </c>
      <c r="M259" s="7">
        <v>30</v>
      </c>
      <c r="N259" s="7">
        <v>60</v>
      </c>
      <c r="O259" s="7">
        <v>1000</v>
      </c>
      <c r="P259" s="7">
        <v>1320</v>
      </c>
    </row>
    <row r="260" spans="1:16" s="10" customFormat="1">
      <c r="A260" s="7">
        <f>IF(B260="","",SUBTOTAL(103,$B$2:B260))</f>
        <v>259</v>
      </c>
      <c r="B260" s="8" t="s">
        <v>749</v>
      </c>
      <c r="C260" s="7" t="s">
        <v>761</v>
      </c>
      <c r="D260" s="9" t="s">
        <v>762</v>
      </c>
      <c r="E260" s="7" t="s">
        <v>755</v>
      </c>
      <c r="F260" s="7" t="s">
        <v>458</v>
      </c>
      <c r="G260" s="7" t="str">
        <f>E260&amp;F260</f>
        <v>KI KV-L41 阀体毛坯NPS11/4 CL150 CF8M</v>
      </c>
      <c r="H260" s="7">
        <v>1.95</v>
      </c>
      <c r="I260" s="7">
        <v>2</v>
      </c>
      <c r="J260" s="7"/>
      <c r="K260" s="7"/>
      <c r="L260" s="7"/>
      <c r="M260" s="7"/>
      <c r="N260" s="7">
        <v>60</v>
      </c>
      <c r="O260" s="7">
        <v>1000</v>
      </c>
      <c r="P260" s="7">
        <v>1320</v>
      </c>
    </row>
    <row r="261" spans="1:16" s="10" customFormat="1">
      <c r="A261" s="7">
        <f>IF(B261="","",SUBTOTAL(103,$B$2:B261))</f>
        <v>260</v>
      </c>
      <c r="B261" s="8" t="s">
        <v>749</v>
      </c>
      <c r="C261" s="7" t="s">
        <v>757</v>
      </c>
      <c r="D261" s="9" t="s">
        <v>763</v>
      </c>
      <c r="E261" s="7" t="s">
        <v>752</v>
      </c>
      <c r="F261" s="7" t="s">
        <v>462</v>
      </c>
      <c r="G261" s="7" t="str">
        <f>E261&amp;F261</f>
        <v>FNW KV-L41 阀体毛坯 (NACE)NPS11/2 CL150 WCB</v>
      </c>
      <c r="H261" s="7">
        <v>2.6</v>
      </c>
      <c r="I261" s="7">
        <v>2</v>
      </c>
      <c r="J261" s="7">
        <v>800</v>
      </c>
      <c r="K261" s="7">
        <v>600</v>
      </c>
      <c r="L261" s="7">
        <v>150</v>
      </c>
      <c r="M261" s="7">
        <v>30</v>
      </c>
      <c r="N261" s="7">
        <v>60</v>
      </c>
      <c r="O261" s="7">
        <v>1000</v>
      </c>
      <c r="P261" s="7">
        <v>1320</v>
      </c>
    </row>
    <row r="262" spans="1:16" s="10" customFormat="1">
      <c r="A262" s="7">
        <f>IF(B262="","",SUBTOTAL(103,$B$2:B262))</f>
        <v>261</v>
      </c>
      <c r="B262" s="8" t="s">
        <v>749</v>
      </c>
      <c r="C262" s="7" t="s">
        <v>764</v>
      </c>
      <c r="D262" s="9" t="s">
        <v>765</v>
      </c>
      <c r="E262" s="7" t="s">
        <v>752</v>
      </c>
      <c r="F262" s="7" t="s">
        <v>465</v>
      </c>
      <c r="G262" s="7" t="s">
        <v>766</v>
      </c>
      <c r="H262" s="7">
        <v>3.722</v>
      </c>
      <c r="I262" s="7">
        <v>2</v>
      </c>
      <c r="J262" s="7">
        <v>800</v>
      </c>
      <c r="K262" s="7">
        <v>600</v>
      </c>
      <c r="L262" s="7">
        <v>150</v>
      </c>
      <c r="M262" s="7">
        <v>30</v>
      </c>
      <c r="N262" s="7">
        <v>60</v>
      </c>
      <c r="O262" s="7">
        <v>1000</v>
      </c>
      <c r="P262" s="7">
        <v>1320</v>
      </c>
    </row>
    <row r="263" spans="1:16" s="10" customFormat="1">
      <c r="A263" s="7">
        <f>IF(B263="","",SUBTOTAL(103,$B$2:B263))</f>
        <v>262</v>
      </c>
      <c r="B263" s="8" t="s">
        <v>749</v>
      </c>
      <c r="C263" s="7" t="s">
        <v>764</v>
      </c>
      <c r="D263" s="9" t="s">
        <v>767</v>
      </c>
      <c r="E263" s="7" t="s">
        <v>768</v>
      </c>
      <c r="F263" s="7" t="s">
        <v>470</v>
      </c>
      <c r="G263" s="7" t="str">
        <f>E263&amp;F263</f>
        <v>SVF KV-L41 阀体毛坯 (NACE)NPS2 CL150 WCB</v>
      </c>
      <c r="H263" s="7">
        <v>3.82</v>
      </c>
      <c r="I263" s="7">
        <v>2</v>
      </c>
      <c r="J263" s="7">
        <v>800</v>
      </c>
      <c r="K263" s="7">
        <v>600</v>
      </c>
      <c r="L263" s="7">
        <v>150</v>
      </c>
      <c r="M263" s="7">
        <v>30</v>
      </c>
      <c r="N263" s="7">
        <v>60</v>
      </c>
      <c r="O263" s="7">
        <v>1000</v>
      </c>
      <c r="P263" s="7">
        <v>1320</v>
      </c>
    </row>
    <row r="264" spans="1:16" s="10" customFormat="1">
      <c r="A264" s="7">
        <f>IF(B264="","",SUBTOTAL(103,$B$2:B264))</f>
        <v>263</v>
      </c>
      <c r="B264" s="8" t="s">
        <v>749</v>
      </c>
      <c r="C264" s="7" t="s">
        <v>764</v>
      </c>
      <c r="D264" s="9" t="s">
        <v>769</v>
      </c>
      <c r="E264" s="7" t="s">
        <v>770</v>
      </c>
      <c r="F264" s="7" t="s">
        <v>465</v>
      </c>
      <c r="G264" s="7" t="str">
        <f>E264&amp;F264</f>
        <v>SVF KV-L41 阀体毛坯NPS2 CL150 CF8M</v>
      </c>
      <c r="H264" s="7">
        <v>3.82</v>
      </c>
      <c r="I264" s="7">
        <v>2</v>
      </c>
      <c r="J264" s="7">
        <v>800</v>
      </c>
      <c r="K264" s="7">
        <v>600</v>
      </c>
      <c r="L264" s="7">
        <v>150</v>
      </c>
      <c r="M264" s="7">
        <v>30</v>
      </c>
      <c r="N264" s="7">
        <v>60</v>
      </c>
      <c r="O264" s="7">
        <v>1000</v>
      </c>
      <c r="P264" s="7">
        <v>1320</v>
      </c>
    </row>
    <row r="265" spans="1:16">
      <c r="A265" s="7">
        <f>IF(B265="","",SUBTOTAL(103,$B$2:B265))</f>
        <v>264</v>
      </c>
      <c r="B265" s="8" t="s">
        <v>749</v>
      </c>
      <c r="C265" s="7" t="s">
        <v>764</v>
      </c>
      <c r="D265" s="9" t="s">
        <v>771</v>
      </c>
      <c r="E265" s="7" t="s">
        <v>772</v>
      </c>
      <c r="F265" s="7" t="s">
        <v>470</v>
      </c>
      <c r="G265" s="7" t="str">
        <f>E265&amp;F265</f>
        <v>SVF 阀体毛坯 (增加流向,NACE)NPS2 CL150 WCB</v>
      </c>
      <c r="H265" s="7">
        <v>3.84</v>
      </c>
      <c r="I265" s="7">
        <v>2</v>
      </c>
      <c r="J265" s="7">
        <v>800</v>
      </c>
      <c r="K265" s="7">
        <v>600</v>
      </c>
      <c r="L265" s="7">
        <v>150</v>
      </c>
      <c r="M265" s="7">
        <v>30</v>
      </c>
      <c r="N265" s="7">
        <v>60</v>
      </c>
      <c r="O265" s="7">
        <v>1000</v>
      </c>
      <c r="P265" s="7">
        <v>1320</v>
      </c>
    </row>
    <row r="266" spans="1:16" s="10" customFormat="1">
      <c r="A266" s="7">
        <f>IF(B266="","",SUBTOTAL(103,$B$2:B266))</f>
        <v>265</v>
      </c>
      <c r="B266" s="8" t="s">
        <v>749</v>
      </c>
      <c r="C266" s="7" t="s">
        <v>764</v>
      </c>
      <c r="D266" s="9" t="s">
        <v>773</v>
      </c>
      <c r="E266" s="7" t="s">
        <v>752</v>
      </c>
      <c r="F266" s="7" t="s">
        <v>470</v>
      </c>
      <c r="G266" s="7" t="s">
        <v>774</v>
      </c>
      <c r="H266" s="7">
        <v>3.75</v>
      </c>
      <c r="I266" s="7">
        <v>2</v>
      </c>
      <c r="J266" s="7">
        <v>800</v>
      </c>
      <c r="K266" s="7">
        <v>600</v>
      </c>
      <c r="L266" s="7">
        <v>150</v>
      </c>
      <c r="M266" s="7">
        <v>30</v>
      </c>
      <c r="N266" s="7">
        <v>60</v>
      </c>
      <c r="O266" s="7">
        <v>1000</v>
      </c>
      <c r="P266" s="7">
        <v>1320</v>
      </c>
    </row>
    <row r="267" spans="1:16" s="10" customFormat="1">
      <c r="A267" s="7">
        <f>IF(B267="","",SUBTOTAL(103,$B$2:B267))</f>
        <v>266</v>
      </c>
      <c r="B267" s="8" t="s">
        <v>775</v>
      </c>
      <c r="C267" s="7" t="s">
        <v>776</v>
      </c>
      <c r="D267" s="9" t="s">
        <v>777</v>
      </c>
      <c r="E267" s="7" t="s">
        <v>778</v>
      </c>
      <c r="F267" s="7" t="s">
        <v>49</v>
      </c>
      <c r="G267" s="7" t="s">
        <v>779</v>
      </c>
      <c r="H267" s="7">
        <v>0.78</v>
      </c>
      <c r="I267" s="7">
        <v>4</v>
      </c>
      <c r="J267" s="7">
        <v>800</v>
      </c>
      <c r="K267" s="7">
        <v>600</v>
      </c>
      <c r="L267" s="7">
        <v>150</v>
      </c>
      <c r="M267" s="7">
        <v>30</v>
      </c>
      <c r="N267" s="7">
        <v>60</v>
      </c>
      <c r="O267" s="7">
        <v>500</v>
      </c>
      <c r="P267" s="7">
        <v>720</v>
      </c>
    </row>
    <row r="268" spans="1:16" s="10" customFormat="1">
      <c r="A268" s="7">
        <f>IF(B268="","",SUBTOTAL(103,$B$2:B268))</f>
        <v>267</v>
      </c>
      <c r="B268" s="8" t="s">
        <v>775</v>
      </c>
      <c r="C268" s="7" t="s">
        <v>780</v>
      </c>
      <c r="D268" s="9" t="s">
        <v>781</v>
      </c>
      <c r="E268" s="7" t="s">
        <v>778</v>
      </c>
      <c r="F268" s="7" t="s">
        <v>53</v>
      </c>
      <c r="G268" s="7" t="s">
        <v>782</v>
      </c>
      <c r="H268" s="7">
        <v>0.372</v>
      </c>
      <c r="I268" s="7">
        <v>8</v>
      </c>
      <c r="J268" s="7">
        <v>800</v>
      </c>
      <c r="K268" s="7">
        <v>600</v>
      </c>
      <c r="L268" s="7">
        <v>150</v>
      </c>
      <c r="M268" s="7">
        <v>30</v>
      </c>
      <c r="N268" s="7">
        <v>120</v>
      </c>
      <c r="O268" s="7">
        <v>225</v>
      </c>
      <c r="P268" s="7">
        <v>300</v>
      </c>
    </row>
    <row r="269" spans="1:16" s="10" customFormat="1">
      <c r="A269" s="7">
        <f>IF(B269="","",SUBTOTAL(103,$B$2:B269))</f>
        <v>268</v>
      </c>
      <c r="B269" s="8" t="s">
        <v>775</v>
      </c>
      <c r="C269" s="7" t="s">
        <v>783</v>
      </c>
      <c r="D269" s="9" t="s">
        <v>784</v>
      </c>
      <c r="E269" s="7" t="s">
        <v>778</v>
      </c>
      <c r="F269" s="7" t="s">
        <v>59</v>
      </c>
      <c r="G269" s="7" t="s">
        <v>785</v>
      </c>
      <c r="H269" s="7">
        <v>1.77</v>
      </c>
      <c r="I269" s="7">
        <v>3</v>
      </c>
      <c r="J269" s="7">
        <v>800</v>
      </c>
      <c r="K269" s="7">
        <v>600</v>
      </c>
      <c r="L269" s="7">
        <v>150</v>
      </c>
      <c r="M269" s="7">
        <v>30</v>
      </c>
      <c r="N269" s="7">
        <v>120</v>
      </c>
      <c r="O269" s="7">
        <v>650</v>
      </c>
      <c r="P269" s="7">
        <v>810</v>
      </c>
    </row>
    <row r="270" spans="1:16" s="10" customFormat="1">
      <c r="A270" s="7">
        <f>IF(B270="","",SUBTOTAL(103,$B$2:B270))</f>
        <v>269</v>
      </c>
      <c r="B270" s="8" t="s">
        <v>775</v>
      </c>
      <c r="C270" s="7" t="s">
        <v>786</v>
      </c>
      <c r="D270" s="9" t="s">
        <v>787</v>
      </c>
      <c r="E270" s="7" t="s">
        <v>778</v>
      </c>
      <c r="F270" s="7" t="s">
        <v>34</v>
      </c>
      <c r="G270" s="7" t="s">
        <v>788</v>
      </c>
      <c r="H270" s="7">
        <v>0.83</v>
      </c>
      <c r="I270" s="7">
        <v>3</v>
      </c>
      <c r="J270" s="7">
        <v>800</v>
      </c>
      <c r="K270" s="7">
        <v>600</v>
      </c>
      <c r="L270" s="7">
        <v>150</v>
      </c>
      <c r="M270" s="7">
        <v>30</v>
      </c>
      <c r="N270" s="7">
        <v>120</v>
      </c>
      <c r="O270" s="7">
        <v>650</v>
      </c>
      <c r="P270" s="7">
        <v>810</v>
      </c>
    </row>
    <row r="271" spans="1:16" s="10" customFormat="1">
      <c r="A271" s="7">
        <f>IF(B271="","",SUBTOTAL(103,$B$2:B271))</f>
        <v>270</v>
      </c>
      <c r="B271" s="8" t="s">
        <v>775</v>
      </c>
      <c r="C271" s="7" t="s">
        <v>789</v>
      </c>
      <c r="D271" s="9" t="s">
        <v>790</v>
      </c>
      <c r="E271" s="7" t="s">
        <v>778</v>
      </c>
      <c r="F271" s="7" t="s">
        <v>64</v>
      </c>
      <c r="G271" s="7" t="s">
        <v>791</v>
      </c>
      <c r="H271" s="7">
        <v>2.726</v>
      </c>
      <c r="I271" s="7">
        <v>2</v>
      </c>
      <c r="J271" s="7">
        <v>800</v>
      </c>
      <c r="K271" s="7">
        <v>600</v>
      </c>
      <c r="L271" s="7">
        <v>150</v>
      </c>
      <c r="M271" s="7">
        <v>30</v>
      </c>
      <c r="N271" s="7">
        <v>120</v>
      </c>
      <c r="O271" s="7">
        <v>1000</v>
      </c>
      <c r="P271" s="7">
        <v>1320</v>
      </c>
    </row>
    <row r="272" spans="1:16" s="10" customFormat="1">
      <c r="A272" s="7">
        <f>IF(B272="","",SUBTOTAL(103,$B$2:B272))</f>
        <v>271</v>
      </c>
      <c r="B272" s="8" t="s">
        <v>775</v>
      </c>
      <c r="C272" s="7" t="s">
        <v>792</v>
      </c>
      <c r="D272" s="9" t="s">
        <v>793</v>
      </c>
      <c r="E272" s="7" t="s">
        <v>778</v>
      </c>
      <c r="F272" s="7" t="s">
        <v>67</v>
      </c>
      <c r="G272" s="7" t="s">
        <v>794</v>
      </c>
      <c r="H272" s="7">
        <v>0.503</v>
      </c>
      <c r="I272" s="7">
        <v>8</v>
      </c>
      <c r="J272" s="7">
        <v>800</v>
      </c>
      <c r="K272" s="7">
        <v>600</v>
      </c>
      <c r="L272" s="7">
        <v>150</v>
      </c>
      <c r="M272" s="7">
        <v>30</v>
      </c>
      <c r="N272" s="7">
        <v>120</v>
      </c>
      <c r="O272" s="7">
        <v>225</v>
      </c>
      <c r="P272" s="7">
        <v>300</v>
      </c>
    </row>
    <row r="273" spans="1:16" s="10" customFormat="1">
      <c r="A273" s="7">
        <f>IF(B273="","",SUBTOTAL(103,$B$2:B273))</f>
        <v>272</v>
      </c>
      <c r="B273" s="8" t="s">
        <v>795</v>
      </c>
      <c r="C273" s="7" t="s">
        <v>796</v>
      </c>
      <c r="D273" s="9" t="s">
        <v>797</v>
      </c>
      <c r="E273" s="7" t="s">
        <v>798</v>
      </c>
      <c r="F273" s="7" t="s">
        <v>437</v>
      </c>
      <c r="G273" s="7" t="s">
        <v>799</v>
      </c>
      <c r="H273" s="7">
        <v>1.33</v>
      </c>
      <c r="I273" s="7">
        <v>3</v>
      </c>
      <c r="J273" s="7">
        <v>800</v>
      </c>
      <c r="K273" s="7">
        <v>600</v>
      </c>
      <c r="L273" s="7">
        <v>150</v>
      </c>
      <c r="M273" s="7">
        <v>30</v>
      </c>
      <c r="N273" s="7">
        <v>240</v>
      </c>
      <c r="O273" s="7">
        <v>650</v>
      </c>
      <c r="P273" s="7">
        <v>810</v>
      </c>
    </row>
    <row r="274" spans="1:16" s="10" customFormat="1">
      <c r="A274" s="7">
        <f>IF(B274="","",SUBTOTAL(103,$B$2:B274))</f>
        <v>273</v>
      </c>
      <c r="B274" s="8" t="s">
        <v>795</v>
      </c>
      <c r="C274" s="7" t="s">
        <v>796</v>
      </c>
      <c r="D274" s="9" t="s">
        <v>800</v>
      </c>
      <c r="E274" s="7" t="s">
        <v>801</v>
      </c>
      <c r="F274" s="7" t="s">
        <v>437</v>
      </c>
      <c r="G274" s="7" t="str">
        <f>E274&amp;F274</f>
        <v>KI KV-L61 阀体毛坯NPS1 CL150 CF8M</v>
      </c>
      <c r="H274" s="7">
        <v>1.33</v>
      </c>
      <c r="I274" s="7">
        <v>3</v>
      </c>
      <c r="J274" s="7">
        <v>800</v>
      </c>
      <c r="K274" s="7">
        <v>600</v>
      </c>
      <c r="L274" s="7">
        <v>150</v>
      </c>
      <c r="M274" s="7">
        <v>30</v>
      </c>
      <c r="N274" s="7">
        <v>240</v>
      </c>
      <c r="O274" s="7">
        <v>650</v>
      </c>
      <c r="P274" s="7">
        <v>810</v>
      </c>
    </row>
    <row r="275" spans="1:16" s="10" customFormat="1">
      <c r="A275" s="7">
        <f>IF(B275="","",SUBTOTAL(103,$B$2:B275))</f>
        <v>274</v>
      </c>
      <c r="B275" s="8" t="s">
        <v>795</v>
      </c>
      <c r="C275" s="7" t="s">
        <v>802</v>
      </c>
      <c r="D275" s="9" t="s">
        <v>803</v>
      </c>
      <c r="E275" s="7" t="s">
        <v>801</v>
      </c>
      <c r="F275" s="7" t="s">
        <v>465</v>
      </c>
      <c r="G275" s="7" t="str">
        <f>E275&amp;F275</f>
        <v>KI KV-L61 阀体毛坯NPS2 CL150 CF8M</v>
      </c>
      <c r="H275" s="7">
        <v>3.82</v>
      </c>
      <c r="I275" s="7">
        <v>2</v>
      </c>
      <c r="J275" s="7">
        <v>800</v>
      </c>
      <c r="K275" s="7">
        <v>600</v>
      </c>
      <c r="L275" s="7">
        <v>150</v>
      </c>
      <c r="M275" s="7">
        <v>30</v>
      </c>
      <c r="N275" s="7">
        <v>60</v>
      </c>
      <c r="O275" s="7">
        <v>1000</v>
      </c>
      <c r="P275" s="7">
        <v>1320</v>
      </c>
    </row>
    <row r="276" spans="1:16" s="10" customFormat="1">
      <c r="A276" s="7">
        <f>IF(B276="","",SUBTOTAL(103,$B$2:B276))</f>
        <v>275</v>
      </c>
      <c r="B276" s="8" t="s">
        <v>795</v>
      </c>
      <c r="C276" s="7" t="s">
        <v>802</v>
      </c>
      <c r="D276" s="9" t="s">
        <v>804</v>
      </c>
      <c r="E276" s="7" t="s">
        <v>805</v>
      </c>
      <c r="F276" s="7" t="s">
        <v>453</v>
      </c>
      <c r="G276" s="7" t="str">
        <f>E276&amp;F276</f>
        <v>SVF KV-L61 阀体毛坯 (NACE)NPS11/2 CL150 CF8M</v>
      </c>
      <c r="H276" s="7">
        <v>2.64</v>
      </c>
      <c r="I276" s="7">
        <v>2</v>
      </c>
      <c r="J276" s="7">
        <v>800</v>
      </c>
      <c r="K276" s="7">
        <v>600</v>
      </c>
      <c r="L276" s="7">
        <v>150</v>
      </c>
      <c r="M276" s="7">
        <v>30</v>
      </c>
      <c r="N276" s="7">
        <v>60</v>
      </c>
      <c r="O276" s="7">
        <v>1000</v>
      </c>
      <c r="P276" s="7">
        <v>1320</v>
      </c>
    </row>
    <row r="277" spans="1:16" s="10" customFormat="1">
      <c r="A277" s="7">
        <f>IF(B277="","",SUBTOTAL(103,$B$2:B277))</f>
        <v>276</v>
      </c>
      <c r="B277" s="8" t="s">
        <v>795</v>
      </c>
      <c r="C277" s="7" t="s">
        <v>806</v>
      </c>
      <c r="D277" s="9" t="s">
        <v>807</v>
      </c>
      <c r="E277" s="7" t="s">
        <v>798</v>
      </c>
      <c r="F277" s="7" t="s">
        <v>475</v>
      </c>
      <c r="G277" s="7" t="s">
        <v>808</v>
      </c>
      <c r="H277" s="7">
        <v>5.97</v>
      </c>
      <c r="I277" s="7">
        <v>1</v>
      </c>
      <c r="J277" s="7">
        <v>800</v>
      </c>
      <c r="K277" s="7">
        <v>600</v>
      </c>
      <c r="L277" s="7">
        <v>150</v>
      </c>
      <c r="M277" s="7">
        <v>30</v>
      </c>
      <c r="N277" s="7">
        <v>240</v>
      </c>
      <c r="O277" s="7">
        <v>2000</v>
      </c>
      <c r="P277" s="7">
        <v>2460</v>
      </c>
    </row>
    <row r="278" spans="1:16" s="10" customFormat="1">
      <c r="A278" s="7">
        <f>IF(B278="","",SUBTOTAL(103,$B$2:B278))</f>
        <v>277</v>
      </c>
      <c r="B278" s="8" t="s">
        <v>749</v>
      </c>
      <c r="C278" s="7" t="s">
        <v>809</v>
      </c>
      <c r="D278" s="9" t="s">
        <v>810</v>
      </c>
      <c r="E278" s="7" t="s">
        <v>768</v>
      </c>
      <c r="F278" s="7" t="s">
        <v>475</v>
      </c>
      <c r="G278" s="7" t="str">
        <f>E278&amp;F278</f>
        <v>SVF KV-L41 阀体毛坯 (NACE)NPS21/2 CL150 CF8M</v>
      </c>
      <c r="H278" s="7">
        <v>6.23</v>
      </c>
      <c r="I278" s="7">
        <v>1</v>
      </c>
      <c r="J278" s="7">
        <v>800</v>
      </c>
      <c r="K278" s="7">
        <v>600</v>
      </c>
      <c r="L278" s="7">
        <v>150</v>
      </c>
      <c r="M278" s="7">
        <v>30</v>
      </c>
      <c r="N278" s="7">
        <v>240</v>
      </c>
      <c r="O278" s="7">
        <v>2000</v>
      </c>
      <c r="P278" s="7">
        <v>2460</v>
      </c>
    </row>
    <row r="279" spans="1:16" s="10" customFormat="1">
      <c r="A279" s="7">
        <f>IF(B279="","",SUBTOTAL(103,$B$2:B279))</f>
        <v>278</v>
      </c>
      <c r="B279" s="8" t="s">
        <v>749</v>
      </c>
      <c r="C279" s="7" t="s">
        <v>809</v>
      </c>
      <c r="D279" s="9" t="s">
        <v>811</v>
      </c>
      <c r="E279" s="7" t="s">
        <v>755</v>
      </c>
      <c r="F279" s="7" t="s">
        <v>475</v>
      </c>
      <c r="G279" s="7" t="str">
        <f>E279&amp;F279</f>
        <v>KI KV-L41 阀体毛坯NPS21/2 CL150 CF8M</v>
      </c>
      <c r="H279" s="7">
        <v>6.42</v>
      </c>
      <c r="I279" s="7">
        <v>1</v>
      </c>
      <c r="J279" s="7">
        <v>800</v>
      </c>
      <c r="K279" s="7">
        <v>600</v>
      </c>
      <c r="L279" s="7">
        <v>150</v>
      </c>
      <c r="M279" s="7">
        <v>30</v>
      </c>
      <c r="N279" s="7">
        <v>240</v>
      </c>
      <c r="O279" s="7">
        <v>2000</v>
      </c>
      <c r="P279" s="7">
        <v>2460</v>
      </c>
    </row>
    <row r="280" spans="1:16" s="10" customFormat="1">
      <c r="A280" s="7">
        <f>IF(B280="","",SUBTOTAL(103,$B$2:B280))</f>
        <v>279</v>
      </c>
      <c r="B280" s="8" t="s">
        <v>795</v>
      </c>
      <c r="C280" s="7" t="s">
        <v>806</v>
      </c>
      <c r="D280" s="9" t="s">
        <v>812</v>
      </c>
      <c r="E280" s="13" t="s">
        <v>798</v>
      </c>
      <c r="F280" s="13" t="s">
        <v>480</v>
      </c>
      <c r="G280" s="7" t="s">
        <v>813</v>
      </c>
      <c r="H280" s="13">
        <v>5.97</v>
      </c>
      <c r="I280" s="13">
        <v>1</v>
      </c>
      <c r="J280" s="7">
        <v>800</v>
      </c>
      <c r="K280" s="7">
        <v>600</v>
      </c>
      <c r="L280" s="7">
        <v>150</v>
      </c>
      <c r="M280" s="7">
        <v>30</v>
      </c>
      <c r="N280" s="7">
        <v>240</v>
      </c>
      <c r="O280" s="7">
        <v>2000</v>
      </c>
      <c r="P280" s="7">
        <v>2460</v>
      </c>
    </row>
    <row r="281" spans="1:16" s="10" customFormat="1">
      <c r="A281" s="7">
        <f>IF(B281="","",SUBTOTAL(103,$B$2:B281))</f>
        <v>280</v>
      </c>
      <c r="B281" s="8" t="s">
        <v>795</v>
      </c>
      <c r="C281" s="7" t="s">
        <v>814</v>
      </c>
      <c r="D281" s="9" t="s">
        <v>815</v>
      </c>
      <c r="E281" s="7" t="s">
        <v>798</v>
      </c>
      <c r="F281" s="7" t="s">
        <v>484</v>
      </c>
      <c r="G281" s="7" t="s">
        <v>816</v>
      </c>
      <c r="H281" s="7">
        <v>7.86</v>
      </c>
      <c r="I281" s="7">
        <v>1</v>
      </c>
      <c r="J281" s="7">
        <v>800</v>
      </c>
      <c r="K281" s="7">
        <v>600</v>
      </c>
      <c r="L281" s="7">
        <v>150</v>
      </c>
      <c r="M281" s="7">
        <v>30</v>
      </c>
      <c r="N281" s="7">
        <v>240</v>
      </c>
      <c r="O281" s="7">
        <v>2000</v>
      </c>
      <c r="P281" s="7">
        <v>2460</v>
      </c>
    </row>
    <row r="282" spans="1:16" s="10" customFormat="1">
      <c r="A282" s="7">
        <f>IF(B282="","",SUBTOTAL(103,$B$2:B282))</f>
        <v>281</v>
      </c>
      <c r="B282" s="8" t="s">
        <v>795</v>
      </c>
      <c r="C282" s="7" t="s">
        <v>814</v>
      </c>
      <c r="D282" s="9" t="s">
        <v>817</v>
      </c>
      <c r="E282" s="7" t="s">
        <v>805</v>
      </c>
      <c r="F282" s="7" t="s">
        <v>484</v>
      </c>
      <c r="G282" s="7" t="str">
        <f>E282&amp;F282</f>
        <v>SVF KV-L61 阀体毛坯 (NACE)NPS3 CL150 CF8M</v>
      </c>
      <c r="H282" s="7">
        <v>7.86</v>
      </c>
      <c r="I282" s="7">
        <v>1</v>
      </c>
      <c r="J282" s="7">
        <v>800</v>
      </c>
      <c r="K282" s="7">
        <v>600</v>
      </c>
      <c r="L282" s="7">
        <v>150</v>
      </c>
      <c r="M282" s="7">
        <v>30</v>
      </c>
      <c r="N282" s="7">
        <v>240</v>
      </c>
      <c r="O282" s="7">
        <v>2000</v>
      </c>
      <c r="P282" s="7">
        <v>2460</v>
      </c>
    </row>
    <row r="283" spans="1:16" s="10" customFormat="1">
      <c r="A283" s="7">
        <f>IF(B283="","",SUBTOTAL(103,$B$2:B283))</f>
        <v>282</v>
      </c>
      <c r="B283" s="8" t="s">
        <v>795</v>
      </c>
      <c r="C283" s="7" t="s">
        <v>814</v>
      </c>
      <c r="D283" s="9" t="s">
        <v>818</v>
      </c>
      <c r="E283" s="7" t="s">
        <v>798</v>
      </c>
      <c r="F283" s="7" t="s">
        <v>489</v>
      </c>
      <c r="G283" s="7" t="s">
        <v>819</v>
      </c>
      <c r="H283" s="7">
        <v>7.86</v>
      </c>
      <c r="I283" s="7">
        <v>1</v>
      </c>
      <c r="J283" s="7">
        <v>800</v>
      </c>
      <c r="K283" s="7">
        <v>600</v>
      </c>
      <c r="L283" s="7">
        <v>150</v>
      </c>
      <c r="M283" s="7">
        <v>30</v>
      </c>
      <c r="N283" s="7">
        <v>240</v>
      </c>
      <c r="O283" s="7">
        <v>2000</v>
      </c>
      <c r="P283" s="7">
        <v>2460</v>
      </c>
    </row>
    <row r="284" spans="1:16" s="10" customFormat="1">
      <c r="A284" s="7">
        <f>IF(B284="","",SUBTOTAL(103,$B$2:B284))</f>
        <v>283</v>
      </c>
      <c r="B284" s="8" t="s">
        <v>795</v>
      </c>
      <c r="C284" s="7" t="s">
        <v>820</v>
      </c>
      <c r="D284" s="9" t="s">
        <v>821</v>
      </c>
      <c r="E284" s="7" t="s">
        <v>798</v>
      </c>
      <c r="F284" s="7" t="s">
        <v>500</v>
      </c>
      <c r="G284" s="7" t="s">
        <v>822</v>
      </c>
      <c r="H284" s="7">
        <v>1.01</v>
      </c>
      <c r="I284" s="7">
        <v>3</v>
      </c>
      <c r="J284" s="7">
        <v>800</v>
      </c>
      <c r="K284" s="7">
        <v>600</v>
      </c>
      <c r="L284" s="7">
        <v>150</v>
      </c>
      <c r="M284" s="7">
        <v>30</v>
      </c>
      <c r="N284" s="7">
        <v>240</v>
      </c>
      <c r="O284" s="7">
        <v>650</v>
      </c>
      <c r="P284" s="7">
        <v>810</v>
      </c>
    </row>
    <row r="285" spans="1:16" s="10" customFormat="1">
      <c r="A285" s="7">
        <f>IF(B285="","",SUBTOTAL(103,$B$2:B285))</f>
        <v>284</v>
      </c>
      <c r="B285" s="8" t="s">
        <v>795</v>
      </c>
      <c r="C285" s="7" t="s">
        <v>820</v>
      </c>
      <c r="D285" s="9" t="s">
        <v>823</v>
      </c>
      <c r="E285" s="7" t="s">
        <v>801</v>
      </c>
      <c r="F285" s="7" t="s">
        <v>500</v>
      </c>
      <c r="G285" s="7" t="str">
        <f>E285&amp;F285</f>
        <v>KI KV-L61 阀体毛坯NPS3/4 CL150 CF8M</v>
      </c>
      <c r="H285" s="7">
        <v>1.01</v>
      </c>
      <c r="I285" s="7">
        <v>3</v>
      </c>
      <c r="J285" s="7">
        <v>800</v>
      </c>
      <c r="K285" s="7">
        <v>600</v>
      </c>
      <c r="L285" s="7">
        <v>150</v>
      </c>
      <c r="M285" s="7">
        <v>30</v>
      </c>
      <c r="N285" s="7">
        <v>240</v>
      </c>
      <c r="O285" s="7">
        <v>650</v>
      </c>
      <c r="P285" s="7">
        <v>810</v>
      </c>
    </row>
    <row r="286" spans="1:16" s="10" customFormat="1">
      <c r="A286" s="7">
        <f>IF(B286="","",SUBTOTAL(103,$B$2:B286))</f>
        <v>285</v>
      </c>
      <c r="B286" s="8" t="s">
        <v>795</v>
      </c>
      <c r="C286" s="7" t="s">
        <v>820</v>
      </c>
      <c r="D286" s="9" t="s">
        <v>824</v>
      </c>
      <c r="E286" s="7" t="s">
        <v>798</v>
      </c>
      <c r="F286" s="7" t="s">
        <v>498</v>
      </c>
      <c r="G286" s="7" t="str">
        <f>E286&amp;F286</f>
        <v>FNW KV-L61 阀体毛坯 (NACE)NPS3/4 CL150 WCB</v>
      </c>
      <c r="H286" s="7">
        <v>1.01</v>
      </c>
      <c r="I286" s="7">
        <v>3</v>
      </c>
      <c r="J286" s="7">
        <v>800</v>
      </c>
      <c r="K286" s="7">
        <v>600</v>
      </c>
      <c r="L286" s="7">
        <v>150</v>
      </c>
      <c r="M286" s="7">
        <v>30</v>
      </c>
      <c r="N286" s="7">
        <v>240</v>
      </c>
      <c r="O286" s="7">
        <v>650</v>
      </c>
      <c r="P286" s="7">
        <v>810</v>
      </c>
    </row>
    <row r="287" spans="1:16" s="10" customFormat="1">
      <c r="A287" s="7">
        <f>IF(B287="","",SUBTOTAL(103,$B$2:B287))</f>
        <v>286</v>
      </c>
      <c r="B287" s="8" t="s">
        <v>795</v>
      </c>
      <c r="C287" s="7" t="s">
        <v>825</v>
      </c>
      <c r="D287" s="9" t="s">
        <v>826</v>
      </c>
      <c r="E287" s="7" t="s">
        <v>798</v>
      </c>
      <c r="F287" s="7" t="s">
        <v>505</v>
      </c>
      <c r="G287" s="7" t="s">
        <v>827</v>
      </c>
      <c r="H287" s="7">
        <v>12.54</v>
      </c>
      <c r="I287" s="7">
        <v>1</v>
      </c>
      <c r="J287" s="7">
        <v>800</v>
      </c>
      <c r="K287" s="7">
        <v>600</v>
      </c>
      <c r="L287" s="7">
        <v>150</v>
      </c>
      <c r="M287" s="7">
        <v>30</v>
      </c>
      <c r="N287" s="7">
        <v>240</v>
      </c>
      <c r="O287" s="7">
        <v>2000</v>
      </c>
      <c r="P287" s="7">
        <v>2460</v>
      </c>
    </row>
    <row r="288" spans="1:16" s="10" customFormat="1">
      <c r="A288" s="7">
        <f>IF(B288="","",SUBTOTAL(103,$B$2:B288))</f>
        <v>287</v>
      </c>
      <c r="B288" s="8" t="s">
        <v>795</v>
      </c>
      <c r="C288" s="7" t="s">
        <v>825</v>
      </c>
      <c r="D288" s="9" t="s">
        <v>828</v>
      </c>
      <c r="E288" s="7" t="s">
        <v>801</v>
      </c>
      <c r="F288" s="7" t="s">
        <v>505</v>
      </c>
      <c r="G288" s="7" t="s">
        <v>829</v>
      </c>
      <c r="H288" s="7">
        <v>12.54</v>
      </c>
      <c r="I288" s="7">
        <v>1</v>
      </c>
      <c r="J288" s="7">
        <v>800</v>
      </c>
      <c r="K288" s="7">
        <v>600</v>
      </c>
      <c r="L288" s="7">
        <v>150</v>
      </c>
      <c r="M288" s="7">
        <v>30</v>
      </c>
      <c r="N288" s="7">
        <v>240</v>
      </c>
      <c r="O288" s="7">
        <v>2000</v>
      </c>
      <c r="P288" s="7">
        <v>2460</v>
      </c>
    </row>
    <row r="289" spans="1:16" s="10" customFormat="1">
      <c r="A289" s="7">
        <f>IF(B289="","",SUBTOTAL(103,$B$2:B289))</f>
        <v>288</v>
      </c>
      <c r="B289" s="8" t="s">
        <v>795</v>
      </c>
      <c r="C289" s="7" t="s">
        <v>814</v>
      </c>
      <c r="D289" s="9" t="s">
        <v>830</v>
      </c>
      <c r="E289" s="7" t="s">
        <v>831</v>
      </c>
      <c r="F289" s="7" t="s">
        <v>484</v>
      </c>
      <c r="G289" s="7" t="s">
        <v>832</v>
      </c>
      <c r="H289" s="7">
        <v>7.86</v>
      </c>
      <c r="I289" s="7">
        <v>1</v>
      </c>
      <c r="J289" s="7">
        <v>800</v>
      </c>
      <c r="K289" s="7">
        <v>600</v>
      </c>
      <c r="L289" s="7">
        <v>150</v>
      </c>
      <c r="M289" s="7">
        <v>30</v>
      </c>
      <c r="N289" s="7">
        <v>240</v>
      </c>
      <c r="O289" s="7">
        <v>2000</v>
      </c>
      <c r="P289" s="7">
        <v>2460</v>
      </c>
    </row>
    <row r="290" spans="1:16" s="10" customFormat="1">
      <c r="A290" s="7">
        <f>IF(B290="","",SUBTOTAL(103,$B$2:B290))</f>
        <v>289</v>
      </c>
      <c r="B290" s="8" t="s">
        <v>795</v>
      </c>
      <c r="C290" s="7" t="s">
        <v>825</v>
      </c>
      <c r="D290" s="9" t="s">
        <v>833</v>
      </c>
      <c r="E290" s="7" t="s">
        <v>798</v>
      </c>
      <c r="F290" s="7" t="s">
        <v>510</v>
      </c>
      <c r="G290" s="7" t="s">
        <v>834</v>
      </c>
      <c r="H290" s="7">
        <v>12.54</v>
      </c>
      <c r="I290" s="7">
        <v>1</v>
      </c>
      <c r="J290" s="7">
        <v>800</v>
      </c>
      <c r="K290" s="7">
        <v>600</v>
      </c>
      <c r="L290" s="7">
        <v>150</v>
      </c>
      <c r="M290" s="7">
        <v>30</v>
      </c>
      <c r="N290" s="7">
        <v>240</v>
      </c>
      <c r="O290" s="7">
        <v>2000</v>
      </c>
      <c r="P290" s="7">
        <v>2460</v>
      </c>
    </row>
    <row r="291" spans="1:16" s="10" customFormat="1">
      <c r="A291" s="7">
        <f>IF(B291="","",SUBTOTAL(103,$B$2:B291))</f>
        <v>290</v>
      </c>
      <c r="B291" s="8" t="s">
        <v>795</v>
      </c>
      <c r="C291" s="7" t="s">
        <v>825</v>
      </c>
      <c r="D291" s="9" t="s">
        <v>835</v>
      </c>
      <c r="E291" s="7" t="s">
        <v>798</v>
      </c>
      <c r="F291" s="7" t="s">
        <v>442</v>
      </c>
      <c r="G291" s="7" t="s">
        <v>836</v>
      </c>
      <c r="H291" s="7">
        <v>1.33</v>
      </c>
      <c r="I291" s="7">
        <v>3</v>
      </c>
      <c r="J291" s="7">
        <v>800</v>
      </c>
      <c r="K291" s="7">
        <v>600</v>
      </c>
      <c r="L291" s="7">
        <v>150</v>
      </c>
      <c r="M291" s="7">
        <v>30</v>
      </c>
      <c r="N291" s="7">
        <v>240</v>
      </c>
      <c r="O291" s="7">
        <v>650</v>
      </c>
      <c r="P291" s="7">
        <v>810</v>
      </c>
    </row>
    <row r="292" spans="1:16" s="10" customFormat="1">
      <c r="A292" s="7">
        <f>IF(B292="","",SUBTOTAL(103,$B$2:B292))</f>
        <v>291</v>
      </c>
      <c r="B292" s="8" t="s">
        <v>837</v>
      </c>
      <c r="C292" s="7" t="s">
        <v>838</v>
      </c>
      <c r="D292" s="9" t="s">
        <v>839</v>
      </c>
      <c r="E292" s="7" t="s">
        <v>840</v>
      </c>
      <c r="F292" s="7" t="s">
        <v>841</v>
      </c>
      <c r="G292" s="7" t="s">
        <v>842</v>
      </c>
      <c r="H292" s="7">
        <v>0.38</v>
      </c>
      <c r="I292" s="7">
        <v>10</v>
      </c>
      <c r="J292" s="7">
        <v>800</v>
      </c>
      <c r="K292" s="7">
        <v>600</v>
      </c>
      <c r="L292" s="7">
        <v>150</v>
      </c>
      <c r="M292" s="7">
        <v>30</v>
      </c>
      <c r="N292" s="7">
        <v>60</v>
      </c>
      <c r="O292" s="7">
        <v>195</v>
      </c>
      <c r="P292" s="7">
        <v>360</v>
      </c>
    </row>
    <row r="293" spans="1:16" s="10" customFormat="1">
      <c r="A293" s="7">
        <f>IF(B293="","",SUBTOTAL(103,$B$2:B293))</f>
        <v>292</v>
      </c>
      <c r="B293" s="8" t="s">
        <v>837</v>
      </c>
      <c r="C293" s="7" t="s">
        <v>843</v>
      </c>
      <c r="D293" s="9" t="s">
        <v>844</v>
      </c>
      <c r="E293" s="7" t="s">
        <v>840</v>
      </c>
      <c r="F293" s="7" t="s">
        <v>845</v>
      </c>
      <c r="G293" s="7" t="s">
        <v>846</v>
      </c>
      <c r="H293" s="7">
        <v>0.19800000000000001</v>
      </c>
      <c r="I293" s="7">
        <v>12</v>
      </c>
      <c r="J293" s="7">
        <v>800</v>
      </c>
      <c r="K293" s="7">
        <v>600</v>
      </c>
      <c r="L293" s="7">
        <v>150</v>
      </c>
      <c r="M293" s="7">
        <v>30</v>
      </c>
      <c r="N293" s="7">
        <v>60</v>
      </c>
      <c r="O293" s="7">
        <v>150</v>
      </c>
      <c r="P293" s="7">
        <v>264</v>
      </c>
    </row>
    <row r="294" spans="1:16" s="10" customFormat="1">
      <c r="A294" s="7">
        <f>IF(B294="","",SUBTOTAL(103,$B$2:B294))</f>
        <v>293</v>
      </c>
      <c r="B294" s="8" t="s">
        <v>837</v>
      </c>
      <c r="C294" s="7" t="s">
        <v>847</v>
      </c>
      <c r="D294" s="9" t="s">
        <v>848</v>
      </c>
      <c r="E294" s="7" t="s">
        <v>840</v>
      </c>
      <c r="F294" s="7" t="s">
        <v>849</v>
      </c>
      <c r="G294" s="7" t="s">
        <v>850</v>
      </c>
      <c r="H294" s="7">
        <v>0.82899999999999996</v>
      </c>
      <c r="I294" s="7">
        <v>4</v>
      </c>
      <c r="J294" s="7">
        <v>800</v>
      </c>
      <c r="K294" s="7">
        <v>600</v>
      </c>
      <c r="L294" s="7">
        <v>150</v>
      </c>
      <c r="M294" s="7">
        <v>30</v>
      </c>
      <c r="N294" s="7">
        <v>60</v>
      </c>
      <c r="O294" s="7">
        <v>500</v>
      </c>
      <c r="P294" s="7">
        <v>720</v>
      </c>
    </row>
    <row r="295" spans="1:16" s="10" customFormat="1">
      <c r="A295" s="7">
        <f>IF(B295="","",SUBTOTAL(103,$B$2:B295))</f>
        <v>294</v>
      </c>
      <c r="B295" s="8" t="s">
        <v>837</v>
      </c>
      <c r="C295" s="7" t="s">
        <v>851</v>
      </c>
      <c r="D295" s="9" t="s">
        <v>852</v>
      </c>
      <c r="E295" s="7" t="s">
        <v>840</v>
      </c>
      <c r="F295" s="7" t="s">
        <v>853</v>
      </c>
      <c r="G295" s="7" t="s">
        <v>854</v>
      </c>
      <c r="H295" s="7">
        <v>1.25</v>
      </c>
      <c r="I295" s="7">
        <v>3</v>
      </c>
      <c r="J295" s="7">
        <v>800</v>
      </c>
      <c r="K295" s="7">
        <v>600</v>
      </c>
      <c r="L295" s="7">
        <v>150</v>
      </c>
      <c r="M295" s="7">
        <v>30</v>
      </c>
      <c r="N295" s="7">
        <v>60</v>
      </c>
      <c r="O295" s="7">
        <v>650</v>
      </c>
      <c r="P295" s="7">
        <v>810</v>
      </c>
    </row>
    <row r="296" spans="1:16" s="10" customFormat="1">
      <c r="A296" s="7">
        <f>IF(B296="","",SUBTOTAL(103,$B$2:B296))</f>
        <v>295</v>
      </c>
      <c r="B296" s="8" t="s">
        <v>837</v>
      </c>
      <c r="C296" s="7" t="s">
        <v>851</v>
      </c>
      <c r="D296" s="9" t="s">
        <v>855</v>
      </c>
      <c r="E296" s="7" t="s">
        <v>856</v>
      </c>
      <c r="F296" s="7" t="s">
        <v>857</v>
      </c>
      <c r="G296" s="7" t="str">
        <f>E296&amp;F296</f>
        <v>SVF KV-L9C/I 阀体毛坯 (KV-L30换字块)NPS2 400WOG CF8M</v>
      </c>
      <c r="H296" s="7">
        <v>1.46</v>
      </c>
      <c r="I296" s="7">
        <v>3</v>
      </c>
      <c r="J296" s="7">
        <v>800</v>
      </c>
      <c r="K296" s="7">
        <v>600</v>
      </c>
      <c r="L296" s="7">
        <v>150</v>
      </c>
      <c r="M296" s="7">
        <v>30</v>
      </c>
      <c r="N296" s="7">
        <v>60</v>
      </c>
      <c r="O296" s="7">
        <v>650</v>
      </c>
      <c r="P296" s="7">
        <v>810</v>
      </c>
    </row>
    <row r="297" spans="1:16" s="10" customFormat="1">
      <c r="A297" s="7">
        <f>IF(B297="","",SUBTOTAL(103,$B$2:B297))</f>
        <v>296</v>
      </c>
      <c r="B297" s="8" t="s">
        <v>837</v>
      </c>
      <c r="C297" s="7" t="s">
        <v>858</v>
      </c>
      <c r="D297" s="9" t="s">
        <v>859</v>
      </c>
      <c r="E297" s="7" t="s">
        <v>840</v>
      </c>
      <c r="F297" s="7" t="s">
        <v>860</v>
      </c>
      <c r="G297" s="7" t="s">
        <v>861</v>
      </c>
      <c r="H297" s="7">
        <v>2.44</v>
      </c>
      <c r="I297" s="7">
        <v>1</v>
      </c>
      <c r="J297" s="7">
        <v>800</v>
      </c>
      <c r="K297" s="7">
        <v>600</v>
      </c>
      <c r="L297" s="7">
        <v>150</v>
      </c>
      <c r="M297" s="7">
        <v>30</v>
      </c>
      <c r="N297" s="7">
        <v>60</v>
      </c>
      <c r="O297" s="7">
        <v>2000</v>
      </c>
      <c r="P297" s="7">
        <v>2460</v>
      </c>
    </row>
    <row r="298" spans="1:16" s="10" customFormat="1">
      <c r="A298" s="7">
        <f>IF(B298="","",SUBTOTAL(103,$B$2:B298))</f>
        <v>297</v>
      </c>
      <c r="B298" s="8" t="s">
        <v>837</v>
      </c>
      <c r="C298" s="7" t="s">
        <v>862</v>
      </c>
      <c r="D298" s="9" t="s">
        <v>863</v>
      </c>
      <c r="E298" s="7" t="s">
        <v>840</v>
      </c>
      <c r="F298" s="7" t="s">
        <v>864</v>
      </c>
      <c r="G298" s="7" t="s">
        <v>865</v>
      </c>
      <c r="H298" s="7">
        <v>3.3</v>
      </c>
      <c r="I298" s="7">
        <v>1</v>
      </c>
      <c r="J298" s="7">
        <v>800</v>
      </c>
      <c r="K298" s="7">
        <v>600</v>
      </c>
      <c r="L298" s="7">
        <v>150</v>
      </c>
      <c r="M298" s="7">
        <v>30</v>
      </c>
      <c r="N298" s="7">
        <v>60</v>
      </c>
      <c r="O298" s="7">
        <v>2000</v>
      </c>
      <c r="P298" s="7">
        <v>2460</v>
      </c>
    </row>
    <row r="299" spans="1:16" s="10" customFormat="1">
      <c r="A299" s="7">
        <f>IF(B299="","",SUBTOTAL(103,$B$2:B299))</f>
        <v>298</v>
      </c>
      <c r="B299" s="8" t="s">
        <v>837</v>
      </c>
      <c r="C299" s="7" t="s">
        <v>866</v>
      </c>
      <c r="D299" s="9" t="s">
        <v>867</v>
      </c>
      <c r="E299" s="7" t="s">
        <v>840</v>
      </c>
      <c r="F299" s="7" t="s">
        <v>868</v>
      </c>
      <c r="G299" s="7" t="s">
        <v>869</v>
      </c>
      <c r="H299" s="7">
        <v>0.28399999999999997</v>
      </c>
      <c r="I299" s="7">
        <v>10</v>
      </c>
      <c r="J299" s="7">
        <v>800</v>
      </c>
      <c r="K299" s="7">
        <v>600</v>
      </c>
      <c r="L299" s="7">
        <v>150</v>
      </c>
      <c r="M299" s="7">
        <v>30</v>
      </c>
      <c r="N299" s="7">
        <v>60</v>
      </c>
      <c r="O299" s="7">
        <v>195</v>
      </c>
      <c r="P299" s="7">
        <v>360</v>
      </c>
    </row>
    <row r="300" spans="1:16" s="10" customFormat="1">
      <c r="A300" s="7">
        <f>IF(B300="","",SUBTOTAL(103,$B$2:B300))</f>
        <v>299</v>
      </c>
      <c r="B300" s="8" t="s">
        <v>837</v>
      </c>
      <c r="C300" s="7" t="s">
        <v>870</v>
      </c>
      <c r="D300" s="9" t="s">
        <v>871</v>
      </c>
      <c r="E300" s="7" t="s">
        <v>840</v>
      </c>
      <c r="F300" s="7" t="s">
        <v>872</v>
      </c>
      <c r="G300" s="7" t="s">
        <v>873</v>
      </c>
      <c r="H300" s="7">
        <v>6.19</v>
      </c>
      <c r="I300" s="7">
        <v>1</v>
      </c>
      <c r="J300" s="7">
        <v>800</v>
      </c>
      <c r="K300" s="7">
        <v>600</v>
      </c>
      <c r="L300" s="7">
        <v>150</v>
      </c>
      <c r="M300" s="7">
        <v>30</v>
      </c>
      <c r="N300" s="7">
        <v>60</v>
      </c>
      <c r="O300" s="7">
        <v>2000</v>
      </c>
      <c r="P300" s="7">
        <v>2460</v>
      </c>
    </row>
    <row r="301" spans="1:16" s="10" customFormat="1">
      <c r="A301" s="7">
        <f>IF(B301="","",SUBTOTAL(103,$B$2:B301))</f>
        <v>300</v>
      </c>
      <c r="B301" s="8" t="s">
        <v>874</v>
      </c>
      <c r="C301" s="7" t="s">
        <v>875</v>
      </c>
      <c r="D301" s="9" t="s">
        <v>876</v>
      </c>
      <c r="E301" s="7" t="s">
        <v>877</v>
      </c>
      <c r="F301" s="7" t="s">
        <v>841</v>
      </c>
      <c r="G301" s="7" t="s">
        <v>878</v>
      </c>
      <c r="H301" s="7">
        <v>0.3</v>
      </c>
      <c r="I301" s="7">
        <v>10</v>
      </c>
      <c r="J301" s="7">
        <v>800</v>
      </c>
      <c r="K301" s="7">
        <v>600</v>
      </c>
      <c r="L301" s="7">
        <v>150</v>
      </c>
      <c r="M301" s="7">
        <v>30</v>
      </c>
      <c r="N301" s="7">
        <v>60</v>
      </c>
      <c r="O301" s="7">
        <v>195</v>
      </c>
      <c r="P301" s="7">
        <v>360</v>
      </c>
    </row>
    <row r="302" spans="1:16" s="10" customFormat="1">
      <c r="A302" s="7">
        <f>IF(B302="","",SUBTOTAL(103,$B$2:B302))</f>
        <v>301</v>
      </c>
      <c r="B302" s="8" t="s">
        <v>874</v>
      </c>
      <c r="C302" s="7" t="s">
        <v>879</v>
      </c>
      <c r="D302" s="9" t="s">
        <v>880</v>
      </c>
      <c r="E302" s="7" t="s">
        <v>877</v>
      </c>
      <c r="F302" s="7" t="s">
        <v>845</v>
      </c>
      <c r="G302" s="7" t="s">
        <v>881</v>
      </c>
      <c r="H302" s="7">
        <v>0.14000000000000001</v>
      </c>
      <c r="I302" s="7">
        <v>12</v>
      </c>
      <c r="J302" s="7">
        <v>800</v>
      </c>
      <c r="K302" s="7">
        <v>600</v>
      </c>
      <c r="L302" s="7">
        <v>150</v>
      </c>
      <c r="M302" s="7">
        <v>30</v>
      </c>
      <c r="N302" s="7">
        <v>60</v>
      </c>
      <c r="O302" s="7">
        <v>150</v>
      </c>
      <c r="P302" s="7">
        <v>264</v>
      </c>
    </row>
    <row r="303" spans="1:16" s="10" customFormat="1">
      <c r="A303" s="7">
        <f>IF(B303="","",SUBTOTAL(103,$B$2:B303))</f>
        <v>302</v>
      </c>
      <c r="B303" s="8" t="s">
        <v>874</v>
      </c>
      <c r="C303" s="7" t="s">
        <v>882</v>
      </c>
      <c r="D303" s="9" t="s">
        <v>883</v>
      </c>
      <c r="E303" s="7" t="s">
        <v>877</v>
      </c>
      <c r="F303" s="7" t="s">
        <v>884</v>
      </c>
      <c r="G303" s="7" t="s">
        <v>885</v>
      </c>
      <c r="H303" s="7">
        <v>0.51</v>
      </c>
      <c r="I303" s="7">
        <v>4</v>
      </c>
      <c r="J303" s="7">
        <v>800</v>
      </c>
      <c r="K303" s="7">
        <v>600</v>
      </c>
      <c r="L303" s="7">
        <v>150</v>
      </c>
      <c r="M303" s="7">
        <v>30</v>
      </c>
      <c r="N303" s="7">
        <v>60</v>
      </c>
      <c r="O303" s="7">
        <v>500</v>
      </c>
      <c r="P303" s="7">
        <v>720</v>
      </c>
    </row>
    <row r="304" spans="1:16" s="10" customFormat="1">
      <c r="A304" s="7">
        <f>IF(B304="","",SUBTOTAL(103,$B$2:B304))</f>
        <v>303</v>
      </c>
      <c r="B304" s="8" t="s">
        <v>874</v>
      </c>
      <c r="C304" s="7" t="s">
        <v>886</v>
      </c>
      <c r="D304" s="9" t="s">
        <v>887</v>
      </c>
      <c r="E304" s="7" t="s">
        <v>877</v>
      </c>
      <c r="F304" s="7" t="s">
        <v>857</v>
      </c>
      <c r="G304" s="7" t="s">
        <v>888</v>
      </c>
      <c r="H304" s="7">
        <v>0.85</v>
      </c>
      <c r="I304" s="7">
        <v>6</v>
      </c>
      <c r="J304" s="7">
        <v>800</v>
      </c>
      <c r="K304" s="7">
        <v>600</v>
      </c>
      <c r="L304" s="7">
        <v>150</v>
      </c>
      <c r="M304" s="7">
        <v>30</v>
      </c>
      <c r="N304" s="7">
        <v>60</v>
      </c>
      <c r="O304" s="7">
        <v>310</v>
      </c>
      <c r="P304" s="7">
        <v>420</v>
      </c>
    </row>
    <row r="305" spans="1:16" s="10" customFormat="1">
      <c r="A305" s="7">
        <f>IF(B305="","",SUBTOTAL(103,$B$2:B305))</f>
        <v>304</v>
      </c>
      <c r="B305" s="8" t="s">
        <v>874</v>
      </c>
      <c r="C305" s="7" t="s">
        <v>889</v>
      </c>
      <c r="D305" s="9" t="s">
        <v>890</v>
      </c>
      <c r="E305" s="7" t="s">
        <v>877</v>
      </c>
      <c r="F305" s="7" t="s">
        <v>860</v>
      </c>
      <c r="G305" s="7" t="s">
        <v>891</v>
      </c>
      <c r="H305" s="7">
        <v>1.48</v>
      </c>
      <c r="I305" s="7">
        <v>2</v>
      </c>
      <c r="J305" s="7">
        <v>800</v>
      </c>
      <c r="K305" s="7">
        <v>600</v>
      </c>
      <c r="L305" s="7">
        <v>150</v>
      </c>
      <c r="M305" s="7">
        <v>30</v>
      </c>
      <c r="N305" s="7">
        <v>60</v>
      </c>
      <c r="O305" s="7">
        <v>1000</v>
      </c>
      <c r="P305" s="7">
        <v>1320</v>
      </c>
    </row>
    <row r="306" spans="1:16" s="10" customFormat="1">
      <c r="A306" s="7">
        <f>IF(B306="","",SUBTOTAL(103,$B$2:B306))</f>
        <v>305</v>
      </c>
      <c r="B306" s="8" t="s">
        <v>874</v>
      </c>
      <c r="C306" s="7" t="s">
        <v>892</v>
      </c>
      <c r="D306" s="9" t="s">
        <v>893</v>
      </c>
      <c r="E306" s="7" t="s">
        <v>877</v>
      </c>
      <c r="F306" s="7" t="s">
        <v>894</v>
      </c>
      <c r="G306" s="7" t="s">
        <v>895</v>
      </c>
      <c r="H306" s="7">
        <v>2.16</v>
      </c>
      <c r="I306" s="7">
        <v>2</v>
      </c>
      <c r="J306" s="7">
        <v>800</v>
      </c>
      <c r="K306" s="7">
        <v>600</v>
      </c>
      <c r="L306" s="7">
        <v>150</v>
      </c>
      <c r="M306" s="7">
        <v>30</v>
      </c>
      <c r="N306" s="7">
        <v>60</v>
      </c>
      <c r="O306" s="7">
        <v>1000</v>
      </c>
      <c r="P306" s="7">
        <v>1320</v>
      </c>
    </row>
    <row r="307" spans="1:16" s="10" customFormat="1">
      <c r="A307" s="7">
        <f>IF(B307="","",SUBTOTAL(103,$B$2:B307))</f>
        <v>306</v>
      </c>
      <c r="B307" s="8" t="s">
        <v>874</v>
      </c>
      <c r="C307" s="7" t="s">
        <v>896</v>
      </c>
      <c r="D307" s="9" t="s">
        <v>897</v>
      </c>
      <c r="E307" s="7" t="s">
        <v>877</v>
      </c>
      <c r="F307" s="7" t="s">
        <v>868</v>
      </c>
      <c r="G307" s="7" t="s">
        <v>898</v>
      </c>
      <c r="H307" s="7">
        <v>0.17</v>
      </c>
      <c r="I307" s="7">
        <v>10</v>
      </c>
      <c r="J307" s="7">
        <v>800</v>
      </c>
      <c r="K307" s="7">
        <v>600</v>
      </c>
      <c r="L307" s="7">
        <v>150</v>
      </c>
      <c r="M307" s="7">
        <v>30</v>
      </c>
      <c r="N307" s="7">
        <v>60</v>
      </c>
      <c r="O307" s="7">
        <v>195</v>
      </c>
      <c r="P307" s="7">
        <v>360</v>
      </c>
    </row>
    <row r="308" spans="1:16" s="10" customFormat="1">
      <c r="A308" s="7">
        <f>IF(B308="","",SUBTOTAL(103,$B$2:B308))</f>
        <v>307</v>
      </c>
      <c r="B308" s="8" t="s">
        <v>874</v>
      </c>
      <c r="C308" s="7" t="s">
        <v>899</v>
      </c>
      <c r="D308" s="9" t="s">
        <v>900</v>
      </c>
      <c r="E308" s="7" t="s">
        <v>877</v>
      </c>
      <c r="F308" s="7" t="s">
        <v>872</v>
      </c>
      <c r="G308" s="7" t="s">
        <v>901</v>
      </c>
      <c r="H308" s="7">
        <v>4.2300000000000004</v>
      </c>
      <c r="I308" s="7">
        <v>1</v>
      </c>
      <c r="J308" s="7">
        <v>800</v>
      </c>
      <c r="K308" s="7">
        <v>600</v>
      </c>
      <c r="L308" s="7">
        <v>150</v>
      </c>
      <c r="M308" s="7">
        <v>30</v>
      </c>
      <c r="N308" s="7">
        <v>60</v>
      </c>
      <c r="O308" s="7">
        <v>2000</v>
      </c>
      <c r="P308" s="7">
        <v>2460</v>
      </c>
    </row>
    <row r="309" spans="1:16" s="10" customFormat="1">
      <c r="A309" s="7">
        <f>IF(B309="","",SUBTOTAL(103,$B$2:B309))</f>
        <v>308</v>
      </c>
      <c r="B309" s="8" t="s">
        <v>902</v>
      </c>
      <c r="C309" s="7" t="s">
        <v>903</v>
      </c>
      <c r="D309" s="9" t="s">
        <v>904</v>
      </c>
      <c r="E309" s="7" t="s">
        <v>905</v>
      </c>
      <c r="F309" s="7" t="s">
        <v>906</v>
      </c>
      <c r="G309" s="7" t="s">
        <v>907</v>
      </c>
      <c r="H309" s="7">
        <v>2.39</v>
      </c>
      <c r="I309" s="7">
        <v>2</v>
      </c>
      <c r="J309" s="7">
        <v>800</v>
      </c>
      <c r="K309" s="7">
        <v>600</v>
      </c>
      <c r="L309" s="7">
        <v>150</v>
      </c>
      <c r="M309" s="7">
        <v>30</v>
      </c>
      <c r="N309" s="7">
        <v>60</v>
      </c>
      <c r="O309" s="7">
        <v>1000</v>
      </c>
      <c r="P309" s="7">
        <v>1320</v>
      </c>
    </row>
    <row r="310" spans="1:16" s="10" customFormat="1">
      <c r="A310" s="7">
        <f>IF(B310="","",SUBTOTAL(103,$B$2:B310))</f>
        <v>309</v>
      </c>
      <c r="B310" s="8" t="s">
        <v>908</v>
      </c>
      <c r="C310" s="7" t="s">
        <v>909</v>
      </c>
      <c r="D310" s="9" t="s">
        <v>910</v>
      </c>
      <c r="E310" s="7" t="s">
        <v>911</v>
      </c>
      <c r="F310" s="7" t="s">
        <v>912</v>
      </c>
      <c r="G310" s="7" t="s">
        <v>913</v>
      </c>
      <c r="H310" s="7">
        <v>0.33</v>
      </c>
      <c r="I310" s="7">
        <v>16</v>
      </c>
      <c r="J310" s="7">
        <v>800</v>
      </c>
      <c r="K310" s="7">
        <v>600</v>
      </c>
      <c r="L310" s="7">
        <v>150</v>
      </c>
      <c r="M310" s="7">
        <v>30</v>
      </c>
      <c r="N310" s="7">
        <v>60</v>
      </c>
      <c r="O310" s="7">
        <v>125</v>
      </c>
      <c r="P310" s="7">
        <v>264</v>
      </c>
    </row>
    <row r="311" spans="1:16" s="10" customFormat="1">
      <c r="A311" s="7">
        <f>IF(B311="","",SUBTOTAL(103,$B$2:B311))</f>
        <v>310</v>
      </c>
      <c r="B311" s="8" t="s">
        <v>908</v>
      </c>
      <c r="C311" s="7" t="s">
        <v>914</v>
      </c>
      <c r="D311" s="9" t="s">
        <v>915</v>
      </c>
      <c r="E311" s="7" t="s">
        <v>911</v>
      </c>
      <c r="F311" s="7" t="s">
        <v>916</v>
      </c>
      <c r="G311" s="7" t="s">
        <v>917</v>
      </c>
      <c r="H311" s="7">
        <v>0.18</v>
      </c>
      <c r="I311" s="7">
        <v>15</v>
      </c>
      <c r="J311" s="7">
        <v>800</v>
      </c>
      <c r="K311" s="7">
        <v>600</v>
      </c>
      <c r="L311" s="7">
        <v>150</v>
      </c>
      <c r="M311" s="7">
        <v>30</v>
      </c>
      <c r="N311" s="7">
        <v>60</v>
      </c>
      <c r="O311" s="7">
        <v>120</v>
      </c>
      <c r="P311" s="7">
        <v>468</v>
      </c>
    </row>
    <row r="312" spans="1:16" s="10" customFormat="1">
      <c r="A312" s="7">
        <f>IF(B312="","",SUBTOTAL(103,$B$2:B312))</f>
        <v>311</v>
      </c>
      <c r="B312" s="8" t="s">
        <v>908</v>
      </c>
      <c r="C312" s="7" t="s">
        <v>918</v>
      </c>
      <c r="D312" s="9" t="s">
        <v>919</v>
      </c>
      <c r="E312" s="7" t="s">
        <v>911</v>
      </c>
      <c r="F312" s="7" t="s">
        <v>920</v>
      </c>
      <c r="G312" s="7" t="s">
        <v>921</v>
      </c>
      <c r="H312" s="7">
        <v>0.67</v>
      </c>
      <c r="I312" s="7">
        <v>8</v>
      </c>
      <c r="J312" s="7">
        <v>800</v>
      </c>
      <c r="K312" s="7">
        <v>600</v>
      </c>
      <c r="L312" s="7">
        <v>150</v>
      </c>
      <c r="M312" s="7">
        <v>30</v>
      </c>
      <c r="N312" s="7">
        <v>60</v>
      </c>
      <c r="O312" s="7">
        <v>225</v>
      </c>
      <c r="P312" s="7">
        <v>300</v>
      </c>
    </row>
    <row r="313" spans="1:16" s="10" customFormat="1">
      <c r="A313" s="7">
        <f>IF(B313="","",SUBTOTAL(103,$B$2:B313))</f>
        <v>312</v>
      </c>
      <c r="B313" s="8" t="s">
        <v>908</v>
      </c>
      <c r="C313" s="7" t="s">
        <v>922</v>
      </c>
      <c r="D313" s="9" t="s">
        <v>923</v>
      </c>
      <c r="E313" s="7" t="s">
        <v>911</v>
      </c>
      <c r="F313" s="7" t="s">
        <v>924</v>
      </c>
      <c r="G313" s="7" t="s">
        <v>925</v>
      </c>
      <c r="H313" s="7">
        <v>1.02</v>
      </c>
      <c r="I313" s="7">
        <v>4</v>
      </c>
      <c r="J313" s="7">
        <v>800</v>
      </c>
      <c r="K313" s="7">
        <v>600</v>
      </c>
      <c r="L313" s="7">
        <v>150</v>
      </c>
      <c r="M313" s="7">
        <v>30</v>
      </c>
      <c r="N313" s="7">
        <v>60</v>
      </c>
      <c r="O313" s="7">
        <v>500</v>
      </c>
      <c r="P313" s="7">
        <v>720</v>
      </c>
    </row>
    <row r="314" spans="1:16" s="10" customFormat="1">
      <c r="A314" s="7">
        <f>IF(B314="","",SUBTOTAL(103,$B$2:B314))</f>
        <v>313</v>
      </c>
      <c r="B314" s="8" t="s">
        <v>908</v>
      </c>
      <c r="C314" s="7" t="s">
        <v>926</v>
      </c>
      <c r="D314" s="9" t="s">
        <v>927</v>
      </c>
      <c r="E314" s="7" t="s">
        <v>911</v>
      </c>
      <c r="F314" s="7" t="s">
        <v>928</v>
      </c>
      <c r="G314" s="7" t="s">
        <v>929</v>
      </c>
      <c r="H314" s="7">
        <v>1.72</v>
      </c>
      <c r="I314" s="7">
        <v>2</v>
      </c>
      <c r="J314" s="7">
        <v>800</v>
      </c>
      <c r="K314" s="7">
        <v>600</v>
      </c>
      <c r="L314" s="7">
        <v>150</v>
      </c>
      <c r="M314" s="7">
        <v>30</v>
      </c>
      <c r="N314" s="7">
        <v>60</v>
      </c>
      <c r="O314" s="7">
        <v>1000</v>
      </c>
      <c r="P314" s="7">
        <v>1320</v>
      </c>
    </row>
    <row r="315" spans="1:16" s="10" customFormat="1">
      <c r="A315" s="7">
        <f>IF(B315="","",SUBTOTAL(103,$B$2:B315))</f>
        <v>314</v>
      </c>
      <c r="B315" s="8" t="s">
        <v>908</v>
      </c>
      <c r="C315" s="7" t="s">
        <v>930</v>
      </c>
      <c r="D315" s="9" t="s">
        <v>931</v>
      </c>
      <c r="E315" s="7" t="s">
        <v>911</v>
      </c>
      <c r="F315" s="7" t="s">
        <v>932</v>
      </c>
      <c r="G315" s="7" t="s">
        <v>933</v>
      </c>
      <c r="H315" s="7">
        <v>0.23</v>
      </c>
      <c r="I315" s="7">
        <v>20</v>
      </c>
      <c r="J315" s="7">
        <v>800</v>
      </c>
      <c r="K315" s="7">
        <v>600</v>
      </c>
      <c r="L315" s="7">
        <v>150</v>
      </c>
      <c r="M315" s="7">
        <v>30</v>
      </c>
      <c r="N315" s="7">
        <v>60</v>
      </c>
      <c r="O315" s="7">
        <v>95</v>
      </c>
      <c r="P315" s="7">
        <v>276</v>
      </c>
    </row>
    <row r="316" spans="1:16" s="10" customFormat="1">
      <c r="A316" s="7">
        <f>IF(B316="","",SUBTOTAL(103,$B$2:B316))</f>
        <v>315</v>
      </c>
      <c r="B316" s="8" t="s">
        <v>908</v>
      </c>
      <c r="C316" s="7" t="s">
        <v>934</v>
      </c>
      <c r="D316" s="9" t="s">
        <v>935</v>
      </c>
      <c r="E316" s="7" t="s">
        <v>936</v>
      </c>
      <c r="F316" s="7" t="s">
        <v>937</v>
      </c>
      <c r="G316" s="7" t="s">
        <v>938</v>
      </c>
      <c r="H316" s="7">
        <v>4.1399999999999997</v>
      </c>
      <c r="I316" s="7">
        <v>2</v>
      </c>
      <c r="J316" s="7">
        <v>800</v>
      </c>
      <c r="K316" s="7">
        <v>600</v>
      </c>
      <c r="L316" s="7">
        <v>150</v>
      </c>
      <c r="M316" s="7">
        <v>30</v>
      </c>
      <c r="N316" s="7">
        <v>60</v>
      </c>
      <c r="O316" s="7">
        <v>1000</v>
      </c>
      <c r="P316" s="7">
        <v>1320</v>
      </c>
    </row>
    <row r="317" spans="1:16" s="10" customFormat="1">
      <c r="A317" s="7">
        <f>IF(B317="","",SUBTOTAL(103,$B$2:B317))</f>
        <v>316</v>
      </c>
      <c r="B317" s="8" t="s">
        <v>837</v>
      </c>
      <c r="C317" s="7" t="s">
        <v>858</v>
      </c>
      <c r="D317" s="9" t="s">
        <v>939</v>
      </c>
      <c r="E317" s="7" t="s">
        <v>940</v>
      </c>
      <c r="F317" s="7" t="s">
        <v>860</v>
      </c>
      <c r="G317" s="7" t="s">
        <v>941</v>
      </c>
      <c r="H317" s="7">
        <v>2.48</v>
      </c>
      <c r="I317" s="7">
        <v>1</v>
      </c>
      <c r="J317" s="7">
        <v>800</v>
      </c>
      <c r="K317" s="7">
        <v>600</v>
      </c>
      <c r="L317" s="7">
        <v>150</v>
      </c>
      <c r="M317" s="7">
        <v>30</v>
      </c>
      <c r="N317" s="7">
        <v>60</v>
      </c>
      <c r="O317" s="7">
        <v>2000</v>
      </c>
      <c r="P317" s="7">
        <v>2460</v>
      </c>
    </row>
    <row r="318" spans="1:16" s="10" customFormat="1">
      <c r="A318" s="7">
        <f>IF(B318="","",SUBTOTAL(103,$B$2:B318))</f>
        <v>317</v>
      </c>
      <c r="B318" s="8" t="s">
        <v>837</v>
      </c>
      <c r="C318" s="7" t="s">
        <v>870</v>
      </c>
      <c r="D318" s="9" t="s">
        <v>942</v>
      </c>
      <c r="E318" s="7" t="s">
        <v>943</v>
      </c>
      <c r="F318" s="7" t="s">
        <v>872</v>
      </c>
      <c r="G318" s="7" t="s">
        <v>944</v>
      </c>
      <c r="H318" s="7">
        <v>6.36</v>
      </c>
      <c r="I318" s="7">
        <v>1</v>
      </c>
      <c r="J318" s="7">
        <v>800</v>
      </c>
      <c r="K318" s="7">
        <v>600</v>
      </c>
      <c r="L318" s="7">
        <v>150</v>
      </c>
      <c r="M318" s="7">
        <v>30</v>
      </c>
      <c r="N318" s="7">
        <v>60</v>
      </c>
      <c r="O318" s="7">
        <v>2000</v>
      </c>
      <c r="P318" s="7">
        <v>2460</v>
      </c>
    </row>
    <row r="319" spans="1:16">
      <c r="A319" s="7">
        <f>IF(B319="","",SUBTOTAL(103,$B$2:B319))</f>
        <v>318</v>
      </c>
      <c r="B319" s="8" t="s">
        <v>837</v>
      </c>
      <c r="C319" s="7" t="s">
        <v>851</v>
      </c>
      <c r="D319" s="9" t="s">
        <v>945</v>
      </c>
      <c r="E319" s="7" t="s">
        <v>946</v>
      </c>
      <c r="F319" s="7" t="s">
        <v>947</v>
      </c>
      <c r="G319" s="7" t="s">
        <v>948</v>
      </c>
      <c r="H319" s="7">
        <v>1.02</v>
      </c>
      <c r="I319" s="7">
        <v>6</v>
      </c>
      <c r="J319" s="7">
        <v>800</v>
      </c>
      <c r="K319" s="7">
        <v>600</v>
      </c>
      <c r="L319" s="7">
        <v>150</v>
      </c>
      <c r="M319" s="7">
        <v>30</v>
      </c>
      <c r="N319" s="7">
        <v>60</v>
      </c>
      <c r="O319" s="7">
        <v>310</v>
      </c>
      <c r="P319" s="7">
        <v>420</v>
      </c>
    </row>
    <row r="320" spans="1:16">
      <c r="A320" s="7">
        <f>IF(B320="","",SUBTOTAL(103,$B$2:B320))</f>
        <v>319</v>
      </c>
      <c r="B320" s="8" t="s">
        <v>837</v>
      </c>
      <c r="C320" s="7" t="s">
        <v>847</v>
      </c>
      <c r="D320" s="9" t="s">
        <v>949</v>
      </c>
      <c r="E320" s="7" t="s">
        <v>856</v>
      </c>
      <c r="F320" s="7" t="s">
        <v>884</v>
      </c>
      <c r="G320" s="7" t="s">
        <v>950</v>
      </c>
      <c r="H320" s="7">
        <v>0.67</v>
      </c>
      <c r="I320" s="7">
        <v>4</v>
      </c>
      <c r="J320" s="7">
        <v>800</v>
      </c>
      <c r="K320" s="7">
        <v>600</v>
      </c>
      <c r="L320" s="7">
        <v>150</v>
      </c>
      <c r="M320" s="7">
        <v>30</v>
      </c>
      <c r="N320" s="7">
        <v>60</v>
      </c>
      <c r="O320" s="7">
        <v>500</v>
      </c>
      <c r="P320" s="7">
        <v>720</v>
      </c>
    </row>
    <row r="321" spans="1:16">
      <c r="A321" s="7">
        <f>IF(B321="","",SUBTOTAL(103,$B$2:B321))</f>
        <v>320</v>
      </c>
      <c r="B321" s="8" t="s">
        <v>837</v>
      </c>
      <c r="C321" s="7" t="s">
        <v>843</v>
      </c>
      <c r="D321" s="9" t="s">
        <v>951</v>
      </c>
      <c r="E321" s="7" t="s">
        <v>856</v>
      </c>
      <c r="F321" s="7" t="s">
        <v>845</v>
      </c>
      <c r="G321" s="7" t="s">
        <v>952</v>
      </c>
      <c r="H321" s="7">
        <v>0.18</v>
      </c>
      <c r="I321" s="7">
        <v>12</v>
      </c>
      <c r="J321" s="7">
        <v>800</v>
      </c>
      <c r="K321" s="7">
        <v>600</v>
      </c>
      <c r="L321" s="7">
        <v>150</v>
      </c>
      <c r="M321" s="7">
        <v>30</v>
      </c>
      <c r="N321" s="7">
        <v>60</v>
      </c>
      <c r="O321" s="7">
        <v>150</v>
      </c>
      <c r="P321" s="7">
        <v>468</v>
      </c>
    </row>
    <row r="322" spans="1:16">
      <c r="A322" s="7">
        <f>IF(B322="","",SUBTOTAL(103,$B$2:B322))</f>
        <v>321</v>
      </c>
      <c r="B322" s="8" t="s">
        <v>837</v>
      </c>
      <c r="C322" s="7" t="s">
        <v>838</v>
      </c>
      <c r="D322" s="9" t="s">
        <v>953</v>
      </c>
      <c r="E322" s="7" t="s">
        <v>856</v>
      </c>
      <c r="F322" s="7" t="s">
        <v>841</v>
      </c>
      <c r="G322" s="7" t="s">
        <v>954</v>
      </c>
      <c r="H322" s="7">
        <v>0.33</v>
      </c>
      <c r="I322" s="7">
        <v>10</v>
      </c>
      <c r="J322" s="7">
        <v>800</v>
      </c>
      <c r="K322" s="7">
        <v>600</v>
      </c>
      <c r="L322" s="7">
        <v>150</v>
      </c>
      <c r="M322" s="7">
        <v>30</v>
      </c>
      <c r="N322" s="7">
        <v>60</v>
      </c>
      <c r="O322" s="7">
        <v>195</v>
      </c>
      <c r="P322" s="7">
        <v>360</v>
      </c>
    </row>
    <row r="323" spans="1:16" s="10" customFormat="1">
      <c r="A323" s="7">
        <f>IF(B323="","",SUBTOTAL(103,$B$2:B323))</f>
        <v>322</v>
      </c>
      <c r="B323" s="8" t="s">
        <v>955</v>
      </c>
      <c r="C323" s="7" t="s">
        <v>956</v>
      </c>
      <c r="D323" s="9" t="s">
        <v>957</v>
      </c>
      <c r="E323" s="7" t="s">
        <v>958</v>
      </c>
      <c r="F323" s="7" t="s">
        <v>453</v>
      </c>
      <c r="G323" s="7" t="s">
        <v>959</v>
      </c>
      <c r="H323" s="7">
        <v>3.52</v>
      </c>
      <c r="I323" s="7">
        <v>1</v>
      </c>
      <c r="J323" s="7">
        <v>800</v>
      </c>
      <c r="K323" s="7">
        <v>600</v>
      </c>
      <c r="L323" s="7">
        <v>150</v>
      </c>
      <c r="M323" s="7">
        <v>30</v>
      </c>
      <c r="N323" s="7">
        <v>120</v>
      </c>
      <c r="O323" s="7">
        <v>2000</v>
      </c>
      <c r="P323" s="7">
        <v>2460</v>
      </c>
    </row>
    <row r="324" spans="1:16" s="10" customFormat="1">
      <c r="A324" s="7">
        <f>IF(B324="","",SUBTOTAL(103,$B$2:B324))</f>
        <v>323</v>
      </c>
      <c r="B324" s="8" t="s">
        <v>955</v>
      </c>
      <c r="C324" s="7" t="s">
        <v>956</v>
      </c>
      <c r="D324" s="9" t="s">
        <v>960</v>
      </c>
      <c r="E324" s="7" t="s">
        <v>961</v>
      </c>
      <c r="F324" s="7" t="s">
        <v>453</v>
      </c>
      <c r="G324" s="7" t="str">
        <f>E324&amp;F324</f>
        <v>SVF KV-M1F 阀体毛坯 (NACE MR 0175)NPS11/2 CL150 CF8M</v>
      </c>
      <c r="H324" s="7">
        <v>3.54</v>
      </c>
      <c r="I324" s="7">
        <v>1</v>
      </c>
      <c r="J324" s="7">
        <v>800</v>
      </c>
      <c r="K324" s="7">
        <v>600</v>
      </c>
      <c r="L324" s="7">
        <v>150</v>
      </c>
      <c r="M324" s="7">
        <v>30</v>
      </c>
      <c r="N324" s="7">
        <v>120</v>
      </c>
      <c r="O324" s="7">
        <v>2000</v>
      </c>
      <c r="P324" s="7">
        <v>2460</v>
      </c>
    </row>
    <row r="325" spans="1:16" s="10" customFormat="1">
      <c r="A325" s="7">
        <f>IF(B325="","",SUBTOTAL(103,$B$2:B325))</f>
        <v>324</v>
      </c>
      <c r="B325" s="8" t="s">
        <v>955</v>
      </c>
      <c r="C325" s="7" t="s">
        <v>962</v>
      </c>
      <c r="D325" s="9" t="s">
        <v>963</v>
      </c>
      <c r="E325" s="7" t="s">
        <v>958</v>
      </c>
      <c r="F325" s="7" t="s">
        <v>465</v>
      </c>
      <c r="G325" s="7" t="s">
        <v>964</v>
      </c>
      <c r="H325" s="7">
        <v>5.52</v>
      </c>
      <c r="I325" s="7">
        <v>1</v>
      </c>
      <c r="J325" s="7">
        <v>800</v>
      </c>
      <c r="K325" s="7">
        <v>600</v>
      </c>
      <c r="L325" s="7">
        <v>150</v>
      </c>
      <c r="M325" s="7">
        <v>30</v>
      </c>
      <c r="N325" s="7">
        <v>120</v>
      </c>
      <c r="O325" s="7">
        <v>2000</v>
      </c>
      <c r="P325" s="7">
        <v>2460</v>
      </c>
    </row>
    <row r="326" spans="1:16" s="10" customFormat="1">
      <c r="A326" s="7">
        <f>IF(B326="","",SUBTOTAL(103,$B$2:B326))</f>
        <v>325</v>
      </c>
      <c r="B326" s="8" t="s">
        <v>955</v>
      </c>
      <c r="C326" s="7" t="s">
        <v>962</v>
      </c>
      <c r="D326" s="9" t="s">
        <v>965</v>
      </c>
      <c r="E326" s="7" t="s">
        <v>966</v>
      </c>
      <c r="F326" s="7" t="s">
        <v>465</v>
      </c>
      <c r="G326" s="7" t="str">
        <f>E326&amp;F326</f>
        <v>KI KV-M1F 阀体毛坯NPS2 CL150 CF8M</v>
      </c>
      <c r="H326" s="7">
        <v>5.52</v>
      </c>
      <c r="I326" s="7">
        <v>1</v>
      </c>
      <c r="J326" s="7">
        <v>800</v>
      </c>
      <c r="K326" s="7">
        <v>600</v>
      </c>
      <c r="L326" s="7">
        <v>150</v>
      </c>
      <c r="M326" s="7">
        <v>30</v>
      </c>
      <c r="N326" s="7">
        <v>120</v>
      </c>
      <c r="O326" s="7">
        <v>2000</v>
      </c>
      <c r="P326" s="7">
        <v>2460</v>
      </c>
    </row>
    <row r="327" spans="1:16" s="10" customFormat="1">
      <c r="A327" s="7">
        <f>IF(B327="","",SUBTOTAL(103,$B$2:B327))</f>
        <v>326</v>
      </c>
      <c r="B327" s="8" t="s">
        <v>955</v>
      </c>
      <c r="C327" s="7" t="s">
        <v>962</v>
      </c>
      <c r="D327" s="9" t="s">
        <v>967</v>
      </c>
      <c r="E327" s="7" t="s">
        <v>961</v>
      </c>
      <c r="F327" s="7" t="s">
        <v>465</v>
      </c>
      <c r="G327" s="7" t="str">
        <f>E327&amp;F327</f>
        <v>SVF KV-M1F 阀体毛坯 (NACE MR 0175)NPS2 CL150 CF8M</v>
      </c>
      <c r="H327" s="7">
        <v>5.52</v>
      </c>
      <c r="I327" s="7">
        <v>1</v>
      </c>
      <c r="J327" s="7">
        <v>800</v>
      </c>
      <c r="K327" s="7">
        <v>600</v>
      </c>
      <c r="L327" s="7">
        <v>150</v>
      </c>
      <c r="M327" s="7">
        <v>30</v>
      </c>
      <c r="N327" s="7">
        <v>120</v>
      </c>
      <c r="O327" s="7">
        <v>2000</v>
      </c>
      <c r="P327" s="7">
        <v>2460</v>
      </c>
    </row>
    <row r="328" spans="1:16" s="10" customFormat="1">
      <c r="A328" s="7">
        <f>IF(B328="","",SUBTOTAL(103,$B$2:B328))</f>
        <v>327</v>
      </c>
      <c r="B328" s="8" t="s">
        <v>955</v>
      </c>
      <c r="C328" s="7" t="s">
        <v>962</v>
      </c>
      <c r="D328" s="9" t="s">
        <v>968</v>
      </c>
      <c r="E328" s="7" t="s">
        <v>958</v>
      </c>
      <c r="F328" s="7" t="s">
        <v>470</v>
      </c>
      <c r="G328" s="7" t="s">
        <v>969</v>
      </c>
      <c r="H328" s="7">
        <v>5.52</v>
      </c>
      <c r="I328" s="7">
        <v>1</v>
      </c>
      <c r="J328" s="7">
        <v>800</v>
      </c>
      <c r="K328" s="7">
        <v>600</v>
      </c>
      <c r="L328" s="7">
        <v>150</v>
      </c>
      <c r="M328" s="7">
        <v>30</v>
      </c>
      <c r="N328" s="7">
        <v>120</v>
      </c>
      <c r="O328" s="7">
        <v>2000</v>
      </c>
      <c r="P328" s="7">
        <v>2460</v>
      </c>
    </row>
    <row r="329" spans="1:16" s="10" customFormat="1">
      <c r="A329" s="7">
        <f>IF(B329="","",SUBTOTAL(103,$B$2:B329))</f>
        <v>328</v>
      </c>
      <c r="B329" s="8" t="s">
        <v>955</v>
      </c>
      <c r="C329" s="7" t="s">
        <v>962</v>
      </c>
      <c r="D329" s="9" t="s">
        <v>970</v>
      </c>
      <c r="E329" s="7" t="s">
        <v>961</v>
      </c>
      <c r="F329" s="7" t="s">
        <v>470</v>
      </c>
      <c r="G329" s="7" t="str">
        <f>E329&amp;F329</f>
        <v>SVF KV-M1F 阀体毛坯 (NACE MR 0175)NPS2 CL150 WCB</v>
      </c>
      <c r="H329" s="7">
        <v>5.52</v>
      </c>
      <c r="I329" s="7">
        <v>1</v>
      </c>
      <c r="J329" s="7">
        <v>800</v>
      </c>
      <c r="K329" s="7">
        <v>600</v>
      </c>
      <c r="L329" s="7">
        <v>150</v>
      </c>
      <c r="M329" s="7">
        <v>30</v>
      </c>
      <c r="N329" s="7">
        <v>120</v>
      </c>
      <c r="O329" s="7">
        <v>2000</v>
      </c>
      <c r="P329" s="7">
        <v>2460</v>
      </c>
    </row>
    <row r="330" spans="1:16" s="10" customFormat="1">
      <c r="A330" s="7">
        <f>IF(B330="","",SUBTOTAL(103,$B$2:B330))</f>
        <v>329</v>
      </c>
      <c r="B330" s="8" t="s">
        <v>955</v>
      </c>
      <c r="C330" s="7" t="s">
        <v>971</v>
      </c>
      <c r="D330" s="9" t="s">
        <v>972</v>
      </c>
      <c r="E330" s="7" t="s">
        <v>958</v>
      </c>
      <c r="F330" s="7" t="s">
        <v>475</v>
      </c>
      <c r="G330" s="7" t="s">
        <v>973</v>
      </c>
      <c r="H330" s="7">
        <v>8.18</v>
      </c>
      <c r="I330" s="7">
        <v>1</v>
      </c>
      <c r="J330" s="7">
        <v>800</v>
      </c>
      <c r="K330" s="7">
        <v>600</v>
      </c>
      <c r="L330" s="7">
        <v>150</v>
      </c>
      <c r="M330" s="7">
        <v>30</v>
      </c>
      <c r="N330" s="7">
        <v>120</v>
      </c>
      <c r="O330" s="7">
        <v>2000</v>
      </c>
      <c r="P330" s="7">
        <v>2460</v>
      </c>
    </row>
    <row r="331" spans="1:16" s="10" customFormat="1">
      <c r="A331" s="7">
        <f>IF(B331="","",SUBTOTAL(103,$B$2:B331))</f>
        <v>330</v>
      </c>
      <c r="B331" s="8" t="s">
        <v>955</v>
      </c>
      <c r="C331" s="7" t="s">
        <v>971</v>
      </c>
      <c r="D331" s="9" t="s">
        <v>974</v>
      </c>
      <c r="E331" s="7" t="s">
        <v>958</v>
      </c>
      <c r="F331" s="7" t="s">
        <v>480</v>
      </c>
      <c r="G331" s="7" t="s">
        <v>975</v>
      </c>
      <c r="H331" s="7">
        <v>8.18</v>
      </c>
      <c r="I331" s="7">
        <v>1</v>
      </c>
      <c r="J331" s="7">
        <v>800</v>
      </c>
      <c r="K331" s="7">
        <v>600</v>
      </c>
      <c r="L331" s="7">
        <v>150</v>
      </c>
      <c r="M331" s="7">
        <v>30</v>
      </c>
      <c r="N331" s="7">
        <v>120</v>
      </c>
      <c r="O331" s="7">
        <v>2000</v>
      </c>
      <c r="P331" s="7">
        <v>2460</v>
      </c>
    </row>
    <row r="332" spans="1:16" s="10" customFormat="1">
      <c r="A332" s="7">
        <f>IF(B332="","",SUBTOTAL(103,$B$2:B332))</f>
        <v>331</v>
      </c>
      <c r="B332" s="8" t="s">
        <v>955</v>
      </c>
      <c r="C332" s="7" t="s">
        <v>976</v>
      </c>
      <c r="D332" s="9" t="s">
        <v>977</v>
      </c>
      <c r="E332" s="7" t="s">
        <v>958</v>
      </c>
      <c r="F332" s="7" t="s">
        <v>484</v>
      </c>
      <c r="G332" s="7" t="s">
        <v>978</v>
      </c>
      <c r="H332" s="7">
        <v>10.66</v>
      </c>
      <c r="I332" s="7">
        <v>1</v>
      </c>
      <c r="J332" s="7">
        <v>800</v>
      </c>
      <c r="K332" s="7">
        <v>600</v>
      </c>
      <c r="L332" s="7">
        <v>150</v>
      </c>
      <c r="M332" s="7">
        <v>30</v>
      </c>
      <c r="N332" s="7">
        <v>120</v>
      </c>
      <c r="O332" s="7">
        <v>2000</v>
      </c>
      <c r="P332" s="7">
        <v>2460</v>
      </c>
    </row>
    <row r="333" spans="1:16" s="10" customFormat="1">
      <c r="A333" s="7">
        <f>IF(B333="","",SUBTOTAL(103,$B$2:B333))</f>
        <v>332</v>
      </c>
      <c r="B333" s="8" t="s">
        <v>955</v>
      </c>
      <c r="C333" s="7" t="s">
        <v>976</v>
      </c>
      <c r="D333" s="9" t="s">
        <v>979</v>
      </c>
      <c r="E333" s="7" t="s">
        <v>961</v>
      </c>
      <c r="F333" s="7" t="s">
        <v>484</v>
      </c>
      <c r="G333" s="7" t="str">
        <f>E333&amp;F333</f>
        <v>SVF KV-M1F 阀体毛坯 (NACE MR 0175)NPS3 CL150 CF8M</v>
      </c>
      <c r="H333" s="7">
        <v>10.28</v>
      </c>
      <c r="I333" s="7">
        <v>1</v>
      </c>
      <c r="J333" s="7">
        <v>800</v>
      </c>
      <c r="K333" s="7">
        <v>600</v>
      </c>
      <c r="L333" s="7">
        <v>150</v>
      </c>
      <c r="M333" s="7">
        <v>30</v>
      </c>
      <c r="N333" s="7">
        <v>120</v>
      </c>
      <c r="O333" s="7">
        <v>2000</v>
      </c>
      <c r="P333" s="7">
        <v>2460</v>
      </c>
    </row>
    <row r="334" spans="1:16" s="10" customFormat="1">
      <c r="A334" s="7">
        <f>IF(B334="","",SUBTOTAL(103,$B$2:B334))</f>
        <v>333</v>
      </c>
      <c r="B334" s="8" t="s">
        <v>955</v>
      </c>
      <c r="C334" s="7" t="s">
        <v>976</v>
      </c>
      <c r="D334" s="9" t="s">
        <v>980</v>
      </c>
      <c r="E334" s="7" t="s">
        <v>958</v>
      </c>
      <c r="F334" s="7" t="s">
        <v>489</v>
      </c>
      <c r="G334" s="7" t="s">
        <v>981</v>
      </c>
      <c r="H334" s="7">
        <v>10.66</v>
      </c>
      <c r="I334" s="7">
        <v>1</v>
      </c>
      <c r="J334" s="7">
        <v>800</v>
      </c>
      <c r="K334" s="7">
        <v>600</v>
      </c>
      <c r="L334" s="7">
        <v>150</v>
      </c>
      <c r="M334" s="7">
        <v>30</v>
      </c>
      <c r="N334" s="7">
        <v>120</v>
      </c>
      <c r="O334" s="7">
        <v>2000</v>
      </c>
      <c r="P334" s="7">
        <v>2460</v>
      </c>
    </row>
    <row r="335" spans="1:16" s="10" customFormat="1">
      <c r="A335" s="7">
        <f>IF(B335="","",SUBTOTAL(103,$B$2:B335))</f>
        <v>334</v>
      </c>
      <c r="B335" s="8" t="s">
        <v>955</v>
      </c>
      <c r="C335" s="7" t="s">
        <v>976</v>
      </c>
      <c r="D335" s="9" t="s">
        <v>982</v>
      </c>
      <c r="E335" s="7" t="s">
        <v>983</v>
      </c>
      <c r="F335" s="7" t="s">
        <v>489</v>
      </c>
      <c r="G335" s="7" t="str">
        <f>E335&amp;F335</f>
        <v>SVF KV-M1F 阀体毛坯 (NACE)NPS3 CL150 WCB</v>
      </c>
      <c r="H335" s="7">
        <v>10.28</v>
      </c>
      <c r="I335" s="7">
        <v>1</v>
      </c>
      <c r="J335" s="7">
        <v>800</v>
      </c>
      <c r="K335" s="7">
        <v>600</v>
      </c>
      <c r="L335" s="7">
        <v>150</v>
      </c>
      <c r="M335" s="7">
        <v>30</v>
      </c>
      <c r="N335" s="7">
        <v>120</v>
      </c>
      <c r="O335" s="7">
        <v>2000</v>
      </c>
      <c r="P335" s="7">
        <v>2460</v>
      </c>
    </row>
    <row r="336" spans="1:16" s="10" customFormat="1">
      <c r="A336" s="7">
        <f>IF(B336="","",SUBTOTAL(103,$B$2:B336))</f>
        <v>335</v>
      </c>
      <c r="B336" s="8" t="s">
        <v>955</v>
      </c>
      <c r="C336" s="7" t="s">
        <v>984</v>
      </c>
      <c r="D336" s="9" t="s">
        <v>985</v>
      </c>
      <c r="E336" s="7" t="s">
        <v>958</v>
      </c>
      <c r="F336" s="7" t="s">
        <v>505</v>
      </c>
      <c r="G336" s="7" t="s">
        <v>986</v>
      </c>
      <c r="H336" s="7">
        <v>16.059999999999999</v>
      </c>
      <c r="I336" s="7">
        <v>1</v>
      </c>
      <c r="J336" s="7">
        <v>800</v>
      </c>
      <c r="K336" s="7">
        <v>600</v>
      </c>
      <c r="L336" s="7">
        <v>150</v>
      </c>
      <c r="M336" s="7">
        <v>30</v>
      </c>
      <c r="N336" s="7">
        <v>120</v>
      </c>
      <c r="O336" s="7">
        <v>2000</v>
      </c>
      <c r="P336" s="7">
        <v>2460</v>
      </c>
    </row>
    <row r="337" spans="1:16" s="10" customFormat="1">
      <c r="A337" s="7">
        <f>IF(B337="","",SUBTOTAL(103,$B$2:B337))</f>
        <v>336</v>
      </c>
      <c r="B337" s="8" t="s">
        <v>955</v>
      </c>
      <c r="C337" s="7" t="s">
        <v>984</v>
      </c>
      <c r="D337" s="9" t="s">
        <v>987</v>
      </c>
      <c r="E337" s="7" t="s">
        <v>958</v>
      </c>
      <c r="F337" s="7" t="s">
        <v>510</v>
      </c>
      <c r="G337" s="7" t="s">
        <v>988</v>
      </c>
      <c r="H337" s="7">
        <v>16.059999999999999</v>
      </c>
      <c r="I337" s="7">
        <v>1</v>
      </c>
      <c r="J337" s="7">
        <v>800</v>
      </c>
      <c r="K337" s="7">
        <v>600</v>
      </c>
      <c r="L337" s="7">
        <v>150</v>
      </c>
      <c r="M337" s="7">
        <v>30</v>
      </c>
      <c r="N337" s="7">
        <v>120</v>
      </c>
      <c r="O337" s="7">
        <v>2000</v>
      </c>
      <c r="P337" s="7">
        <v>2460</v>
      </c>
    </row>
    <row r="338" spans="1:16" s="10" customFormat="1">
      <c r="A338" s="7">
        <f>IF(B338="","",SUBTOTAL(103,$B$2:B338))</f>
        <v>337</v>
      </c>
      <c r="B338" s="8" t="s">
        <v>955</v>
      </c>
      <c r="C338" s="7" t="s">
        <v>984</v>
      </c>
      <c r="D338" s="9" t="s">
        <v>989</v>
      </c>
      <c r="E338" s="7" t="s">
        <v>983</v>
      </c>
      <c r="F338" s="7" t="s">
        <v>510</v>
      </c>
      <c r="G338" s="7" t="str">
        <f>E338&amp;F338</f>
        <v>SVF KV-M1F 阀体毛坯 (NACE)NPS4 CL150 WCB</v>
      </c>
      <c r="H338" s="7">
        <v>16.559999999999999</v>
      </c>
      <c r="I338" s="7">
        <v>1</v>
      </c>
      <c r="J338" s="7">
        <v>800</v>
      </c>
      <c r="K338" s="7">
        <v>600</v>
      </c>
      <c r="L338" s="7">
        <v>150</v>
      </c>
      <c r="M338" s="7">
        <v>30</v>
      </c>
      <c r="N338" s="7">
        <v>120</v>
      </c>
      <c r="O338" s="7">
        <v>2000</v>
      </c>
      <c r="P338" s="7">
        <v>2460</v>
      </c>
    </row>
    <row r="339" spans="1:16" s="10" customFormat="1">
      <c r="A339" s="7">
        <f>IF(B339="","",SUBTOTAL(103,$B$2:B339))</f>
        <v>338</v>
      </c>
      <c r="B339" s="8" t="s">
        <v>955</v>
      </c>
      <c r="C339" s="7" t="s">
        <v>990</v>
      </c>
      <c r="D339" s="9" t="s">
        <v>991</v>
      </c>
      <c r="E339" s="7" t="s">
        <v>958</v>
      </c>
      <c r="F339" s="7" t="s">
        <v>517</v>
      </c>
      <c r="G339" s="7" t="str">
        <f>+E339&amp;F339</f>
        <v>FNW KV-M1F 阀体毛坯 (NACE)NPS6 CL150 CF8M</v>
      </c>
      <c r="H339" s="7">
        <v>30</v>
      </c>
      <c r="I339" s="7">
        <v>1</v>
      </c>
      <c r="J339" s="7">
        <v>800</v>
      </c>
      <c r="K339" s="7">
        <v>600</v>
      </c>
      <c r="L339" s="7">
        <v>150</v>
      </c>
      <c r="M339" s="7">
        <v>30</v>
      </c>
      <c r="N339" s="7">
        <v>1000</v>
      </c>
      <c r="O339" s="7">
        <v>0</v>
      </c>
      <c r="P339" s="7">
        <v>15000</v>
      </c>
    </row>
    <row r="340" spans="1:16" s="10" customFormat="1">
      <c r="A340" s="7">
        <f>IF(B340="","",SUBTOTAL(103,$B$2:B340))</f>
        <v>339</v>
      </c>
      <c r="B340" s="8" t="s">
        <v>955</v>
      </c>
      <c r="C340" s="7" t="s">
        <v>990</v>
      </c>
      <c r="D340" s="9" t="s">
        <v>992</v>
      </c>
      <c r="E340" s="7" t="s">
        <v>958</v>
      </c>
      <c r="F340" s="7" t="s">
        <v>520</v>
      </c>
      <c r="G340" s="7" t="str">
        <f>+E340&amp;F340</f>
        <v>FNW KV-M1F 阀体毛坯 (NACE)NPS6 CL150 WCB</v>
      </c>
      <c r="H340" s="7">
        <v>30</v>
      </c>
      <c r="I340" s="7">
        <v>1</v>
      </c>
      <c r="J340" s="7">
        <v>800</v>
      </c>
      <c r="K340" s="7">
        <v>600</v>
      </c>
      <c r="L340" s="7">
        <v>150</v>
      </c>
      <c r="M340" s="7">
        <v>30</v>
      </c>
      <c r="N340" s="7">
        <v>1000</v>
      </c>
      <c r="O340" s="7">
        <v>0</v>
      </c>
      <c r="P340" s="7">
        <v>15000</v>
      </c>
    </row>
    <row r="341" spans="1:16" s="10" customFormat="1">
      <c r="A341" s="7">
        <f>IF(B341="","",SUBTOTAL(103,$B$2:B341))</f>
        <v>340</v>
      </c>
      <c r="B341" s="8" t="s">
        <v>955</v>
      </c>
      <c r="C341" s="7" t="s">
        <v>990</v>
      </c>
      <c r="D341" s="9" t="s">
        <v>993</v>
      </c>
      <c r="E341" s="7" t="s">
        <v>983</v>
      </c>
      <c r="F341" s="7" t="s">
        <v>520</v>
      </c>
      <c r="G341" s="7" t="str">
        <f>E341&amp;F341</f>
        <v>SVF KV-M1F 阀体毛坯 (NACE)NPS6 CL150 WCB</v>
      </c>
      <c r="H341" s="7"/>
      <c r="I341" s="7">
        <v>1</v>
      </c>
      <c r="J341" s="7">
        <v>800</v>
      </c>
      <c r="K341" s="7">
        <v>600</v>
      </c>
      <c r="L341" s="7">
        <v>150</v>
      </c>
      <c r="M341" s="7">
        <v>30</v>
      </c>
      <c r="N341" s="7">
        <v>1000</v>
      </c>
      <c r="O341" s="7">
        <v>0</v>
      </c>
      <c r="P341" s="7">
        <v>15000</v>
      </c>
    </row>
    <row r="342" spans="1:16" s="10" customFormat="1">
      <c r="A342" s="7">
        <f>IF(B342="","",SUBTOTAL(103,$B$2:B342))</f>
        <v>341</v>
      </c>
      <c r="B342" s="8" t="s">
        <v>994</v>
      </c>
      <c r="C342" s="7" t="s">
        <v>995</v>
      </c>
      <c r="D342" s="9" t="s">
        <v>996</v>
      </c>
      <c r="E342" s="7" t="s">
        <v>997</v>
      </c>
      <c r="F342" s="7" t="s">
        <v>998</v>
      </c>
      <c r="G342" s="7" t="s">
        <v>999</v>
      </c>
      <c r="H342" s="7">
        <v>0.09</v>
      </c>
      <c r="I342" s="7">
        <v>44</v>
      </c>
      <c r="J342" s="7">
        <v>800</v>
      </c>
      <c r="K342" s="7">
        <v>600</v>
      </c>
      <c r="L342" s="7">
        <v>150</v>
      </c>
      <c r="M342" s="7">
        <v>30</v>
      </c>
      <c r="N342" s="7">
        <v>120</v>
      </c>
      <c r="O342" s="7">
        <v>45</v>
      </c>
      <c r="P342" s="7">
        <v>180</v>
      </c>
    </row>
    <row r="343" spans="1:16" s="10" customFormat="1">
      <c r="A343" s="7">
        <f>IF(B343="","",SUBTOTAL(103,$B$2:B343))</f>
        <v>342</v>
      </c>
      <c r="B343" s="8" t="s">
        <v>994</v>
      </c>
      <c r="C343" s="7" t="s">
        <v>1000</v>
      </c>
      <c r="D343" s="9" t="s">
        <v>1001</v>
      </c>
      <c r="E343" s="7" t="s">
        <v>997</v>
      </c>
      <c r="F343" s="7" t="s">
        <v>1002</v>
      </c>
      <c r="G343" s="7" t="s">
        <v>1003</v>
      </c>
      <c r="H343" s="7">
        <v>0.12</v>
      </c>
      <c r="I343" s="7">
        <v>36</v>
      </c>
      <c r="J343" s="7">
        <v>800</v>
      </c>
      <c r="K343" s="7">
        <v>600</v>
      </c>
      <c r="L343" s="7">
        <v>150</v>
      </c>
      <c r="M343" s="7">
        <v>30</v>
      </c>
      <c r="N343" s="7">
        <v>120</v>
      </c>
      <c r="O343" s="7">
        <v>55</v>
      </c>
      <c r="P343" s="7">
        <v>215</v>
      </c>
    </row>
    <row r="344" spans="1:16" s="10" customFormat="1">
      <c r="A344" s="7">
        <f>IF(B344="","",SUBTOTAL(103,$B$2:B344))</f>
        <v>343</v>
      </c>
      <c r="B344" s="8" t="s">
        <v>1004</v>
      </c>
      <c r="C344" s="7" t="s">
        <v>1005</v>
      </c>
      <c r="D344" s="9" t="s">
        <v>1006</v>
      </c>
      <c r="E344" s="7" t="s">
        <v>1007</v>
      </c>
      <c r="F344" s="7" t="s">
        <v>1008</v>
      </c>
      <c r="G344" s="7" t="s">
        <v>1009</v>
      </c>
      <c r="H344" s="7">
        <v>0.47</v>
      </c>
      <c r="I344" s="7">
        <v>10</v>
      </c>
      <c r="J344" s="7">
        <v>800</v>
      </c>
      <c r="K344" s="7">
        <v>600</v>
      </c>
      <c r="L344" s="7">
        <v>150</v>
      </c>
      <c r="M344" s="7">
        <v>30</v>
      </c>
      <c r="N344" s="7">
        <v>120</v>
      </c>
      <c r="O344" s="7">
        <v>195</v>
      </c>
      <c r="P344" s="7">
        <v>300</v>
      </c>
    </row>
    <row r="345" spans="1:16" s="10" customFormat="1">
      <c r="A345" s="7">
        <f>IF(B345="","",SUBTOTAL(103,$B$2:B345))</f>
        <v>344</v>
      </c>
      <c r="B345" s="8" t="s">
        <v>1004</v>
      </c>
      <c r="C345" s="7" t="s">
        <v>1005</v>
      </c>
      <c r="D345" s="9" t="s">
        <v>1010</v>
      </c>
      <c r="E345" s="7" t="s">
        <v>1007</v>
      </c>
      <c r="F345" s="7" t="s">
        <v>1011</v>
      </c>
      <c r="G345" s="7" t="s">
        <v>1012</v>
      </c>
      <c r="H345" s="7">
        <v>0.45</v>
      </c>
      <c r="I345" s="7">
        <v>10</v>
      </c>
      <c r="J345" s="7">
        <v>800</v>
      </c>
      <c r="K345" s="7">
        <v>600</v>
      </c>
      <c r="L345" s="7">
        <v>150</v>
      </c>
      <c r="M345" s="7">
        <v>30</v>
      </c>
      <c r="N345" s="7">
        <v>120</v>
      </c>
      <c r="O345" s="7">
        <v>195</v>
      </c>
      <c r="P345" s="7">
        <v>300</v>
      </c>
    </row>
    <row r="346" spans="1:16" s="10" customFormat="1">
      <c r="A346" s="7">
        <f>IF(B346="","",SUBTOTAL(103,$B$2:B346))</f>
        <v>345</v>
      </c>
      <c r="B346" s="8" t="s">
        <v>1004</v>
      </c>
      <c r="C346" s="7" t="s">
        <v>1013</v>
      </c>
      <c r="D346" s="9" t="s">
        <v>1014</v>
      </c>
      <c r="E346" s="7" t="s">
        <v>1007</v>
      </c>
      <c r="F346" s="7" t="s">
        <v>1015</v>
      </c>
      <c r="G346" s="7" t="s">
        <v>1016</v>
      </c>
      <c r="H346" s="7">
        <v>0.17199999999999999</v>
      </c>
      <c r="I346" s="7">
        <v>24</v>
      </c>
      <c r="J346" s="7">
        <v>800</v>
      </c>
      <c r="K346" s="7">
        <v>600</v>
      </c>
      <c r="L346" s="7">
        <v>150</v>
      </c>
      <c r="M346" s="7">
        <v>30</v>
      </c>
      <c r="N346" s="7">
        <v>120</v>
      </c>
      <c r="O346" s="7">
        <v>75</v>
      </c>
      <c r="P346" s="7">
        <v>235</v>
      </c>
    </row>
    <row r="347" spans="1:16" s="10" customFormat="1">
      <c r="A347" s="7">
        <f>IF(B347="","",SUBTOTAL(103,$B$2:B347))</f>
        <v>346</v>
      </c>
      <c r="B347" s="8" t="s">
        <v>1004</v>
      </c>
      <c r="C347" s="7" t="s">
        <v>1013</v>
      </c>
      <c r="D347" s="9" t="s">
        <v>1017</v>
      </c>
      <c r="E347" s="7" t="s">
        <v>1007</v>
      </c>
      <c r="F347" s="7" t="s">
        <v>1018</v>
      </c>
      <c r="G347" s="7" t="s">
        <v>1019</v>
      </c>
      <c r="H347" s="7">
        <v>0.17399999999999999</v>
      </c>
      <c r="I347" s="7">
        <v>24</v>
      </c>
      <c r="J347" s="7">
        <v>800</v>
      </c>
      <c r="K347" s="7">
        <v>600</v>
      </c>
      <c r="L347" s="7">
        <v>150</v>
      </c>
      <c r="M347" s="7">
        <v>30</v>
      </c>
      <c r="N347" s="7">
        <v>120</v>
      </c>
      <c r="O347" s="7">
        <v>75</v>
      </c>
      <c r="P347" s="7">
        <v>235</v>
      </c>
    </row>
    <row r="348" spans="1:16" s="10" customFormat="1">
      <c r="A348" s="7">
        <f>IF(B348="","",SUBTOTAL(103,$B$2:B348))</f>
        <v>347</v>
      </c>
      <c r="B348" s="8" t="s">
        <v>1004</v>
      </c>
      <c r="C348" s="7" t="s">
        <v>1020</v>
      </c>
      <c r="D348" s="9" t="s">
        <v>1021</v>
      </c>
      <c r="E348" s="7" t="s">
        <v>1007</v>
      </c>
      <c r="F348" s="7" t="s">
        <v>1022</v>
      </c>
      <c r="G348" s="7" t="s">
        <v>1023</v>
      </c>
      <c r="H348" s="7">
        <v>8.3000000000000004E-2</v>
      </c>
      <c r="I348" s="7">
        <v>44</v>
      </c>
      <c r="J348" s="7">
        <v>800</v>
      </c>
      <c r="K348" s="7">
        <v>600</v>
      </c>
      <c r="L348" s="7">
        <v>150</v>
      </c>
      <c r="M348" s="7">
        <v>30</v>
      </c>
      <c r="N348" s="7">
        <v>120</v>
      </c>
      <c r="O348" s="7">
        <v>45</v>
      </c>
      <c r="P348" s="7">
        <v>200</v>
      </c>
    </row>
    <row r="349" spans="1:16" s="10" customFormat="1">
      <c r="A349" s="7">
        <f>IF(B349="","",SUBTOTAL(103,$B$2:B349))</f>
        <v>348</v>
      </c>
      <c r="B349" s="8" t="s">
        <v>1004</v>
      </c>
      <c r="C349" s="7" t="s">
        <v>1024</v>
      </c>
      <c r="D349" s="9" t="s">
        <v>1025</v>
      </c>
      <c r="E349" s="7" t="s">
        <v>1007</v>
      </c>
      <c r="F349" s="7" t="s">
        <v>1026</v>
      </c>
      <c r="G349" s="7" t="s">
        <v>1027</v>
      </c>
      <c r="H349" s="7">
        <v>0.90300000000000002</v>
      </c>
      <c r="I349" s="7">
        <v>6</v>
      </c>
      <c r="J349" s="7">
        <v>800</v>
      </c>
      <c r="K349" s="7">
        <v>600</v>
      </c>
      <c r="L349" s="7">
        <v>150</v>
      </c>
      <c r="M349" s="7">
        <v>30</v>
      </c>
      <c r="N349" s="7">
        <v>120</v>
      </c>
      <c r="O349" s="7">
        <v>310</v>
      </c>
      <c r="P349" s="7">
        <v>350</v>
      </c>
    </row>
    <row r="350" spans="1:16" s="10" customFormat="1">
      <c r="A350" s="7">
        <f>IF(B350="","",SUBTOTAL(103,$B$2:B350))</f>
        <v>349</v>
      </c>
      <c r="B350" s="8" t="s">
        <v>1004</v>
      </c>
      <c r="C350" s="7" t="s">
        <v>1024</v>
      </c>
      <c r="D350" s="9" t="s">
        <v>1028</v>
      </c>
      <c r="E350" s="7" t="s">
        <v>1007</v>
      </c>
      <c r="F350" s="7" t="s">
        <v>1029</v>
      </c>
      <c r="G350" s="7" t="s">
        <v>1030</v>
      </c>
      <c r="H350" s="7">
        <v>0.90300000000000002</v>
      </c>
      <c r="I350" s="7">
        <v>6</v>
      </c>
      <c r="J350" s="7">
        <v>800</v>
      </c>
      <c r="K350" s="7">
        <v>600</v>
      </c>
      <c r="L350" s="7">
        <v>150</v>
      </c>
      <c r="M350" s="7">
        <v>30</v>
      </c>
      <c r="N350" s="7">
        <v>120</v>
      </c>
      <c r="O350" s="7">
        <v>310</v>
      </c>
      <c r="P350" s="7">
        <v>350</v>
      </c>
    </row>
    <row r="351" spans="1:16" s="10" customFormat="1">
      <c r="A351" s="7">
        <f>IF(B351="","",SUBTOTAL(103,$B$2:B351))</f>
        <v>350</v>
      </c>
      <c r="B351" s="8" t="s">
        <v>1004</v>
      </c>
      <c r="C351" s="7" t="s">
        <v>1031</v>
      </c>
      <c r="D351" s="9" t="s">
        <v>1032</v>
      </c>
      <c r="E351" s="7" t="s">
        <v>1007</v>
      </c>
      <c r="F351" s="7" t="s">
        <v>1033</v>
      </c>
      <c r="G351" s="7" t="s">
        <v>1034</v>
      </c>
      <c r="H351" s="7">
        <v>0.68600000000000005</v>
      </c>
      <c r="I351" s="7">
        <v>8</v>
      </c>
      <c r="J351" s="7">
        <v>800</v>
      </c>
      <c r="K351" s="7">
        <v>600</v>
      </c>
      <c r="L351" s="7">
        <v>150</v>
      </c>
      <c r="M351" s="7">
        <v>30</v>
      </c>
      <c r="N351" s="7">
        <v>120</v>
      </c>
      <c r="O351" s="7">
        <v>225</v>
      </c>
      <c r="P351" s="7">
        <v>250</v>
      </c>
    </row>
    <row r="352" spans="1:16" s="10" customFormat="1">
      <c r="A352" s="7">
        <f>IF(B352="","",SUBTOTAL(103,$B$2:B352))</f>
        <v>351</v>
      </c>
      <c r="B352" s="8" t="s">
        <v>1004</v>
      </c>
      <c r="C352" s="7" t="s">
        <v>1035</v>
      </c>
      <c r="D352" s="9" t="s">
        <v>1036</v>
      </c>
      <c r="E352" s="7" t="s">
        <v>1007</v>
      </c>
      <c r="F352" s="7" t="s">
        <v>1037</v>
      </c>
      <c r="G352" s="7" t="s">
        <v>1038</v>
      </c>
      <c r="H352" s="7">
        <v>1.389</v>
      </c>
      <c r="I352" s="7">
        <v>4</v>
      </c>
      <c r="J352" s="7">
        <v>800</v>
      </c>
      <c r="K352" s="7">
        <v>600</v>
      </c>
      <c r="L352" s="7">
        <v>150</v>
      </c>
      <c r="M352" s="7">
        <v>30</v>
      </c>
      <c r="N352" s="7">
        <v>120</v>
      </c>
      <c r="O352" s="7">
        <v>500</v>
      </c>
      <c r="P352" s="7">
        <v>600</v>
      </c>
    </row>
    <row r="353" spans="1:16" s="10" customFormat="1">
      <c r="A353" s="7">
        <f>IF(B353="","",SUBTOTAL(103,$B$2:B353))</f>
        <v>352</v>
      </c>
      <c r="B353" s="8" t="s">
        <v>1004</v>
      </c>
      <c r="C353" s="7" t="s">
        <v>1035</v>
      </c>
      <c r="D353" s="9" t="s">
        <v>1039</v>
      </c>
      <c r="E353" s="7" t="s">
        <v>1007</v>
      </c>
      <c r="F353" s="7" t="s">
        <v>1040</v>
      </c>
      <c r="G353" s="7" t="s">
        <v>1041</v>
      </c>
      <c r="H353" s="7">
        <v>1.389</v>
      </c>
      <c r="I353" s="7">
        <v>4</v>
      </c>
      <c r="J353" s="7">
        <v>800</v>
      </c>
      <c r="K353" s="7">
        <v>600</v>
      </c>
      <c r="L353" s="7">
        <v>150</v>
      </c>
      <c r="M353" s="7">
        <v>30</v>
      </c>
      <c r="N353" s="7">
        <v>120</v>
      </c>
      <c r="O353" s="7">
        <v>500</v>
      </c>
      <c r="P353" s="7">
        <v>600</v>
      </c>
    </row>
    <row r="354" spans="1:16" s="10" customFormat="1">
      <c r="A354" s="7">
        <f>IF(B354="","",SUBTOTAL(103,$B$2:B354))</f>
        <v>353</v>
      </c>
      <c r="B354" s="8" t="s">
        <v>1004</v>
      </c>
      <c r="C354" s="7" t="s">
        <v>1042</v>
      </c>
      <c r="D354" s="9" t="s">
        <v>1043</v>
      </c>
      <c r="E354" s="7" t="s">
        <v>1007</v>
      </c>
      <c r="F354" s="7" t="s">
        <v>1044</v>
      </c>
      <c r="G354" s="7" t="s">
        <v>1045</v>
      </c>
      <c r="H354" s="7">
        <v>2.1829999999999998</v>
      </c>
      <c r="I354" s="7">
        <v>3</v>
      </c>
      <c r="J354" s="7">
        <v>800</v>
      </c>
      <c r="K354" s="7">
        <v>600</v>
      </c>
      <c r="L354" s="7">
        <v>150</v>
      </c>
      <c r="M354" s="7">
        <v>30</v>
      </c>
      <c r="N354" s="7">
        <v>120</v>
      </c>
      <c r="O354" s="7">
        <v>650</v>
      </c>
      <c r="P354" s="7">
        <v>675</v>
      </c>
    </row>
    <row r="355" spans="1:16" s="10" customFormat="1">
      <c r="A355" s="7">
        <f>IF(B355="","",SUBTOTAL(103,$B$2:B355))</f>
        <v>354</v>
      </c>
      <c r="B355" s="8" t="s">
        <v>1004</v>
      </c>
      <c r="C355" s="7" t="s">
        <v>1046</v>
      </c>
      <c r="D355" s="9" t="s">
        <v>1047</v>
      </c>
      <c r="E355" s="7" t="s">
        <v>1007</v>
      </c>
      <c r="F355" s="7" t="s">
        <v>1048</v>
      </c>
      <c r="G355" s="7" t="s">
        <v>1049</v>
      </c>
      <c r="H355" s="7">
        <v>3.2469999999999999</v>
      </c>
      <c r="I355" s="7">
        <v>1</v>
      </c>
      <c r="J355" s="7">
        <v>800</v>
      </c>
      <c r="K355" s="7">
        <v>600</v>
      </c>
      <c r="L355" s="7">
        <v>150</v>
      </c>
      <c r="M355" s="7">
        <v>30</v>
      </c>
      <c r="N355" s="7">
        <v>120</v>
      </c>
      <c r="O355" s="7">
        <v>2000</v>
      </c>
      <c r="P355" s="7">
        <v>2050</v>
      </c>
    </row>
    <row r="356" spans="1:16" s="10" customFormat="1">
      <c r="A356" s="7">
        <f>IF(B356="","",SUBTOTAL(103,$B$2:B356))</f>
        <v>355</v>
      </c>
      <c r="B356" s="8" t="s">
        <v>1004</v>
      </c>
      <c r="C356" s="7" t="s">
        <v>1050</v>
      </c>
      <c r="D356" s="9" t="s">
        <v>1051</v>
      </c>
      <c r="E356" s="7" t="s">
        <v>1007</v>
      </c>
      <c r="F356" s="7" t="s">
        <v>1052</v>
      </c>
      <c r="G356" s="7" t="s">
        <v>1053</v>
      </c>
      <c r="H356" s="7">
        <v>0.27</v>
      </c>
      <c r="I356" s="7">
        <v>16</v>
      </c>
      <c r="J356" s="7">
        <v>800</v>
      </c>
      <c r="K356" s="7">
        <v>600</v>
      </c>
      <c r="L356" s="7">
        <v>150</v>
      </c>
      <c r="M356" s="7">
        <v>30</v>
      </c>
      <c r="N356" s="7">
        <v>120</v>
      </c>
      <c r="O356" s="7">
        <v>125</v>
      </c>
      <c r="P356" s="7">
        <v>265</v>
      </c>
    </row>
    <row r="357" spans="1:16" s="10" customFormat="1">
      <c r="A357" s="7">
        <f>IF(B357="","",SUBTOTAL(103,$B$2:B357))</f>
        <v>356</v>
      </c>
      <c r="B357" s="8" t="s">
        <v>1004</v>
      </c>
      <c r="C357" s="7" t="s">
        <v>1054</v>
      </c>
      <c r="D357" s="9" t="s">
        <v>1055</v>
      </c>
      <c r="E357" s="7" t="s">
        <v>1007</v>
      </c>
      <c r="F357" s="7" t="s">
        <v>1056</v>
      </c>
      <c r="G357" s="7" t="s">
        <v>1057</v>
      </c>
      <c r="H357" s="7">
        <v>0.113</v>
      </c>
      <c r="I357" s="7">
        <v>36</v>
      </c>
      <c r="J357" s="7">
        <v>800</v>
      </c>
      <c r="K357" s="7">
        <v>600</v>
      </c>
      <c r="L357" s="7">
        <v>150</v>
      </c>
      <c r="M357" s="7">
        <v>30</v>
      </c>
      <c r="N357" s="7">
        <v>120</v>
      </c>
      <c r="O357" s="7">
        <v>55</v>
      </c>
      <c r="P357" s="7">
        <v>225</v>
      </c>
    </row>
    <row r="358" spans="1:16" s="10" customFormat="1">
      <c r="A358" s="7">
        <f>IF(B358="","",SUBTOTAL(103,$B$2:B358))</f>
        <v>357</v>
      </c>
      <c r="B358" s="8" t="s">
        <v>1004</v>
      </c>
      <c r="C358" s="7" t="s">
        <v>1058</v>
      </c>
      <c r="D358" s="9" t="s">
        <v>1059</v>
      </c>
      <c r="E358" s="7" t="s">
        <v>1007</v>
      </c>
      <c r="F358" s="7" t="s">
        <v>1060</v>
      </c>
      <c r="G358" s="7" t="s">
        <v>1061</v>
      </c>
      <c r="H358" s="7">
        <v>5.5030000000000001</v>
      </c>
      <c r="I358" s="7">
        <v>1</v>
      </c>
      <c r="J358" s="7">
        <v>800</v>
      </c>
      <c r="K358" s="7">
        <v>600</v>
      </c>
      <c r="L358" s="7">
        <v>150</v>
      </c>
      <c r="M358" s="7">
        <v>30</v>
      </c>
      <c r="N358" s="7">
        <v>120</v>
      </c>
      <c r="O358" s="7">
        <v>2000</v>
      </c>
      <c r="P358" s="7">
        <v>2050</v>
      </c>
    </row>
    <row r="359" spans="1:16" s="10" customFormat="1">
      <c r="A359" s="7">
        <f>IF(B359="","",SUBTOTAL(103,$B$2:B359))</f>
        <v>358</v>
      </c>
      <c r="B359" s="8" t="s">
        <v>1062</v>
      </c>
      <c r="C359" s="7" t="s">
        <v>1063</v>
      </c>
      <c r="D359" s="9" t="s">
        <v>1064</v>
      </c>
      <c r="E359" s="7" t="s">
        <v>1065</v>
      </c>
      <c r="F359" s="7" t="s">
        <v>1066</v>
      </c>
      <c r="G359" s="7" t="s">
        <v>1067</v>
      </c>
      <c r="H359" s="7">
        <v>0.43</v>
      </c>
      <c r="I359" s="7">
        <v>12</v>
      </c>
      <c r="J359" s="7">
        <v>800</v>
      </c>
      <c r="K359" s="7">
        <v>600</v>
      </c>
      <c r="L359" s="7">
        <v>150</v>
      </c>
      <c r="M359" s="7">
        <v>30</v>
      </c>
      <c r="N359" s="7">
        <v>120</v>
      </c>
      <c r="O359" s="7">
        <v>150</v>
      </c>
      <c r="P359" s="7">
        <v>315</v>
      </c>
    </row>
    <row r="360" spans="1:16" s="10" customFormat="1">
      <c r="A360" s="7">
        <f>IF(B360="","",SUBTOTAL(103,$B$2:B360))</f>
        <v>359</v>
      </c>
      <c r="B360" s="8" t="s">
        <v>1062</v>
      </c>
      <c r="C360" s="7" t="s">
        <v>1063</v>
      </c>
      <c r="D360" s="9" t="s">
        <v>1068</v>
      </c>
      <c r="E360" s="7" t="s">
        <v>1065</v>
      </c>
      <c r="F360" s="7" t="s">
        <v>1069</v>
      </c>
      <c r="G360" s="7" t="s">
        <v>1070</v>
      </c>
      <c r="H360" s="7">
        <v>0.43</v>
      </c>
      <c r="I360" s="7">
        <v>12</v>
      </c>
      <c r="J360" s="7">
        <v>800</v>
      </c>
      <c r="K360" s="7">
        <v>600</v>
      </c>
      <c r="L360" s="7">
        <v>150</v>
      </c>
      <c r="M360" s="7">
        <v>30</v>
      </c>
      <c r="N360" s="7">
        <v>120</v>
      </c>
      <c r="O360" s="7">
        <v>150</v>
      </c>
      <c r="P360" s="7">
        <v>315</v>
      </c>
    </row>
    <row r="361" spans="1:16" s="10" customFormat="1">
      <c r="A361" s="7">
        <f>IF(B361="","",SUBTOTAL(103,$B$2:B361))</f>
        <v>360</v>
      </c>
      <c r="B361" s="8" t="s">
        <v>1062</v>
      </c>
      <c r="C361" s="7" t="s">
        <v>1071</v>
      </c>
      <c r="D361" s="9" t="s">
        <v>1072</v>
      </c>
      <c r="E361" s="7" t="s">
        <v>1065</v>
      </c>
      <c r="F361" s="7" t="s">
        <v>1073</v>
      </c>
      <c r="G361" s="7" t="s">
        <v>1074</v>
      </c>
      <c r="H361" s="7">
        <v>0.17299999999999999</v>
      </c>
      <c r="I361" s="7">
        <v>24</v>
      </c>
      <c r="J361" s="7">
        <v>800</v>
      </c>
      <c r="K361" s="7">
        <v>600</v>
      </c>
      <c r="L361" s="7">
        <v>150</v>
      </c>
      <c r="M361" s="7">
        <v>30</v>
      </c>
      <c r="N361" s="7">
        <v>120</v>
      </c>
      <c r="O361" s="7">
        <v>75</v>
      </c>
      <c r="P361" s="7">
        <v>235</v>
      </c>
    </row>
    <row r="362" spans="1:16" s="10" customFormat="1">
      <c r="A362" s="7">
        <f>IF(B362="","",SUBTOTAL(103,$B$2:B362))</f>
        <v>361</v>
      </c>
      <c r="B362" s="8" t="s">
        <v>1062</v>
      </c>
      <c r="C362" s="7" t="s">
        <v>1071</v>
      </c>
      <c r="D362" s="9" t="s">
        <v>1075</v>
      </c>
      <c r="E362" s="7" t="s">
        <v>1065</v>
      </c>
      <c r="F362" s="7" t="s">
        <v>1076</v>
      </c>
      <c r="G362" s="7" t="s">
        <v>1077</v>
      </c>
      <c r="H362" s="7">
        <v>0.17299999999999999</v>
      </c>
      <c r="I362" s="7">
        <v>24</v>
      </c>
      <c r="J362" s="7">
        <v>800</v>
      </c>
      <c r="K362" s="7">
        <v>600</v>
      </c>
      <c r="L362" s="7">
        <v>150</v>
      </c>
      <c r="M362" s="7">
        <v>30</v>
      </c>
      <c r="N362" s="7">
        <v>120</v>
      </c>
      <c r="O362" s="7">
        <v>75</v>
      </c>
      <c r="P362" s="7">
        <v>235</v>
      </c>
    </row>
    <row r="363" spans="1:16" s="10" customFormat="1">
      <c r="A363" s="7">
        <f>IF(B363="","",SUBTOTAL(103,$B$2:B363))</f>
        <v>362</v>
      </c>
      <c r="B363" s="8" t="s">
        <v>1062</v>
      </c>
      <c r="C363" s="7" t="s">
        <v>995</v>
      </c>
      <c r="D363" s="9" t="s">
        <v>1078</v>
      </c>
      <c r="E363" s="7" t="s">
        <v>1065</v>
      </c>
      <c r="F363" s="7" t="s">
        <v>998</v>
      </c>
      <c r="G363" s="7" t="s">
        <v>1079</v>
      </c>
      <c r="H363" s="7">
        <v>8.5999999999999993E-2</v>
      </c>
      <c r="I363" s="7">
        <v>44</v>
      </c>
      <c r="J363" s="7">
        <v>800</v>
      </c>
      <c r="K363" s="7">
        <v>600</v>
      </c>
      <c r="L363" s="7">
        <v>150</v>
      </c>
      <c r="M363" s="7">
        <v>30</v>
      </c>
      <c r="N363" s="7">
        <v>120</v>
      </c>
      <c r="O363" s="7">
        <v>45</v>
      </c>
      <c r="P363" s="7">
        <v>180</v>
      </c>
    </row>
    <row r="364" spans="1:16" s="10" customFormat="1">
      <c r="A364" s="7">
        <f>IF(B364="","",SUBTOTAL(103,$B$2:B364))</f>
        <v>363</v>
      </c>
      <c r="B364" s="8" t="s">
        <v>1062</v>
      </c>
      <c r="C364" s="7" t="s">
        <v>995</v>
      </c>
      <c r="D364" s="9" t="s">
        <v>1080</v>
      </c>
      <c r="E364" s="7" t="s">
        <v>1065</v>
      </c>
      <c r="F364" s="7" t="s">
        <v>1081</v>
      </c>
      <c r="G364" s="7" t="s">
        <v>1082</v>
      </c>
      <c r="H364" s="7">
        <v>8.5999999999999993E-2</v>
      </c>
      <c r="I364" s="7">
        <v>44</v>
      </c>
      <c r="J364" s="7">
        <v>800</v>
      </c>
      <c r="K364" s="7">
        <v>600</v>
      </c>
      <c r="L364" s="7">
        <v>150</v>
      </c>
      <c r="M364" s="7">
        <v>30</v>
      </c>
      <c r="N364" s="7">
        <v>120</v>
      </c>
      <c r="O364" s="7">
        <v>45</v>
      </c>
      <c r="P364" s="7">
        <v>180</v>
      </c>
    </row>
    <row r="365" spans="1:16" s="10" customFormat="1">
      <c r="A365" s="7">
        <f>IF(B365="","",SUBTOTAL(103,$B$2:B365))</f>
        <v>364</v>
      </c>
      <c r="B365" s="8" t="s">
        <v>1062</v>
      </c>
      <c r="C365" s="7" t="s">
        <v>1083</v>
      </c>
      <c r="D365" s="9" t="s">
        <v>1084</v>
      </c>
      <c r="E365" s="7" t="s">
        <v>1065</v>
      </c>
      <c r="F365" s="7" t="s">
        <v>1085</v>
      </c>
      <c r="G365" s="7" t="s">
        <v>1086</v>
      </c>
      <c r="H365" s="7">
        <v>5.8999999999999997E-2</v>
      </c>
      <c r="I365" s="7">
        <v>56</v>
      </c>
      <c r="J365" s="7">
        <v>800</v>
      </c>
      <c r="K365" s="7">
        <v>600</v>
      </c>
      <c r="L365" s="7">
        <v>150</v>
      </c>
      <c r="M365" s="7">
        <v>30</v>
      </c>
      <c r="N365" s="7">
        <v>120</v>
      </c>
      <c r="O365" s="7">
        <v>34</v>
      </c>
      <c r="P365" s="7">
        <v>170</v>
      </c>
    </row>
    <row r="366" spans="1:16" s="10" customFormat="1">
      <c r="A366" s="7">
        <f>IF(B366="","",SUBTOTAL(103,$B$2:B366))</f>
        <v>365</v>
      </c>
      <c r="B366" s="8" t="s">
        <v>1062</v>
      </c>
      <c r="C366" s="7" t="s">
        <v>1083</v>
      </c>
      <c r="D366" s="9" t="s">
        <v>1087</v>
      </c>
      <c r="E366" s="7" t="s">
        <v>1065</v>
      </c>
      <c r="F366" s="7" t="s">
        <v>1088</v>
      </c>
      <c r="G366" s="7" t="s">
        <v>1089</v>
      </c>
      <c r="H366" s="7">
        <v>5.8999999999999997E-2</v>
      </c>
      <c r="I366" s="7">
        <v>56</v>
      </c>
      <c r="J366" s="7">
        <v>800</v>
      </c>
      <c r="K366" s="7">
        <v>600</v>
      </c>
      <c r="L366" s="7">
        <v>150</v>
      </c>
      <c r="M366" s="7">
        <v>30</v>
      </c>
      <c r="N366" s="7">
        <v>120</v>
      </c>
      <c r="O366" s="7">
        <v>34</v>
      </c>
      <c r="P366" s="7">
        <v>170</v>
      </c>
    </row>
    <row r="367" spans="1:16" s="10" customFormat="1">
      <c r="A367" s="7">
        <f>IF(B367="","",SUBTOTAL(103,$B$2:B367))</f>
        <v>366</v>
      </c>
      <c r="B367" s="8" t="s">
        <v>1062</v>
      </c>
      <c r="C367" s="7" t="s">
        <v>1090</v>
      </c>
      <c r="D367" s="9" t="s">
        <v>1091</v>
      </c>
      <c r="E367" s="7" t="s">
        <v>1065</v>
      </c>
      <c r="F367" s="7" t="s">
        <v>1092</v>
      </c>
      <c r="G367" s="7" t="s">
        <v>1093</v>
      </c>
      <c r="H367" s="7">
        <v>0.79100000000000004</v>
      </c>
      <c r="I367" s="7">
        <v>8</v>
      </c>
      <c r="J367" s="7">
        <v>800</v>
      </c>
      <c r="K367" s="7">
        <v>600</v>
      </c>
      <c r="L367" s="7">
        <v>150</v>
      </c>
      <c r="M367" s="7">
        <v>30</v>
      </c>
      <c r="N367" s="7">
        <v>120</v>
      </c>
      <c r="O367" s="7">
        <v>225</v>
      </c>
      <c r="P367" s="7">
        <v>250</v>
      </c>
    </row>
    <row r="368" spans="1:16" s="10" customFormat="1">
      <c r="A368" s="7">
        <f>IF(B368="","",SUBTOTAL(103,$B$2:B368))</f>
        <v>367</v>
      </c>
      <c r="B368" s="8" t="s">
        <v>1062</v>
      </c>
      <c r="C368" s="7" t="s">
        <v>1090</v>
      </c>
      <c r="D368" s="9" t="s">
        <v>1094</v>
      </c>
      <c r="E368" s="7" t="s">
        <v>1065</v>
      </c>
      <c r="F368" s="7" t="s">
        <v>1095</v>
      </c>
      <c r="G368" s="7" t="s">
        <v>1096</v>
      </c>
      <c r="H368" s="7">
        <v>0.79100000000000004</v>
      </c>
      <c r="I368" s="7">
        <v>8</v>
      </c>
      <c r="J368" s="7">
        <v>800</v>
      </c>
      <c r="K368" s="7">
        <v>600</v>
      </c>
      <c r="L368" s="7">
        <v>150</v>
      </c>
      <c r="M368" s="7">
        <v>30</v>
      </c>
      <c r="N368" s="7">
        <v>120</v>
      </c>
      <c r="O368" s="7">
        <v>225</v>
      </c>
      <c r="P368" s="7">
        <v>250</v>
      </c>
    </row>
    <row r="369" spans="1:16" s="10" customFormat="1">
      <c r="A369" s="7">
        <f>IF(B369="","",SUBTOTAL(103,$B$2:B369))</f>
        <v>368</v>
      </c>
      <c r="B369" s="8" t="s">
        <v>1062</v>
      </c>
      <c r="C369" s="7" t="s">
        <v>1097</v>
      </c>
      <c r="D369" s="9" t="s">
        <v>1098</v>
      </c>
      <c r="E369" s="7" t="s">
        <v>1065</v>
      </c>
      <c r="F369" s="7" t="s">
        <v>1099</v>
      </c>
      <c r="G369" s="7" t="s">
        <v>1100</v>
      </c>
      <c r="H369" s="7">
        <v>0.63300000000000001</v>
      </c>
      <c r="I369" s="7">
        <v>12</v>
      </c>
      <c r="J369" s="7">
        <v>800</v>
      </c>
      <c r="K369" s="7">
        <v>600</v>
      </c>
      <c r="L369" s="7">
        <v>150</v>
      </c>
      <c r="M369" s="7">
        <v>30</v>
      </c>
      <c r="N369" s="7">
        <v>120</v>
      </c>
      <c r="O369" s="7">
        <v>150</v>
      </c>
      <c r="P369" s="7">
        <v>335</v>
      </c>
    </row>
    <row r="370" spans="1:16" s="10" customFormat="1">
      <c r="A370" s="7">
        <f>IF(B370="","",SUBTOTAL(103,$B$2:B370))</f>
        <v>369</v>
      </c>
      <c r="B370" s="8" t="s">
        <v>1062</v>
      </c>
      <c r="C370" s="7" t="s">
        <v>1097</v>
      </c>
      <c r="D370" s="9" t="s">
        <v>1101</v>
      </c>
      <c r="E370" s="7" t="s">
        <v>1065</v>
      </c>
      <c r="F370" s="7" t="s">
        <v>1102</v>
      </c>
      <c r="G370" s="7" t="s">
        <v>1103</v>
      </c>
      <c r="H370" s="7">
        <v>0.63300000000000001</v>
      </c>
      <c r="I370" s="7">
        <v>12</v>
      </c>
      <c r="J370" s="7">
        <v>800</v>
      </c>
      <c r="K370" s="7">
        <v>600</v>
      </c>
      <c r="L370" s="7">
        <v>150</v>
      </c>
      <c r="M370" s="7">
        <v>30</v>
      </c>
      <c r="N370" s="7">
        <v>120</v>
      </c>
      <c r="O370" s="7">
        <v>150</v>
      </c>
      <c r="P370" s="7">
        <v>335</v>
      </c>
    </row>
    <row r="371" spans="1:16" s="10" customFormat="1">
      <c r="A371" s="7">
        <f>IF(B371="","",SUBTOTAL(103,$B$2:B371))</f>
        <v>370</v>
      </c>
      <c r="B371" s="8" t="s">
        <v>1062</v>
      </c>
      <c r="C371" s="7" t="s">
        <v>1104</v>
      </c>
      <c r="D371" s="9" t="s">
        <v>1105</v>
      </c>
      <c r="E371" s="7" t="s">
        <v>1065</v>
      </c>
      <c r="F371" s="7" t="s">
        <v>1106</v>
      </c>
      <c r="G371" s="7" t="s">
        <v>1107</v>
      </c>
      <c r="H371" s="7">
        <v>1.204</v>
      </c>
      <c r="I371" s="7">
        <v>4</v>
      </c>
      <c r="J371" s="7">
        <v>800</v>
      </c>
      <c r="K371" s="7">
        <v>600</v>
      </c>
      <c r="L371" s="7">
        <v>150</v>
      </c>
      <c r="M371" s="7">
        <v>30</v>
      </c>
      <c r="N371" s="7">
        <v>120</v>
      </c>
      <c r="O371" s="7">
        <v>500</v>
      </c>
      <c r="P371" s="7">
        <v>600</v>
      </c>
    </row>
    <row r="372" spans="1:16" s="10" customFormat="1">
      <c r="A372" s="7">
        <f>IF(B372="","",SUBTOTAL(103,$B$2:B372))</f>
        <v>371</v>
      </c>
      <c r="B372" s="8" t="s">
        <v>1062</v>
      </c>
      <c r="C372" s="7" t="s">
        <v>1104</v>
      </c>
      <c r="D372" s="9" t="s">
        <v>1108</v>
      </c>
      <c r="E372" s="7" t="s">
        <v>1065</v>
      </c>
      <c r="F372" s="7" t="s">
        <v>1109</v>
      </c>
      <c r="G372" s="7" t="s">
        <v>1110</v>
      </c>
      <c r="H372" s="7">
        <v>1.204</v>
      </c>
      <c r="I372" s="7">
        <v>4</v>
      </c>
      <c r="J372" s="7">
        <v>800</v>
      </c>
      <c r="K372" s="7">
        <v>600</v>
      </c>
      <c r="L372" s="7">
        <v>150</v>
      </c>
      <c r="M372" s="7">
        <v>30</v>
      </c>
      <c r="N372" s="7">
        <v>120</v>
      </c>
      <c r="O372" s="7">
        <v>500</v>
      </c>
      <c r="P372" s="7">
        <v>600</v>
      </c>
    </row>
    <row r="373" spans="1:16" s="10" customFormat="1">
      <c r="A373" s="7">
        <f>IF(B373="","",SUBTOTAL(103,$B$2:B373))</f>
        <v>372</v>
      </c>
      <c r="B373" s="8" t="s">
        <v>1062</v>
      </c>
      <c r="C373" s="7" t="s">
        <v>1111</v>
      </c>
      <c r="D373" s="9" t="s">
        <v>1112</v>
      </c>
      <c r="E373" s="7" t="s">
        <v>1065</v>
      </c>
      <c r="F373" s="7" t="s">
        <v>1113</v>
      </c>
      <c r="G373" s="7" t="s">
        <v>1114</v>
      </c>
      <c r="H373" s="7">
        <v>1.962</v>
      </c>
      <c r="I373" s="7">
        <v>3</v>
      </c>
      <c r="J373" s="7">
        <v>800</v>
      </c>
      <c r="K373" s="7">
        <v>600</v>
      </c>
      <c r="L373" s="7">
        <v>150</v>
      </c>
      <c r="M373" s="7">
        <v>30</v>
      </c>
      <c r="N373" s="7">
        <v>120</v>
      </c>
      <c r="O373" s="7">
        <v>650</v>
      </c>
      <c r="P373" s="7">
        <v>675</v>
      </c>
    </row>
    <row r="374" spans="1:16" s="10" customFormat="1">
      <c r="A374" s="7">
        <f>IF(B374="","",SUBTOTAL(103,$B$2:B374))</f>
        <v>373</v>
      </c>
      <c r="B374" s="8" t="s">
        <v>1062</v>
      </c>
      <c r="C374" s="7" t="s">
        <v>1111</v>
      </c>
      <c r="D374" s="9" t="s">
        <v>1115</v>
      </c>
      <c r="E374" s="7" t="s">
        <v>1065</v>
      </c>
      <c r="F374" s="7" t="s">
        <v>1116</v>
      </c>
      <c r="G374" s="7" t="s">
        <v>1117</v>
      </c>
      <c r="H374" s="7">
        <v>1.962</v>
      </c>
      <c r="I374" s="7">
        <v>3</v>
      </c>
      <c r="J374" s="7">
        <v>800</v>
      </c>
      <c r="K374" s="7">
        <v>600</v>
      </c>
      <c r="L374" s="7">
        <v>150</v>
      </c>
      <c r="M374" s="7">
        <v>30</v>
      </c>
      <c r="N374" s="7">
        <v>120</v>
      </c>
      <c r="O374" s="7">
        <v>650</v>
      </c>
      <c r="P374" s="7">
        <v>675</v>
      </c>
    </row>
    <row r="375" spans="1:16" s="10" customFormat="1">
      <c r="A375" s="7">
        <f>IF(B375="","",SUBTOTAL(103,$B$2:B375))</f>
        <v>374</v>
      </c>
      <c r="B375" s="8" t="s">
        <v>1062</v>
      </c>
      <c r="C375" s="7" t="s">
        <v>1118</v>
      </c>
      <c r="D375" s="9" t="s">
        <v>1119</v>
      </c>
      <c r="E375" s="7" t="s">
        <v>1065</v>
      </c>
      <c r="F375" s="7" t="s">
        <v>1120</v>
      </c>
      <c r="G375" s="7" t="s">
        <v>1121</v>
      </c>
      <c r="H375" s="7">
        <v>2.3519999999999999</v>
      </c>
      <c r="I375" s="7">
        <v>1</v>
      </c>
      <c r="J375" s="7">
        <v>800</v>
      </c>
      <c r="K375" s="7">
        <v>600</v>
      </c>
      <c r="L375" s="7">
        <v>150</v>
      </c>
      <c r="M375" s="7">
        <v>30</v>
      </c>
      <c r="N375" s="7">
        <v>120</v>
      </c>
      <c r="O375" s="7">
        <v>2000</v>
      </c>
      <c r="P375" s="7">
        <v>2050</v>
      </c>
    </row>
    <row r="376" spans="1:16" s="10" customFormat="1">
      <c r="A376" s="7">
        <f>IF(B376="","",SUBTOTAL(103,$B$2:B376))</f>
        <v>375</v>
      </c>
      <c r="B376" s="8" t="s">
        <v>1062</v>
      </c>
      <c r="C376" s="7" t="s">
        <v>1118</v>
      </c>
      <c r="D376" s="9" t="s">
        <v>1122</v>
      </c>
      <c r="E376" s="7" t="s">
        <v>1065</v>
      </c>
      <c r="F376" s="7" t="s">
        <v>1123</v>
      </c>
      <c r="G376" s="7" t="s">
        <v>1124</v>
      </c>
      <c r="H376" s="7">
        <v>2.3519999999999999</v>
      </c>
      <c r="I376" s="7">
        <v>1</v>
      </c>
      <c r="J376" s="7">
        <v>800</v>
      </c>
      <c r="K376" s="7">
        <v>600</v>
      </c>
      <c r="L376" s="7">
        <v>150</v>
      </c>
      <c r="M376" s="7">
        <v>30</v>
      </c>
      <c r="N376" s="7">
        <v>120</v>
      </c>
      <c r="O376" s="7">
        <v>2000</v>
      </c>
      <c r="P376" s="7">
        <v>2050</v>
      </c>
    </row>
    <row r="377" spans="1:16" s="10" customFormat="1">
      <c r="A377" s="7">
        <f>IF(B377="","",SUBTOTAL(103,$B$2:B377))</f>
        <v>376</v>
      </c>
      <c r="B377" s="8" t="s">
        <v>1062</v>
      </c>
      <c r="C377" s="7" t="s">
        <v>1125</v>
      </c>
      <c r="D377" s="9" t="s">
        <v>1126</v>
      </c>
      <c r="E377" s="7" t="s">
        <v>1065</v>
      </c>
      <c r="F377" s="7" t="s">
        <v>1127</v>
      </c>
      <c r="G377" s="7" t="s">
        <v>1128</v>
      </c>
      <c r="H377" s="7">
        <v>0.25800000000000001</v>
      </c>
      <c r="I377" s="7">
        <v>16</v>
      </c>
      <c r="J377" s="7">
        <v>800</v>
      </c>
      <c r="K377" s="7">
        <v>600</v>
      </c>
      <c r="L377" s="7">
        <v>150</v>
      </c>
      <c r="M377" s="7">
        <v>30</v>
      </c>
      <c r="N377" s="7">
        <v>120</v>
      </c>
      <c r="O377" s="7">
        <v>125</v>
      </c>
      <c r="P377" s="7">
        <v>265</v>
      </c>
    </row>
    <row r="378" spans="1:16" s="10" customFormat="1">
      <c r="A378" s="7">
        <f>IF(B378="","",SUBTOTAL(103,$B$2:B378))</f>
        <v>377</v>
      </c>
      <c r="B378" s="8" t="s">
        <v>1062</v>
      </c>
      <c r="C378" s="7" t="s">
        <v>1125</v>
      </c>
      <c r="D378" s="9" t="s">
        <v>1129</v>
      </c>
      <c r="E378" s="7" t="s">
        <v>1065</v>
      </c>
      <c r="F378" s="7" t="s">
        <v>1130</v>
      </c>
      <c r="G378" s="7" t="s">
        <v>1131</v>
      </c>
      <c r="H378" s="7">
        <v>0.25800000000000001</v>
      </c>
      <c r="I378" s="7">
        <v>16</v>
      </c>
      <c r="J378" s="7">
        <v>800</v>
      </c>
      <c r="K378" s="7">
        <v>600</v>
      </c>
      <c r="L378" s="7">
        <v>150</v>
      </c>
      <c r="M378" s="7">
        <v>30</v>
      </c>
      <c r="N378" s="7">
        <v>120</v>
      </c>
      <c r="O378" s="7">
        <v>125</v>
      </c>
      <c r="P378" s="7">
        <v>265</v>
      </c>
    </row>
    <row r="379" spans="1:16" s="10" customFormat="1">
      <c r="A379" s="7">
        <f>IF(B379="","",SUBTOTAL(103,$B$2:B379))</f>
        <v>378</v>
      </c>
      <c r="B379" s="8" t="s">
        <v>1062</v>
      </c>
      <c r="C379" s="7" t="s">
        <v>1000</v>
      </c>
      <c r="D379" s="9" t="s">
        <v>1132</v>
      </c>
      <c r="E379" s="7" t="s">
        <v>1065</v>
      </c>
      <c r="F379" s="7" t="s">
        <v>1002</v>
      </c>
      <c r="G379" s="7" t="s">
        <v>1133</v>
      </c>
      <c r="H379" s="7">
        <v>0.11799999999999999</v>
      </c>
      <c r="I379" s="7">
        <v>28</v>
      </c>
      <c r="J379" s="7">
        <v>800</v>
      </c>
      <c r="K379" s="7">
        <v>600</v>
      </c>
      <c r="L379" s="7">
        <v>150</v>
      </c>
      <c r="M379" s="7">
        <v>30</v>
      </c>
      <c r="N379" s="7">
        <v>120</v>
      </c>
      <c r="O379" s="7">
        <v>70</v>
      </c>
      <c r="P379" s="7">
        <v>215</v>
      </c>
    </row>
    <row r="380" spans="1:16" s="10" customFormat="1">
      <c r="A380" s="7">
        <f>IF(B380="","",SUBTOTAL(103,$B$2:B380))</f>
        <v>379</v>
      </c>
      <c r="B380" s="8" t="s">
        <v>1062</v>
      </c>
      <c r="C380" s="7" t="s">
        <v>1000</v>
      </c>
      <c r="D380" s="9" t="s">
        <v>1134</v>
      </c>
      <c r="E380" s="7" t="s">
        <v>1065</v>
      </c>
      <c r="F380" s="7" t="s">
        <v>1135</v>
      </c>
      <c r="G380" s="7" t="s">
        <v>1136</v>
      </c>
      <c r="H380" s="7">
        <v>0.11799999999999999</v>
      </c>
      <c r="I380" s="7">
        <v>28</v>
      </c>
      <c r="J380" s="7">
        <v>800</v>
      </c>
      <c r="K380" s="7">
        <v>600</v>
      </c>
      <c r="L380" s="7">
        <v>150</v>
      </c>
      <c r="M380" s="7">
        <v>30</v>
      </c>
      <c r="N380" s="7">
        <v>120</v>
      </c>
      <c r="O380" s="7">
        <v>70</v>
      </c>
      <c r="P380" s="7">
        <v>215</v>
      </c>
    </row>
    <row r="381" spans="1:16" s="10" customFormat="1">
      <c r="A381" s="7">
        <f>IF(B381="","",SUBTOTAL(103,$B$2:B381))</f>
        <v>380</v>
      </c>
      <c r="B381" s="8" t="s">
        <v>1062</v>
      </c>
      <c r="C381" s="7" t="s">
        <v>1137</v>
      </c>
      <c r="D381" s="9" t="s">
        <v>1138</v>
      </c>
      <c r="E381" s="7" t="s">
        <v>1065</v>
      </c>
      <c r="F381" s="7" t="s">
        <v>1139</v>
      </c>
      <c r="G381" s="7" t="s">
        <v>1140</v>
      </c>
      <c r="H381" s="7">
        <v>3.9340000000000002</v>
      </c>
      <c r="I381" s="7">
        <v>1</v>
      </c>
      <c r="J381" s="7">
        <v>800</v>
      </c>
      <c r="K381" s="7">
        <v>600</v>
      </c>
      <c r="L381" s="7">
        <v>150</v>
      </c>
      <c r="M381" s="7">
        <v>30</v>
      </c>
      <c r="N381" s="7">
        <v>120</v>
      </c>
      <c r="O381" s="7">
        <v>2000</v>
      </c>
      <c r="P381" s="7">
        <v>2050</v>
      </c>
    </row>
    <row r="382" spans="1:16" s="10" customFormat="1">
      <c r="A382" s="7">
        <f>IF(B382="","",SUBTOTAL(103,$B$2:B382))</f>
        <v>381</v>
      </c>
      <c r="B382" s="8" t="s">
        <v>1062</v>
      </c>
      <c r="C382" s="7" t="s">
        <v>1137</v>
      </c>
      <c r="D382" s="9" t="s">
        <v>1141</v>
      </c>
      <c r="E382" s="7" t="s">
        <v>1065</v>
      </c>
      <c r="F382" s="7" t="s">
        <v>1142</v>
      </c>
      <c r="G382" s="7" t="s">
        <v>1143</v>
      </c>
      <c r="H382" s="7">
        <v>1.2</v>
      </c>
      <c r="I382" s="7">
        <v>1</v>
      </c>
      <c r="J382" s="7">
        <v>800</v>
      </c>
      <c r="K382" s="7">
        <v>600</v>
      </c>
      <c r="L382" s="7">
        <v>150</v>
      </c>
      <c r="M382" s="7">
        <v>30</v>
      </c>
      <c r="N382" s="7">
        <v>120</v>
      </c>
      <c r="O382" s="7">
        <v>2000</v>
      </c>
      <c r="P382" s="7">
        <v>2050</v>
      </c>
    </row>
    <row r="383" spans="1:16" s="10" customFormat="1">
      <c r="A383" s="7">
        <f>IF(B383="","",SUBTOTAL(103,$B$2:B383))</f>
        <v>382</v>
      </c>
      <c r="B383" s="8" t="s">
        <v>1144</v>
      </c>
      <c r="C383" s="7" t="s">
        <v>1145</v>
      </c>
      <c r="D383" s="9" t="s">
        <v>1146</v>
      </c>
      <c r="E383" s="7" t="s">
        <v>1147</v>
      </c>
      <c r="F383" s="7" t="s">
        <v>1148</v>
      </c>
      <c r="G383" s="7" t="s">
        <v>1149</v>
      </c>
      <c r="H383" s="7">
        <v>0.36299999999999999</v>
      </c>
      <c r="I383" s="7">
        <v>12</v>
      </c>
      <c r="J383" s="7">
        <v>800</v>
      </c>
      <c r="K383" s="7">
        <v>600</v>
      </c>
      <c r="L383" s="7">
        <v>150</v>
      </c>
      <c r="M383" s="7">
        <v>30</v>
      </c>
      <c r="N383" s="7">
        <v>120</v>
      </c>
      <c r="O383" s="7">
        <v>150</v>
      </c>
      <c r="P383" s="7">
        <v>310.38599999999997</v>
      </c>
    </row>
    <row r="384" spans="1:16" s="10" customFormat="1">
      <c r="A384" s="7">
        <f>IF(B384="","",SUBTOTAL(103,$B$2:B384))</f>
        <v>383</v>
      </c>
      <c r="B384" s="8" t="s">
        <v>1144</v>
      </c>
      <c r="C384" s="7" t="s">
        <v>1145</v>
      </c>
      <c r="D384" s="9" t="s">
        <v>1150</v>
      </c>
      <c r="E384" s="7" t="s">
        <v>1147</v>
      </c>
      <c r="F384" s="7" t="s">
        <v>1151</v>
      </c>
      <c r="G384" s="7" t="s">
        <v>1152</v>
      </c>
      <c r="H384" s="7">
        <v>0.36299999999999999</v>
      </c>
      <c r="I384" s="7">
        <v>12</v>
      </c>
      <c r="J384" s="7">
        <v>800</v>
      </c>
      <c r="K384" s="7">
        <v>600</v>
      </c>
      <c r="L384" s="7">
        <v>150</v>
      </c>
      <c r="M384" s="7">
        <v>30</v>
      </c>
      <c r="N384" s="7">
        <v>120</v>
      </c>
      <c r="O384" s="7">
        <v>150</v>
      </c>
      <c r="P384" s="7">
        <v>310.38599999999997</v>
      </c>
    </row>
    <row r="385" spans="1:16" s="10" customFormat="1">
      <c r="A385" s="7">
        <f>IF(B385="","",SUBTOTAL(103,$B$2:B385))</f>
        <v>384</v>
      </c>
      <c r="B385" s="8" t="s">
        <v>1144</v>
      </c>
      <c r="C385" s="7" t="s">
        <v>1153</v>
      </c>
      <c r="D385" s="9" t="s">
        <v>1154</v>
      </c>
      <c r="E385" s="7" t="s">
        <v>1147</v>
      </c>
      <c r="F385" s="7" t="s">
        <v>1155</v>
      </c>
      <c r="G385" s="7" t="s">
        <v>1156</v>
      </c>
      <c r="H385" s="7">
        <v>0.122</v>
      </c>
      <c r="I385" s="7">
        <v>12</v>
      </c>
      <c r="J385" s="7">
        <v>800</v>
      </c>
      <c r="K385" s="7">
        <v>600</v>
      </c>
      <c r="L385" s="7">
        <v>150</v>
      </c>
      <c r="M385" s="7">
        <v>30</v>
      </c>
      <c r="N385" s="7">
        <v>120</v>
      </c>
      <c r="O385" s="7">
        <v>150</v>
      </c>
      <c r="P385" s="7">
        <v>265</v>
      </c>
    </row>
    <row r="386" spans="1:16" s="10" customFormat="1">
      <c r="A386" s="7">
        <f>IF(B386="","",SUBTOTAL(103,$B$2:B386))</f>
        <v>385</v>
      </c>
      <c r="B386" s="8" t="s">
        <v>1144</v>
      </c>
      <c r="C386" s="7" t="s">
        <v>1153</v>
      </c>
      <c r="D386" s="9" t="s">
        <v>1157</v>
      </c>
      <c r="E386" s="7" t="s">
        <v>1147</v>
      </c>
      <c r="F386" s="7" t="s">
        <v>1158</v>
      </c>
      <c r="G386" s="7" t="s">
        <v>1159</v>
      </c>
      <c r="H386" s="7">
        <v>0.122</v>
      </c>
      <c r="I386" s="7">
        <v>12</v>
      </c>
      <c r="J386" s="7">
        <v>800</v>
      </c>
      <c r="K386" s="7">
        <v>600</v>
      </c>
      <c r="L386" s="7">
        <v>150</v>
      </c>
      <c r="M386" s="7">
        <v>30</v>
      </c>
      <c r="N386" s="7">
        <v>120</v>
      </c>
      <c r="O386" s="7">
        <v>150</v>
      </c>
      <c r="P386" s="7">
        <v>265</v>
      </c>
    </row>
    <row r="387" spans="1:16" s="10" customFormat="1">
      <c r="A387" s="7">
        <f>IF(B387="","",SUBTOTAL(103,$B$2:B387))</f>
        <v>386</v>
      </c>
      <c r="B387" s="8" t="s">
        <v>1144</v>
      </c>
      <c r="C387" s="7" t="s">
        <v>1160</v>
      </c>
      <c r="D387" s="9" t="s">
        <v>1161</v>
      </c>
      <c r="E387" s="7" t="s">
        <v>1147</v>
      </c>
      <c r="F387" s="7" t="s">
        <v>1162</v>
      </c>
      <c r="G387" s="7" t="s">
        <v>1163</v>
      </c>
      <c r="H387" s="7">
        <v>0.55100000000000005</v>
      </c>
      <c r="I387" s="7">
        <v>12</v>
      </c>
      <c r="J387" s="7">
        <v>800</v>
      </c>
      <c r="K387" s="7">
        <v>600</v>
      </c>
      <c r="L387" s="7">
        <v>150</v>
      </c>
      <c r="M387" s="7">
        <v>30</v>
      </c>
      <c r="N387" s="7">
        <v>120</v>
      </c>
      <c r="O387" s="7">
        <v>150</v>
      </c>
      <c r="P387" s="7">
        <v>310.38599999999997</v>
      </c>
    </row>
    <row r="388" spans="1:16" s="10" customFormat="1">
      <c r="A388" s="7">
        <f>IF(B388="","",SUBTOTAL(103,$B$2:B388))</f>
        <v>387</v>
      </c>
      <c r="B388" s="8" t="s">
        <v>1144</v>
      </c>
      <c r="C388" s="7" t="s">
        <v>1160</v>
      </c>
      <c r="D388" s="9" t="s">
        <v>1164</v>
      </c>
      <c r="E388" s="7" t="s">
        <v>1147</v>
      </c>
      <c r="F388" s="7" t="s">
        <v>1165</v>
      </c>
      <c r="G388" s="7" t="s">
        <v>1166</v>
      </c>
      <c r="H388" s="7">
        <v>0.55100000000000005</v>
      </c>
      <c r="I388" s="7">
        <v>12</v>
      </c>
      <c r="J388" s="7">
        <v>800</v>
      </c>
      <c r="K388" s="7">
        <v>600</v>
      </c>
      <c r="L388" s="7">
        <v>150</v>
      </c>
      <c r="M388" s="7">
        <v>30</v>
      </c>
      <c r="N388" s="7">
        <v>120</v>
      </c>
      <c r="O388" s="7">
        <v>150</v>
      </c>
      <c r="P388" s="7">
        <v>310.38599999999997</v>
      </c>
    </row>
    <row r="389" spans="1:16" s="10" customFormat="1">
      <c r="A389" s="7">
        <f>IF(B389="","",SUBTOTAL(103,$B$2:B389))</f>
        <v>388</v>
      </c>
      <c r="B389" s="8" t="s">
        <v>1144</v>
      </c>
      <c r="C389" s="7" t="s">
        <v>1167</v>
      </c>
      <c r="D389" s="9" t="s">
        <v>1168</v>
      </c>
      <c r="E389" s="7" t="s">
        <v>1147</v>
      </c>
      <c r="F389" s="7" t="s">
        <v>1169</v>
      </c>
      <c r="G389" s="7" t="s">
        <v>1170</v>
      </c>
      <c r="H389" s="7">
        <v>0.128</v>
      </c>
      <c r="I389" s="7">
        <v>12</v>
      </c>
      <c r="J389" s="7">
        <v>800</v>
      </c>
      <c r="K389" s="7">
        <v>600</v>
      </c>
      <c r="L389" s="7">
        <v>150</v>
      </c>
      <c r="M389" s="7">
        <v>30</v>
      </c>
      <c r="N389" s="7">
        <v>120</v>
      </c>
      <c r="O389" s="7">
        <v>150</v>
      </c>
      <c r="P389" s="7">
        <v>265</v>
      </c>
    </row>
    <row r="390" spans="1:16" s="10" customFormat="1">
      <c r="A390" s="7">
        <f>IF(B390="","",SUBTOTAL(103,$B$2:B390))</f>
        <v>389</v>
      </c>
      <c r="B390" s="8" t="s">
        <v>1144</v>
      </c>
      <c r="C390" s="7" t="s">
        <v>1167</v>
      </c>
      <c r="D390" s="9" t="s">
        <v>1171</v>
      </c>
      <c r="E390" s="7" t="s">
        <v>1147</v>
      </c>
      <c r="F390" s="7" t="s">
        <v>1172</v>
      </c>
      <c r="G390" s="7" t="s">
        <v>1173</v>
      </c>
      <c r="H390" s="7">
        <v>0.128</v>
      </c>
      <c r="I390" s="7">
        <v>12</v>
      </c>
      <c r="J390" s="7">
        <v>800</v>
      </c>
      <c r="K390" s="7">
        <v>600</v>
      </c>
      <c r="L390" s="7">
        <v>150</v>
      </c>
      <c r="M390" s="7">
        <v>30</v>
      </c>
      <c r="N390" s="7">
        <v>120</v>
      </c>
      <c r="O390" s="7">
        <v>150</v>
      </c>
      <c r="P390" s="7">
        <v>265</v>
      </c>
    </row>
    <row r="391" spans="1:16" s="10" customFormat="1">
      <c r="A391" s="7">
        <f>IF(B391="","",SUBTOTAL(103,$B$2:B391))</f>
        <v>390</v>
      </c>
      <c r="B391" s="8" t="s">
        <v>1144</v>
      </c>
      <c r="C391" s="7" t="s">
        <v>1174</v>
      </c>
      <c r="D391" s="9" t="s">
        <v>1175</v>
      </c>
      <c r="E391" s="7" t="s">
        <v>1147</v>
      </c>
      <c r="F391" s="7" t="s">
        <v>1176</v>
      </c>
      <c r="G391" s="7" t="s">
        <v>1177</v>
      </c>
      <c r="H391" s="7">
        <v>0.122</v>
      </c>
      <c r="I391" s="7">
        <v>36</v>
      </c>
      <c r="J391" s="7">
        <v>800</v>
      </c>
      <c r="K391" s="7">
        <v>600</v>
      </c>
      <c r="L391" s="7">
        <v>150</v>
      </c>
      <c r="M391" s="7">
        <v>30</v>
      </c>
      <c r="N391" s="7">
        <v>120</v>
      </c>
      <c r="O391" s="7">
        <v>55</v>
      </c>
      <c r="P391" s="7">
        <v>265</v>
      </c>
    </row>
    <row r="392" spans="1:16" s="10" customFormat="1">
      <c r="A392" s="7">
        <f>IF(B392="","",SUBTOTAL(103,$B$2:B392))</f>
        <v>391</v>
      </c>
      <c r="B392" s="8" t="s">
        <v>1144</v>
      </c>
      <c r="C392" s="7" t="s">
        <v>1174</v>
      </c>
      <c r="D392" s="9" t="s">
        <v>1178</v>
      </c>
      <c r="E392" s="7" t="s">
        <v>1147</v>
      </c>
      <c r="F392" s="7" t="s">
        <v>1179</v>
      </c>
      <c r="G392" s="7" t="s">
        <v>1180</v>
      </c>
      <c r="H392" s="7">
        <v>0.122</v>
      </c>
      <c r="I392" s="7">
        <v>36</v>
      </c>
      <c r="J392" s="7">
        <v>800</v>
      </c>
      <c r="K392" s="7">
        <v>600</v>
      </c>
      <c r="L392" s="7">
        <v>150</v>
      </c>
      <c r="M392" s="7">
        <v>30</v>
      </c>
      <c r="N392" s="7">
        <v>120</v>
      </c>
      <c r="O392" s="7">
        <v>55</v>
      </c>
      <c r="P392" s="7">
        <v>265</v>
      </c>
    </row>
    <row r="393" spans="1:16" s="10" customFormat="1">
      <c r="A393" s="7">
        <f>IF(B393="","",SUBTOTAL(103,$B$2:B393))</f>
        <v>392</v>
      </c>
      <c r="B393" s="8" t="s">
        <v>1144</v>
      </c>
      <c r="C393" s="7" t="s">
        <v>1181</v>
      </c>
      <c r="D393" s="9" t="s">
        <v>1182</v>
      </c>
      <c r="E393" s="7" t="s">
        <v>1147</v>
      </c>
      <c r="F393" s="7" t="s">
        <v>1183</v>
      </c>
      <c r="G393" s="7" t="s">
        <v>1184</v>
      </c>
      <c r="H393" s="7">
        <v>0.112</v>
      </c>
      <c r="I393" s="7">
        <v>14</v>
      </c>
      <c r="J393" s="7">
        <v>800</v>
      </c>
      <c r="K393" s="7">
        <v>600</v>
      </c>
      <c r="L393" s="7">
        <v>150</v>
      </c>
      <c r="M393" s="7">
        <v>30</v>
      </c>
      <c r="N393" s="7">
        <v>120</v>
      </c>
      <c r="O393" s="7">
        <v>140</v>
      </c>
      <c r="P393" s="7">
        <v>265</v>
      </c>
    </row>
    <row r="394" spans="1:16" s="10" customFormat="1">
      <c r="A394" s="7">
        <f>IF(B394="","",SUBTOTAL(103,$B$2:B394))</f>
        <v>393</v>
      </c>
      <c r="B394" s="8" t="s">
        <v>1144</v>
      </c>
      <c r="C394" s="7" t="s">
        <v>1181</v>
      </c>
      <c r="D394" s="9" t="s">
        <v>1185</v>
      </c>
      <c r="E394" s="7" t="s">
        <v>1147</v>
      </c>
      <c r="F394" s="7" t="s">
        <v>1186</v>
      </c>
      <c r="G394" s="7" t="s">
        <v>1187</v>
      </c>
      <c r="H394" s="7">
        <v>0.112</v>
      </c>
      <c r="I394" s="7">
        <v>14</v>
      </c>
      <c r="J394" s="7">
        <v>800</v>
      </c>
      <c r="K394" s="7">
        <v>600</v>
      </c>
      <c r="L394" s="7">
        <v>150</v>
      </c>
      <c r="M394" s="7">
        <v>30</v>
      </c>
      <c r="N394" s="7">
        <v>120</v>
      </c>
      <c r="O394" s="7">
        <v>140</v>
      </c>
      <c r="P394" s="7">
        <v>265</v>
      </c>
    </row>
    <row r="395" spans="1:16" s="10" customFormat="1">
      <c r="A395" s="7">
        <f>IF(B395="","",SUBTOTAL(103,$B$2:B395))</f>
        <v>394</v>
      </c>
      <c r="B395" s="8" t="s">
        <v>1144</v>
      </c>
      <c r="C395" s="7" t="s">
        <v>1188</v>
      </c>
      <c r="D395" s="9" t="s">
        <v>1189</v>
      </c>
      <c r="E395" s="7" t="s">
        <v>1147</v>
      </c>
      <c r="F395" s="7" t="s">
        <v>1190</v>
      </c>
      <c r="G395" s="7" t="s">
        <v>1191</v>
      </c>
      <c r="H395" s="7">
        <v>0.128</v>
      </c>
      <c r="I395" s="7">
        <v>32</v>
      </c>
      <c r="J395" s="7">
        <v>800</v>
      </c>
      <c r="K395" s="7">
        <v>600</v>
      </c>
      <c r="L395" s="7">
        <v>150</v>
      </c>
      <c r="M395" s="7">
        <v>30</v>
      </c>
      <c r="N395" s="7">
        <v>120</v>
      </c>
      <c r="O395" s="7">
        <v>54</v>
      </c>
      <c r="P395" s="7">
        <v>265</v>
      </c>
    </row>
    <row r="396" spans="1:16" s="10" customFormat="1">
      <c r="A396" s="7">
        <f>IF(B396="","",SUBTOTAL(103,$B$2:B396))</f>
        <v>395</v>
      </c>
      <c r="B396" s="8" t="s">
        <v>1144</v>
      </c>
      <c r="C396" s="7" t="s">
        <v>1188</v>
      </c>
      <c r="D396" s="9" t="s">
        <v>1192</v>
      </c>
      <c r="E396" s="7" t="s">
        <v>1147</v>
      </c>
      <c r="F396" s="7" t="s">
        <v>1193</v>
      </c>
      <c r="G396" s="7" t="s">
        <v>1194</v>
      </c>
      <c r="H396" s="7">
        <v>0.128</v>
      </c>
      <c r="I396" s="7">
        <v>32</v>
      </c>
      <c r="J396" s="7">
        <v>800</v>
      </c>
      <c r="K396" s="7">
        <v>600</v>
      </c>
      <c r="L396" s="7">
        <v>150</v>
      </c>
      <c r="M396" s="7">
        <v>30</v>
      </c>
      <c r="N396" s="7">
        <v>120</v>
      </c>
      <c r="O396" s="7">
        <v>54</v>
      </c>
      <c r="P396" s="7">
        <v>265</v>
      </c>
    </row>
    <row r="397" spans="1:16" s="10" customFormat="1">
      <c r="A397" s="7">
        <f>IF(B397="","",SUBTOTAL(103,$B$2:B397))</f>
        <v>396</v>
      </c>
      <c r="B397" s="8" t="s">
        <v>1144</v>
      </c>
      <c r="C397" s="7" t="s">
        <v>1195</v>
      </c>
      <c r="D397" s="9" t="s">
        <v>1196</v>
      </c>
      <c r="E397" s="7" t="s">
        <v>1147</v>
      </c>
      <c r="F397" s="7" t="s">
        <v>1197</v>
      </c>
      <c r="G397" s="7" t="s">
        <v>1198</v>
      </c>
      <c r="H397" s="7">
        <v>7.2999999999999995E-2</v>
      </c>
      <c r="I397" s="7">
        <v>44</v>
      </c>
      <c r="J397" s="7">
        <v>800</v>
      </c>
      <c r="K397" s="7">
        <v>600</v>
      </c>
      <c r="L397" s="7">
        <v>150</v>
      </c>
      <c r="M397" s="7">
        <v>30</v>
      </c>
      <c r="N397" s="7">
        <v>120</v>
      </c>
      <c r="O397" s="7">
        <v>45</v>
      </c>
      <c r="P397" s="7">
        <v>300</v>
      </c>
    </row>
    <row r="398" spans="1:16" s="10" customFormat="1">
      <c r="A398" s="7">
        <f>IF(B398="","",SUBTOTAL(103,$B$2:B398))</f>
        <v>397</v>
      </c>
      <c r="B398" s="8" t="s">
        <v>1144</v>
      </c>
      <c r="C398" s="7" t="s">
        <v>1195</v>
      </c>
      <c r="D398" s="9" t="s">
        <v>1199</v>
      </c>
      <c r="E398" s="7" t="s">
        <v>1147</v>
      </c>
      <c r="F398" s="7" t="s">
        <v>1200</v>
      </c>
      <c r="G398" s="7" t="s">
        <v>1201</v>
      </c>
      <c r="H398" s="7">
        <v>7.2999999999999995E-2</v>
      </c>
      <c r="I398" s="7">
        <v>44</v>
      </c>
      <c r="J398" s="7">
        <v>800</v>
      </c>
      <c r="K398" s="7">
        <v>600</v>
      </c>
      <c r="L398" s="7">
        <v>150</v>
      </c>
      <c r="M398" s="7">
        <v>30</v>
      </c>
      <c r="N398" s="7">
        <v>120</v>
      </c>
      <c r="O398" s="7">
        <v>45</v>
      </c>
      <c r="P398" s="7">
        <v>300</v>
      </c>
    </row>
    <row r="399" spans="1:16" s="10" customFormat="1">
      <c r="A399" s="7">
        <f>IF(B399="","",SUBTOTAL(103,$B$2:B399))</f>
        <v>398</v>
      </c>
      <c r="B399" s="8" t="s">
        <v>1144</v>
      </c>
      <c r="C399" s="7" t="s">
        <v>1202</v>
      </c>
      <c r="D399" s="9" t="s">
        <v>1203</v>
      </c>
      <c r="E399" s="7" t="s">
        <v>1147</v>
      </c>
      <c r="F399" s="7" t="s">
        <v>1204</v>
      </c>
      <c r="G399" s="7" t="s">
        <v>1205</v>
      </c>
      <c r="H399" s="7">
        <v>0.61799999999999999</v>
      </c>
      <c r="I399" s="7">
        <v>10</v>
      </c>
      <c r="J399" s="7">
        <v>800</v>
      </c>
      <c r="K399" s="7">
        <v>600</v>
      </c>
      <c r="L399" s="7">
        <v>150</v>
      </c>
      <c r="M399" s="7">
        <v>30</v>
      </c>
      <c r="N399" s="7">
        <v>120</v>
      </c>
      <c r="O399" s="7">
        <v>195</v>
      </c>
      <c r="P399" s="7">
        <v>300</v>
      </c>
    </row>
    <row r="400" spans="1:16" s="10" customFormat="1">
      <c r="A400" s="7">
        <f>IF(B400="","",SUBTOTAL(103,$B$2:B400))</f>
        <v>399</v>
      </c>
      <c r="B400" s="8" t="s">
        <v>1144</v>
      </c>
      <c r="C400" s="7" t="s">
        <v>1202</v>
      </c>
      <c r="D400" s="9" t="s">
        <v>1206</v>
      </c>
      <c r="E400" s="7" t="s">
        <v>1147</v>
      </c>
      <c r="F400" s="7" t="s">
        <v>1207</v>
      </c>
      <c r="G400" s="7" t="s">
        <v>1208</v>
      </c>
      <c r="H400" s="7">
        <v>0.61799999999999999</v>
      </c>
      <c r="I400" s="7">
        <v>10</v>
      </c>
      <c r="J400" s="7">
        <v>800</v>
      </c>
      <c r="K400" s="7">
        <v>600</v>
      </c>
      <c r="L400" s="7">
        <v>150</v>
      </c>
      <c r="M400" s="7">
        <v>30</v>
      </c>
      <c r="N400" s="7">
        <v>120</v>
      </c>
      <c r="O400" s="7">
        <v>195</v>
      </c>
      <c r="P400" s="7">
        <v>300</v>
      </c>
    </row>
    <row r="401" spans="1:16" s="10" customFormat="1">
      <c r="A401" s="7">
        <f>IF(B401="","",SUBTOTAL(103,$B$2:B401))</f>
        <v>400</v>
      </c>
      <c r="B401" s="8" t="s">
        <v>1144</v>
      </c>
      <c r="C401" s="7" t="s">
        <v>1209</v>
      </c>
      <c r="D401" s="9" t="s">
        <v>1210</v>
      </c>
      <c r="E401" s="7" t="s">
        <v>1147</v>
      </c>
      <c r="F401" s="7" t="s">
        <v>1211</v>
      </c>
      <c r="G401" s="7" t="s">
        <v>1212</v>
      </c>
      <c r="H401" s="7">
        <v>0.67</v>
      </c>
      <c r="I401" s="7">
        <v>6</v>
      </c>
      <c r="J401" s="7">
        <v>800</v>
      </c>
      <c r="K401" s="7">
        <v>600</v>
      </c>
      <c r="L401" s="7">
        <v>150</v>
      </c>
      <c r="M401" s="7">
        <v>30</v>
      </c>
      <c r="N401" s="7">
        <v>120</v>
      </c>
      <c r="O401" s="7">
        <v>310</v>
      </c>
      <c r="P401" s="7">
        <v>350</v>
      </c>
    </row>
    <row r="402" spans="1:16" s="10" customFormat="1">
      <c r="A402" s="7">
        <f>IF(B402="","",SUBTOTAL(103,$B$2:B402))</f>
        <v>401</v>
      </c>
      <c r="B402" s="8" t="s">
        <v>1144</v>
      </c>
      <c r="C402" s="7" t="s">
        <v>1209</v>
      </c>
      <c r="D402" s="9" t="s">
        <v>1213</v>
      </c>
      <c r="E402" s="7" t="s">
        <v>1147</v>
      </c>
      <c r="F402" s="7" t="s">
        <v>1214</v>
      </c>
      <c r="G402" s="7" t="s">
        <v>1215</v>
      </c>
      <c r="H402" s="7">
        <v>0.66800000000000004</v>
      </c>
      <c r="I402" s="7">
        <v>8</v>
      </c>
      <c r="J402" s="7">
        <v>800</v>
      </c>
      <c r="K402" s="7">
        <v>600</v>
      </c>
      <c r="L402" s="7">
        <v>150</v>
      </c>
      <c r="M402" s="7">
        <v>30</v>
      </c>
      <c r="N402" s="7">
        <v>120</v>
      </c>
      <c r="O402" s="7">
        <v>225</v>
      </c>
      <c r="P402" s="7">
        <v>250</v>
      </c>
    </row>
    <row r="403" spans="1:16" s="10" customFormat="1">
      <c r="A403" s="7">
        <f>IF(B403="","",SUBTOTAL(103,$B$2:B403))</f>
        <v>402</v>
      </c>
      <c r="B403" s="8" t="s">
        <v>1144</v>
      </c>
      <c r="C403" s="7" t="s">
        <v>1216</v>
      </c>
      <c r="D403" s="9" t="s">
        <v>1217</v>
      </c>
      <c r="E403" s="7" t="s">
        <v>1147</v>
      </c>
      <c r="F403" s="7" t="s">
        <v>1218</v>
      </c>
      <c r="G403" s="7" t="s">
        <v>1219</v>
      </c>
      <c r="H403" s="7">
        <v>0.55100000000000005</v>
      </c>
      <c r="I403" s="7">
        <v>6</v>
      </c>
      <c r="J403" s="7">
        <v>800</v>
      </c>
      <c r="K403" s="7">
        <v>600</v>
      </c>
      <c r="L403" s="7">
        <v>150</v>
      </c>
      <c r="M403" s="7">
        <v>30</v>
      </c>
      <c r="N403" s="7">
        <v>120</v>
      </c>
      <c r="O403" s="7">
        <v>310</v>
      </c>
      <c r="P403" s="7">
        <v>350</v>
      </c>
    </row>
    <row r="404" spans="1:16" s="10" customFormat="1">
      <c r="A404" s="7">
        <f>IF(B404="","",SUBTOTAL(103,$B$2:B404))</f>
        <v>403</v>
      </c>
      <c r="B404" s="8" t="s">
        <v>1144</v>
      </c>
      <c r="C404" s="7" t="s">
        <v>1216</v>
      </c>
      <c r="D404" s="9" t="s">
        <v>1220</v>
      </c>
      <c r="E404" s="7" t="s">
        <v>1147</v>
      </c>
      <c r="F404" s="7" t="s">
        <v>1221</v>
      </c>
      <c r="G404" s="7" t="s">
        <v>1222</v>
      </c>
      <c r="H404" s="7">
        <v>0.55100000000000005</v>
      </c>
      <c r="I404" s="7">
        <v>6</v>
      </c>
      <c r="J404" s="7">
        <v>800</v>
      </c>
      <c r="K404" s="7">
        <v>600</v>
      </c>
      <c r="L404" s="7">
        <v>150</v>
      </c>
      <c r="M404" s="7">
        <v>30</v>
      </c>
      <c r="N404" s="7">
        <v>120</v>
      </c>
      <c r="O404" s="7">
        <v>310</v>
      </c>
      <c r="P404" s="7">
        <v>350</v>
      </c>
    </row>
    <row r="405" spans="1:16" s="10" customFormat="1">
      <c r="A405" s="7">
        <f>IF(B405="","",SUBTOTAL(103,$B$2:B405))</f>
        <v>404</v>
      </c>
      <c r="B405" s="8" t="s">
        <v>1144</v>
      </c>
      <c r="C405" s="7" t="s">
        <v>1223</v>
      </c>
      <c r="D405" s="9" t="s">
        <v>1224</v>
      </c>
      <c r="E405" s="7" t="s">
        <v>1147</v>
      </c>
      <c r="F405" s="7" t="s">
        <v>1225</v>
      </c>
      <c r="G405" s="7" t="s">
        <v>1226</v>
      </c>
      <c r="H405" s="7">
        <v>0.49299999999999999</v>
      </c>
      <c r="I405" s="7">
        <v>9</v>
      </c>
      <c r="J405" s="7">
        <v>800</v>
      </c>
      <c r="K405" s="7">
        <v>600</v>
      </c>
      <c r="L405" s="7">
        <v>150</v>
      </c>
      <c r="M405" s="7">
        <v>30</v>
      </c>
      <c r="N405" s="7">
        <v>120</v>
      </c>
      <c r="O405" s="7">
        <v>190</v>
      </c>
      <c r="P405" s="7">
        <v>320</v>
      </c>
    </row>
    <row r="406" spans="1:16" s="10" customFormat="1">
      <c r="A406" s="7">
        <f>IF(B406="","",SUBTOTAL(103,$B$2:B406))</f>
        <v>405</v>
      </c>
      <c r="B406" s="8" t="s">
        <v>1144</v>
      </c>
      <c r="C406" s="7" t="s">
        <v>1223</v>
      </c>
      <c r="D406" s="9" t="s">
        <v>1227</v>
      </c>
      <c r="E406" s="7" t="s">
        <v>1147</v>
      </c>
      <c r="F406" s="7" t="s">
        <v>1228</v>
      </c>
      <c r="G406" s="7" t="s">
        <v>1229</v>
      </c>
      <c r="H406" s="7">
        <v>0.49299999999999999</v>
      </c>
      <c r="I406" s="7">
        <v>6</v>
      </c>
      <c r="J406" s="7">
        <v>800</v>
      </c>
      <c r="K406" s="7">
        <v>600</v>
      </c>
      <c r="L406" s="7">
        <v>150</v>
      </c>
      <c r="M406" s="7">
        <v>30</v>
      </c>
      <c r="N406" s="7">
        <v>120</v>
      </c>
      <c r="O406" s="7">
        <v>310</v>
      </c>
      <c r="P406" s="7">
        <v>350</v>
      </c>
    </row>
    <row r="407" spans="1:16" s="10" customFormat="1">
      <c r="A407" s="7">
        <f>IF(B407="","",SUBTOTAL(103,$B$2:B407))</f>
        <v>406</v>
      </c>
      <c r="B407" s="8" t="s">
        <v>1144</v>
      </c>
      <c r="C407" s="7" t="s">
        <v>1230</v>
      </c>
      <c r="D407" s="9" t="s">
        <v>1231</v>
      </c>
      <c r="E407" s="7" t="s">
        <v>1147</v>
      </c>
      <c r="F407" s="7" t="s">
        <v>1232</v>
      </c>
      <c r="G407" s="7" t="s">
        <v>1233</v>
      </c>
      <c r="H407" s="7">
        <v>0.44500000000000001</v>
      </c>
      <c r="I407" s="7">
        <v>12</v>
      </c>
      <c r="J407" s="7">
        <v>800</v>
      </c>
      <c r="K407" s="7">
        <v>600</v>
      </c>
      <c r="L407" s="7">
        <v>150</v>
      </c>
      <c r="M407" s="7">
        <v>30</v>
      </c>
      <c r="N407" s="7">
        <v>120</v>
      </c>
      <c r="O407" s="7">
        <v>150</v>
      </c>
      <c r="P407" s="7">
        <v>315.58800000000002</v>
      </c>
    </row>
    <row r="408" spans="1:16" s="10" customFormat="1">
      <c r="A408" s="7">
        <f>IF(B408="","",SUBTOTAL(103,$B$2:B408))</f>
        <v>407</v>
      </c>
      <c r="B408" s="8" t="s">
        <v>1144</v>
      </c>
      <c r="C408" s="7" t="s">
        <v>1230</v>
      </c>
      <c r="D408" s="9" t="s">
        <v>1234</v>
      </c>
      <c r="E408" s="7" t="s">
        <v>1147</v>
      </c>
      <c r="F408" s="7" t="s">
        <v>1235</v>
      </c>
      <c r="G408" s="7" t="s">
        <v>1236</v>
      </c>
      <c r="H408" s="7">
        <v>0.44500000000000001</v>
      </c>
      <c r="I408" s="7">
        <v>12</v>
      </c>
      <c r="J408" s="7">
        <v>800</v>
      </c>
      <c r="K408" s="7">
        <v>600</v>
      </c>
      <c r="L408" s="7">
        <v>150</v>
      </c>
      <c r="M408" s="7">
        <v>30</v>
      </c>
      <c r="N408" s="7">
        <v>120</v>
      </c>
      <c r="O408" s="7">
        <v>150</v>
      </c>
      <c r="P408" s="7">
        <v>315.58800000000002</v>
      </c>
    </row>
    <row r="409" spans="1:16" s="10" customFormat="1">
      <c r="A409" s="7">
        <f>IF(B409="","",SUBTOTAL(103,$B$2:B409))</f>
        <v>408</v>
      </c>
      <c r="B409" s="8" t="s">
        <v>1144</v>
      </c>
      <c r="C409" s="7" t="s">
        <v>1237</v>
      </c>
      <c r="D409" s="9" t="s">
        <v>1238</v>
      </c>
      <c r="E409" s="7" t="s">
        <v>1147</v>
      </c>
      <c r="F409" s="7" t="s">
        <v>1239</v>
      </c>
      <c r="G409" s="7" t="s">
        <v>1240</v>
      </c>
      <c r="H409" s="7">
        <v>0.85499999999999998</v>
      </c>
      <c r="I409" s="7">
        <v>3</v>
      </c>
      <c r="J409" s="7">
        <v>800</v>
      </c>
      <c r="K409" s="7">
        <v>600</v>
      </c>
      <c r="L409" s="7">
        <v>150</v>
      </c>
      <c r="M409" s="7">
        <v>30</v>
      </c>
      <c r="N409" s="7">
        <v>120</v>
      </c>
      <c r="O409" s="7">
        <v>650</v>
      </c>
      <c r="P409" s="7">
        <v>675</v>
      </c>
    </row>
    <row r="410" spans="1:16" s="10" customFormat="1">
      <c r="A410" s="7">
        <f>IF(B410="","",SUBTOTAL(103,$B$2:B410))</f>
        <v>409</v>
      </c>
      <c r="B410" s="8" t="s">
        <v>1144</v>
      </c>
      <c r="C410" s="7" t="s">
        <v>1237</v>
      </c>
      <c r="D410" s="9" t="s">
        <v>1241</v>
      </c>
      <c r="E410" s="7" t="s">
        <v>1147</v>
      </c>
      <c r="F410" s="7" t="s">
        <v>1242</v>
      </c>
      <c r="G410" s="7" t="s">
        <v>1243</v>
      </c>
      <c r="H410" s="7">
        <v>0.85499999999999998</v>
      </c>
      <c r="I410" s="7">
        <v>3</v>
      </c>
      <c r="J410" s="7">
        <v>800</v>
      </c>
      <c r="K410" s="7">
        <v>600</v>
      </c>
      <c r="L410" s="7">
        <v>150</v>
      </c>
      <c r="M410" s="7">
        <v>30</v>
      </c>
      <c r="N410" s="7">
        <v>120</v>
      </c>
      <c r="O410" s="7">
        <v>650</v>
      </c>
      <c r="P410" s="7">
        <v>675</v>
      </c>
    </row>
    <row r="411" spans="1:16" s="10" customFormat="1">
      <c r="A411" s="7">
        <f>IF(B411="","",SUBTOTAL(103,$B$2:B411))</f>
        <v>410</v>
      </c>
      <c r="B411" s="8" t="s">
        <v>1144</v>
      </c>
      <c r="C411" s="7" t="s">
        <v>1244</v>
      </c>
      <c r="D411" s="9" t="s">
        <v>1245</v>
      </c>
      <c r="E411" s="7" t="s">
        <v>1147</v>
      </c>
      <c r="F411" s="7" t="s">
        <v>1246</v>
      </c>
      <c r="G411" s="7" t="s">
        <v>1247</v>
      </c>
      <c r="H411" s="7">
        <v>1.0089999999999999</v>
      </c>
      <c r="I411" s="7">
        <v>4</v>
      </c>
      <c r="J411" s="7">
        <v>800</v>
      </c>
      <c r="K411" s="7">
        <v>600</v>
      </c>
      <c r="L411" s="7">
        <v>150</v>
      </c>
      <c r="M411" s="7">
        <v>30</v>
      </c>
      <c r="N411" s="7">
        <v>120</v>
      </c>
      <c r="O411" s="7">
        <v>500</v>
      </c>
      <c r="P411" s="7">
        <v>600</v>
      </c>
    </row>
    <row r="412" spans="1:16" s="10" customFormat="1">
      <c r="A412" s="7">
        <f>IF(B412="","",SUBTOTAL(103,$B$2:B412))</f>
        <v>411</v>
      </c>
      <c r="B412" s="8" t="s">
        <v>1144</v>
      </c>
      <c r="C412" s="7" t="s">
        <v>1244</v>
      </c>
      <c r="D412" s="9" t="s">
        <v>1248</v>
      </c>
      <c r="E412" s="7" t="s">
        <v>1147</v>
      </c>
      <c r="F412" s="7" t="s">
        <v>1249</v>
      </c>
      <c r="G412" s="7" t="s">
        <v>1250</v>
      </c>
      <c r="H412" s="7">
        <v>1.0089999999999999</v>
      </c>
      <c r="I412" s="7">
        <v>4</v>
      </c>
      <c r="J412" s="7">
        <v>800</v>
      </c>
      <c r="K412" s="7">
        <v>600</v>
      </c>
      <c r="L412" s="7">
        <v>150</v>
      </c>
      <c r="M412" s="7">
        <v>30</v>
      </c>
      <c r="N412" s="7">
        <v>120</v>
      </c>
      <c r="O412" s="7">
        <v>500</v>
      </c>
      <c r="P412" s="7">
        <v>600</v>
      </c>
    </row>
    <row r="413" spans="1:16" s="10" customFormat="1">
      <c r="A413" s="7">
        <f>IF(B413="","",SUBTOTAL(103,$B$2:B413))</f>
        <v>412</v>
      </c>
      <c r="B413" s="8" t="s">
        <v>1144</v>
      </c>
      <c r="C413" s="7" t="s">
        <v>1251</v>
      </c>
      <c r="D413" s="9" t="s">
        <v>1252</v>
      </c>
      <c r="E413" s="7" t="s">
        <v>1147</v>
      </c>
      <c r="F413" s="7" t="s">
        <v>1253</v>
      </c>
      <c r="G413" s="7" t="s">
        <v>1254</v>
      </c>
      <c r="H413" s="7">
        <v>0.91100000000000003</v>
      </c>
      <c r="I413" s="7">
        <v>3</v>
      </c>
      <c r="J413" s="7">
        <v>800</v>
      </c>
      <c r="K413" s="7">
        <v>600</v>
      </c>
      <c r="L413" s="7">
        <v>150</v>
      </c>
      <c r="M413" s="7">
        <v>30</v>
      </c>
      <c r="N413" s="7">
        <v>120</v>
      </c>
      <c r="O413" s="7">
        <v>650</v>
      </c>
      <c r="P413" s="7">
        <v>675</v>
      </c>
    </row>
    <row r="414" spans="1:16" s="10" customFormat="1">
      <c r="A414" s="7">
        <f>IF(B414="","",SUBTOTAL(103,$B$2:B414))</f>
        <v>413</v>
      </c>
      <c r="B414" s="8" t="s">
        <v>1144</v>
      </c>
      <c r="C414" s="7" t="s">
        <v>1237</v>
      </c>
      <c r="D414" s="9" t="s">
        <v>1255</v>
      </c>
      <c r="E414" s="7" t="s">
        <v>1147</v>
      </c>
      <c r="F414" s="7" t="s">
        <v>1256</v>
      </c>
      <c r="G414" s="7" t="s">
        <v>1257</v>
      </c>
      <c r="H414" s="7">
        <v>0.91100000000000003</v>
      </c>
      <c r="I414" s="7">
        <v>3</v>
      </c>
      <c r="J414" s="7">
        <v>800</v>
      </c>
      <c r="K414" s="7">
        <v>600</v>
      </c>
      <c r="L414" s="7">
        <v>150</v>
      </c>
      <c r="M414" s="7">
        <v>30</v>
      </c>
      <c r="N414" s="7">
        <v>120</v>
      </c>
      <c r="O414" s="7">
        <v>650</v>
      </c>
      <c r="P414" s="7">
        <v>675</v>
      </c>
    </row>
    <row r="415" spans="1:16" s="10" customFormat="1">
      <c r="A415" s="7">
        <f>IF(B415="","",SUBTOTAL(103,$B$2:B415))</f>
        <v>414</v>
      </c>
      <c r="B415" s="8" t="s">
        <v>1144</v>
      </c>
      <c r="C415" s="7" t="s">
        <v>1258</v>
      </c>
      <c r="D415" s="9" t="s">
        <v>1259</v>
      </c>
      <c r="E415" s="7" t="s">
        <v>1147</v>
      </c>
      <c r="F415" s="7" t="s">
        <v>1260</v>
      </c>
      <c r="G415" s="7" t="s">
        <v>1261</v>
      </c>
      <c r="H415" s="7">
        <v>0.26400000000000001</v>
      </c>
      <c r="I415" s="7">
        <v>24</v>
      </c>
      <c r="J415" s="7">
        <v>800</v>
      </c>
      <c r="K415" s="7">
        <v>600</v>
      </c>
      <c r="L415" s="7">
        <v>150</v>
      </c>
      <c r="M415" s="7">
        <v>30</v>
      </c>
      <c r="N415" s="7">
        <v>120</v>
      </c>
      <c r="O415" s="7">
        <v>75</v>
      </c>
      <c r="P415" s="7">
        <v>265</v>
      </c>
    </row>
    <row r="416" spans="1:16" s="10" customFormat="1">
      <c r="A416" s="7">
        <f>IF(B416="","",SUBTOTAL(103,$B$2:B416))</f>
        <v>415</v>
      </c>
      <c r="B416" s="8" t="s">
        <v>1144</v>
      </c>
      <c r="C416" s="7" t="s">
        <v>1258</v>
      </c>
      <c r="D416" s="9" t="s">
        <v>1262</v>
      </c>
      <c r="E416" s="7" t="s">
        <v>1147</v>
      </c>
      <c r="F416" s="7" t="s">
        <v>1263</v>
      </c>
      <c r="G416" s="7" t="s">
        <v>1264</v>
      </c>
      <c r="H416" s="7">
        <v>0.26400000000000001</v>
      </c>
      <c r="I416" s="7">
        <v>24</v>
      </c>
      <c r="J416" s="7">
        <v>800</v>
      </c>
      <c r="K416" s="7">
        <v>600</v>
      </c>
      <c r="L416" s="7">
        <v>150</v>
      </c>
      <c r="M416" s="7">
        <v>30</v>
      </c>
      <c r="N416" s="7">
        <v>120</v>
      </c>
      <c r="O416" s="7">
        <v>75</v>
      </c>
      <c r="P416" s="7">
        <v>265</v>
      </c>
    </row>
    <row r="417" spans="1:16" s="10" customFormat="1">
      <c r="A417" s="7">
        <f>IF(B417="","",SUBTOTAL(103,$B$2:B417))</f>
        <v>416</v>
      </c>
      <c r="B417" s="8" t="s">
        <v>1144</v>
      </c>
      <c r="C417" s="7" t="s">
        <v>1265</v>
      </c>
      <c r="D417" s="9" t="s">
        <v>1266</v>
      </c>
      <c r="E417" s="7" t="s">
        <v>1147</v>
      </c>
      <c r="F417" s="7" t="s">
        <v>1267</v>
      </c>
      <c r="G417" s="7" t="s">
        <v>1268</v>
      </c>
      <c r="H417" s="7">
        <v>0.17599999999999999</v>
      </c>
      <c r="I417" s="7">
        <v>12</v>
      </c>
      <c r="J417" s="7">
        <v>800</v>
      </c>
      <c r="K417" s="7">
        <v>600</v>
      </c>
      <c r="L417" s="7">
        <v>150</v>
      </c>
      <c r="M417" s="7">
        <v>30</v>
      </c>
      <c r="N417" s="7">
        <v>120</v>
      </c>
      <c r="O417" s="7">
        <v>150</v>
      </c>
      <c r="P417" s="7">
        <v>265</v>
      </c>
    </row>
    <row r="418" spans="1:16" s="10" customFormat="1">
      <c r="A418" s="7">
        <f>IF(B418="","",SUBTOTAL(103,$B$2:B418))</f>
        <v>417</v>
      </c>
      <c r="B418" s="8" t="s">
        <v>1144</v>
      </c>
      <c r="C418" s="7" t="s">
        <v>1265</v>
      </c>
      <c r="D418" s="9" t="s">
        <v>1269</v>
      </c>
      <c r="E418" s="7" t="s">
        <v>1147</v>
      </c>
      <c r="F418" s="7" t="s">
        <v>1270</v>
      </c>
      <c r="G418" s="7" t="s">
        <v>1271</v>
      </c>
      <c r="H418" s="7">
        <v>0.17599999999999999</v>
      </c>
      <c r="I418" s="7">
        <v>12</v>
      </c>
      <c r="J418" s="7">
        <v>800</v>
      </c>
      <c r="K418" s="7">
        <v>600</v>
      </c>
      <c r="L418" s="7">
        <v>150</v>
      </c>
      <c r="M418" s="7">
        <v>30</v>
      </c>
      <c r="N418" s="7">
        <v>120</v>
      </c>
      <c r="O418" s="7">
        <v>150</v>
      </c>
      <c r="P418" s="7">
        <v>265</v>
      </c>
    </row>
    <row r="419" spans="1:16" s="10" customFormat="1">
      <c r="A419" s="7">
        <f>IF(B419="","",SUBTOTAL(103,$B$2:B419))</f>
        <v>418</v>
      </c>
      <c r="B419" s="8" t="s">
        <v>1144</v>
      </c>
      <c r="C419" s="7" t="s">
        <v>1272</v>
      </c>
      <c r="D419" s="9" t="s">
        <v>1273</v>
      </c>
      <c r="E419" s="7" t="s">
        <v>1147</v>
      </c>
      <c r="F419" s="7" t="s">
        <v>1274</v>
      </c>
      <c r="G419" s="7" t="s">
        <v>1275</v>
      </c>
      <c r="H419" s="7">
        <v>0.21299999999999999</v>
      </c>
      <c r="I419" s="7">
        <v>20</v>
      </c>
      <c r="J419" s="7">
        <v>800</v>
      </c>
      <c r="K419" s="7">
        <v>600</v>
      </c>
      <c r="L419" s="7">
        <v>150</v>
      </c>
      <c r="M419" s="7">
        <v>30</v>
      </c>
      <c r="N419" s="7">
        <v>120</v>
      </c>
      <c r="O419" s="7">
        <v>95</v>
      </c>
      <c r="P419" s="7">
        <v>265</v>
      </c>
    </row>
    <row r="420" spans="1:16" s="10" customFormat="1">
      <c r="A420" s="7">
        <f>IF(B420="","",SUBTOTAL(103,$B$2:B420))</f>
        <v>419</v>
      </c>
      <c r="B420" s="8" t="s">
        <v>1144</v>
      </c>
      <c r="C420" s="7" t="s">
        <v>1272</v>
      </c>
      <c r="D420" s="9" t="s">
        <v>1276</v>
      </c>
      <c r="E420" s="7" t="s">
        <v>1147</v>
      </c>
      <c r="F420" s="7" t="s">
        <v>1277</v>
      </c>
      <c r="G420" s="7" t="s">
        <v>1278</v>
      </c>
      <c r="H420" s="7">
        <v>0.21299999999999999</v>
      </c>
      <c r="I420" s="7">
        <v>20</v>
      </c>
      <c r="J420" s="7">
        <v>800</v>
      </c>
      <c r="K420" s="7">
        <v>600</v>
      </c>
      <c r="L420" s="7">
        <v>150</v>
      </c>
      <c r="M420" s="7">
        <v>30</v>
      </c>
      <c r="N420" s="7">
        <v>120</v>
      </c>
      <c r="O420" s="7">
        <v>95</v>
      </c>
      <c r="P420" s="7">
        <v>265</v>
      </c>
    </row>
    <row r="421" spans="1:16" s="10" customFormat="1">
      <c r="A421" s="7">
        <f>IF(B421="","",SUBTOTAL(103,$B$2:B421))</f>
        <v>420</v>
      </c>
      <c r="B421" s="8" t="s">
        <v>1144</v>
      </c>
      <c r="C421" s="7" t="s">
        <v>1279</v>
      </c>
      <c r="D421" s="9" t="s">
        <v>1280</v>
      </c>
      <c r="E421" s="7" t="s">
        <v>1147</v>
      </c>
      <c r="F421" s="7" t="s">
        <v>1281</v>
      </c>
      <c r="G421" s="7" t="s">
        <v>1282</v>
      </c>
      <c r="H421" s="7">
        <v>9.7000000000000003E-2</v>
      </c>
      <c r="I421" s="7">
        <v>44</v>
      </c>
      <c r="J421" s="7">
        <v>800</v>
      </c>
      <c r="K421" s="7">
        <v>600</v>
      </c>
      <c r="L421" s="7">
        <v>150</v>
      </c>
      <c r="M421" s="7">
        <v>30</v>
      </c>
      <c r="N421" s="7">
        <v>120</v>
      </c>
      <c r="O421" s="7">
        <v>45</v>
      </c>
      <c r="P421" s="7">
        <v>265</v>
      </c>
    </row>
    <row r="422" spans="1:16" s="10" customFormat="1">
      <c r="A422" s="7">
        <f>IF(B422="","",SUBTOTAL(103,$B$2:B422))</f>
        <v>421</v>
      </c>
      <c r="B422" s="8" t="s">
        <v>1144</v>
      </c>
      <c r="C422" s="7" t="s">
        <v>1279</v>
      </c>
      <c r="D422" s="9" t="s">
        <v>1283</v>
      </c>
      <c r="E422" s="7" t="s">
        <v>1147</v>
      </c>
      <c r="F422" s="7" t="s">
        <v>1284</v>
      </c>
      <c r="G422" s="7" t="s">
        <v>1285</v>
      </c>
      <c r="H422" s="7">
        <v>9.7000000000000003E-2</v>
      </c>
      <c r="I422" s="7">
        <v>44</v>
      </c>
      <c r="J422" s="7">
        <v>800</v>
      </c>
      <c r="K422" s="7">
        <v>600</v>
      </c>
      <c r="L422" s="7">
        <v>150</v>
      </c>
      <c r="M422" s="7">
        <v>30</v>
      </c>
      <c r="N422" s="7">
        <v>120</v>
      </c>
      <c r="O422" s="7">
        <v>45</v>
      </c>
      <c r="P422" s="7">
        <v>265</v>
      </c>
    </row>
    <row r="423" spans="1:16" s="10" customFormat="1">
      <c r="A423" s="7">
        <f>IF(B423="","",SUBTOTAL(103,$B$2:B423))</f>
        <v>422</v>
      </c>
      <c r="B423" s="8" t="s">
        <v>1144</v>
      </c>
      <c r="C423" s="7" t="s">
        <v>1286</v>
      </c>
      <c r="D423" s="9" t="s">
        <v>1287</v>
      </c>
      <c r="E423" s="7" t="s">
        <v>1147</v>
      </c>
      <c r="F423" s="7" t="s">
        <v>1288</v>
      </c>
      <c r="G423" s="7" t="s">
        <v>1289</v>
      </c>
      <c r="H423" s="7">
        <v>8.4000000000000005E-2</v>
      </c>
      <c r="I423" s="7">
        <v>24</v>
      </c>
      <c r="J423" s="7">
        <v>800</v>
      </c>
      <c r="K423" s="7">
        <v>600</v>
      </c>
      <c r="L423" s="7">
        <v>150</v>
      </c>
      <c r="M423" s="7">
        <v>30</v>
      </c>
      <c r="N423" s="7">
        <v>120</v>
      </c>
      <c r="O423" s="7">
        <v>75</v>
      </c>
      <c r="P423" s="7">
        <v>265</v>
      </c>
    </row>
    <row r="424" spans="1:16" s="10" customFormat="1">
      <c r="A424" s="7">
        <f>IF(B424="","",SUBTOTAL(103,$B$2:B424))</f>
        <v>423</v>
      </c>
      <c r="B424" s="8" t="s">
        <v>1144</v>
      </c>
      <c r="C424" s="7" t="s">
        <v>1160</v>
      </c>
      <c r="D424" s="9" t="s">
        <v>1290</v>
      </c>
      <c r="E424" s="7" t="s">
        <v>1291</v>
      </c>
      <c r="F424" s="7" t="s">
        <v>1162</v>
      </c>
      <c r="G424" s="7" t="s">
        <v>1292</v>
      </c>
      <c r="H424" s="7">
        <v>0.379</v>
      </c>
      <c r="I424" s="7">
        <v>12</v>
      </c>
      <c r="J424" s="7">
        <v>800</v>
      </c>
      <c r="K424" s="7">
        <v>600</v>
      </c>
      <c r="L424" s="7">
        <v>150</v>
      </c>
      <c r="M424" s="7">
        <v>30</v>
      </c>
      <c r="N424" s="7">
        <v>120</v>
      </c>
      <c r="O424" s="7">
        <v>150</v>
      </c>
      <c r="P424" s="7">
        <v>310.38599999999997</v>
      </c>
    </row>
    <row r="425" spans="1:16" s="10" customFormat="1">
      <c r="A425" s="7">
        <f>IF(B425="","",SUBTOTAL(103,$B$2:B425))</f>
        <v>424</v>
      </c>
      <c r="B425" s="8" t="s">
        <v>1144</v>
      </c>
      <c r="C425" s="7" t="s">
        <v>1223</v>
      </c>
      <c r="D425" s="9" t="s">
        <v>1293</v>
      </c>
      <c r="E425" s="7" t="s">
        <v>1291</v>
      </c>
      <c r="F425" s="7" t="s">
        <v>1225</v>
      </c>
      <c r="G425" s="7" t="s">
        <v>1294</v>
      </c>
      <c r="H425" s="7">
        <v>0.49299999999999999</v>
      </c>
      <c r="I425" s="7">
        <v>9</v>
      </c>
      <c r="J425" s="7">
        <v>800</v>
      </c>
      <c r="K425" s="7">
        <v>600</v>
      </c>
      <c r="L425" s="7">
        <v>150</v>
      </c>
      <c r="M425" s="7">
        <v>30</v>
      </c>
      <c r="N425" s="7">
        <v>120</v>
      </c>
      <c r="O425" s="7">
        <v>190</v>
      </c>
      <c r="P425" s="7">
        <v>320</v>
      </c>
    </row>
    <row r="426" spans="1:16" s="10" customFormat="1">
      <c r="A426" s="7">
        <f>IF(B426="","",SUBTOTAL(103,$B$2:B426))</f>
        <v>425</v>
      </c>
      <c r="B426" s="8" t="s">
        <v>1144</v>
      </c>
      <c r="C426" s="7" t="s">
        <v>1258</v>
      </c>
      <c r="D426" s="9" t="s">
        <v>1295</v>
      </c>
      <c r="E426" s="7" t="s">
        <v>1291</v>
      </c>
      <c r="F426" s="7" t="s">
        <v>1260</v>
      </c>
      <c r="G426" s="7" t="s">
        <v>1296</v>
      </c>
      <c r="H426" s="7">
        <v>0.26400000000000001</v>
      </c>
      <c r="I426" s="7">
        <v>24</v>
      </c>
      <c r="J426" s="7">
        <v>800</v>
      </c>
      <c r="K426" s="7">
        <v>600</v>
      </c>
      <c r="L426" s="7">
        <v>150</v>
      </c>
      <c r="M426" s="7">
        <v>30</v>
      </c>
      <c r="N426" s="7">
        <v>120</v>
      </c>
      <c r="O426" s="7">
        <v>75</v>
      </c>
      <c r="P426" s="7">
        <v>265</v>
      </c>
    </row>
    <row r="427" spans="1:16" s="10" customFormat="1">
      <c r="A427" s="7">
        <f>IF(B427="","",SUBTOTAL(103,$B$2:B427))</f>
        <v>426</v>
      </c>
      <c r="B427" s="8" t="s">
        <v>1297</v>
      </c>
      <c r="C427" s="7" t="s">
        <v>1005</v>
      </c>
      <c r="D427" s="9" t="s">
        <v>1298</v>
      </c>
      <c r="E427" s="7" t="s">
        <v>1299</v>
      </c>
      <c r="F427" s="7" t="s">
        <v>1300</v>
      </c>
      <c r="G427" s="7" t="s">
        <v>1301</v>
      </c>
      <c r="H427" s="7">
        <v>0.47</v>
      </c>
      <c r="I427" s="7">
        <v>10</v>
      </c>
      <c r="J427" s="7">
        <v>800</v>
      </c>
      <c r="K427" s="7">
        <v>600</v>
      </c>
      <c r="L427" s="7">
        <v>150</v>
      </c>
      <c r="M427" s="7">
        <v>30</v>
      </c>
      <c r="N427" s="7">
        <v>120</v>
      </c>
      <c r="O427" s="7">
        <v>195</v>
      </c>
      <c r="P427" s="7">
        <v>300</v>
      </c>
    </row>
    <row r="428" spans="1:16" s="10" customFormat="1">
      <c r="A428" s="7">
        <f>IF(B428="","",SUBTOTAL(103,$B$2:B428))</f>
        <v>427</v>
      </c>
      <c r="B428" s="8" t="s">
        <v>1297</v>
      </c>
      <c r="C428" s="7" t="s">
        <v>1005</v>
      </c>
      <c r="D428" s="9" t="s">
        <v>1302</v>
      </c>
      <c r="E428" s="7" t="s">
        <v>1299</v>
      </c>
      <c r="F428" s="7" t="s">
        <v>1303</v>
      </c>
      <c r="G428" s="7" t="s">
        <v>1304</v>
      </c>
      <c r="H428" s="7">
        <v>0.45</v>
      </c>
      <c r="I428" s="7">
        <v>10</v>
      </c>
      <c r="J428" s="7">
        <v>800</v>
      </c>
      <c r="K428" s="7">
        <v>600</v>
      </c>
      <c r="L428" s="7">
        <v>150</v>
      </c>
      <c r="M428" s="7">
        <v>30</v>
      </c>
      <c r="N428" s="7">
        <v>120</v>
      </c>
      <c r="O428" s="7">
        <v>195</v>
      </c>
      <c r="P428" s="7">
        <v>300</v>
      </c>
    </row>
    <row r="429" spans="1:16" s="10" customFormat="1">
      <c r="A429" s="7">
        <f>IF(B429="","",SUBTOTAL(103,$B$2:B429))</f>
        <v>428</v>
      </c>
      <c r="B429" s="8" t="s">
        <v>1297</v>
      </c>
      <c r="C429" s="7" t="s">
        <v>1013</v>
      </c>
      <c r="D429" s="9" t="s">
        <v>1305</v>
      </c>
      <c r="E429" s="7" t="s">
        <v>1299</v>
      </c>
      <c r="F429" s="7" t="s">
        <v>1306</v>
      </c>
      <c r="G429" s="7" t="s">
        <v>1307</v>
      </c>
      <c r="H429" s="7">
        <v>0.17199999999999999</v>
      </c>
      <c r="I429" s="7">
        <v>24</v>
      </c>
      <c r="J429" s="7">
        <v>800</v>
      </c>
      <c r="K429" s="7">
        <v>600</v>
      </c>
      <c r="L429" s="7">
        <v>150</v>
      </c>
      <c r="M429" s="7">
        <v>30</v>
      </c>
      <c r="N429" s="7">
        <v>120</v>
      </c>
      <c r="O429" s="7">
        <v>75</v>
      </c>
      <c r="P429" s="7">
        <v>235</v>
      </c>
    </row>
    <row r="430" spans="1:16" s="10" customFormat="1">
      <c r="A430" s="7">
        <f>IF(B430="","",SUBTOTAL(103,$B$2:B430))</f>
        <v>429</v>
      </c>
      <c r="B430" s="8" t="s">
        <v>1297</v>
      </c>
      <c r="C430" s="7" t="s">
        <v>1013</v>
      </c>
      <c r="D430" s="9" t="s">
        <v>1308</v>
      </c>
      <c r="E430" s="7" t="s">
        <v>1299</v>
      </c>
      <c r="F430" s="7" t="s">
        <v>1309</v>
      </c>
      <c r="G430" s="7" t="s">
        <v>1310</v>
      </c>
      <c r="H430" s="7">
        <v>0.17399999999999999</v>
      </c>
      <c r="I430" s="7">
        <v>24</v>
      </c>
      <c r="J430" s="7">
        <v>800</v>
      </c>
      <c r="K430" s="7">
        <v>600</v>
      </c>
      <c r="L430" s="7">
        <v>150</v>
      </c>
      <c r="M430" s="7">
        <v>30</v>
      </c>
      <c r="N430" s="7">
        <v>120</v>
      </c>
      <c r="O430" s="7">
        <v>75</v>
      </c>
      <c r="P430" s="7">
        <v>235</v>
      </c>
    </row>
    <row r="431" spans="1:16" s="10" customFormat="1">
      <c r="A431" s="7">
        <f>IF(B431="","",SUBTOTAL(103,$B$2:B431))</f>
        <v>430</v>
      </c>
      <c r="B431" s="8" t="s">
        <v>1297</v>
      </c>
      <c r="C431" s="7" t="s">
        <v>1020</v>
      </c>
      <c r="D431" s="9" t="s">
        <v>1311</v>
      </c>
      <c r="E431" s="7" t="s">
        <v>1299</v>
      </c>
      <c r="F431" s="7" t="s">
        <v>1312</v>
      </c>
      <c r="G431" s="7" t="s">
        <v>1313</v>
      </c>
      <c r="H431" s="7">
        <v>8.3000000000000004E-2</v>
      </c>
      <c r="I431" s="7">
        <v>44</v>
      </c>
      <c r="J431" s="7">
        <v>800</v>
      </c>
      <c r="K431" s="7">
        <v>600</v>
      </c>
      <c r="L431" s="7">
        <v>150</v>
      </c>
      <c r="M431" s="7">
        <v>30</v>
      </c>
      <c r="N431" s="7">
        <v>120</v>
      </c>
      <c r="O431" s="7">
        <v>45</v>
      </c>
      <c r="P431" s="7">
        <v>200</v>
      </c>
    </row>
    <row r="432" spans="1:16" s="10" customFormat="1">
      <c r="A432" s="7">
        <f>IF(B432="","",SUBTOTAL(103,$B$2:B432))</f>
        <v>431</v>
      </c>
      <c r="B432" s="8" t="s">
        <v>1297</v>
      </c>
      <c r="C432" s="7" t="s">
        <v>1020</v>
      </c>
      <c r="D432" s="9" t="s">
        <v>1314</v>
      </c>
      <c r="E432" s="7" t="s">
        <v>1299</v>
      </c>
      <c r="F432" s="7" t="s">
        <v>1315</v>
      </c>
      <c r="G432" s="7" t="s">
        <v>1316</v>
      </c>
      <c r="H432" s="7">
        <v>8.3000000000000004E-2</v>
      </c>
      <c r="I432" s="7">
        <v>44</v>
      </c>
      <c r="J432" s="7">
        <v>800</v>
      </c>
      <c r="K432" s="7">
        <v>600</v>
      </c>
      <c r="L432" s="7">
        <v>150</v>
      </c>
      <c r="M432" s="7">
        <v>30</v>
      </c>
      <c r="N432" s="7">
        <v>120</v>
      </c>
      <c r="O432" s="7">
        <v>45</v>
      </c>
      <c r="P432" s="7">
        <v>200</v>
      </c>
    </row>
    <row r="433" spans="1:16" s="10" customFormat="1">
      <c r="A433" s="7">
        <f>IF(B433="","",SUBTOTAL(103,$B$2:B433))</f>
        <v>432</v>
      </c>
      <c r="B433" s="8" t="s">
        <v>1297</v>
      </c>
      <c r="C433" s="7" t="s">
        <v>1083</v>
      </c>
      <c r="D433" s="9" t="s">
        <v>1317</v>
      </c>
      <c r="E433" s="7" t="s">
        <v>1299</v>
      </c>
      <c r="F433" s="7" t="s">
        <v>1318</v>
      </c>
      <c r="G433" s="7" t="s">
        <v>1319</v>
      </c>
      <c r="H433" s="7">
        <v>6.9000000000000006E-2</v>
      </c>
      <c r="I433" s="7">
        <v>48</v>
      </c>
      <c r="J433" s="7">
        <v>800</v>
      </c>
      <c r="K433" s="7">
        <v>600</v>
      </c>
      <c r="L433" s="7">
        <v>150</v>
      </c>
      <c r="M433" s="7">
        <v>30</v>
      </c>
      <c r="N433" s="7">
        <v>120</v>
      </c>
      <c r="O433" s="7">
        <v>41</v>
      </c>
      <c r="P433" s="7">
        <v>170</v>
      </c>
    </row>
    <row r="434" spans="1:16" s="10" customFormat="1">
      <c r="A434" s="7">
        <f>IF(B434="","",SUBTOTAL(103,$B$2:B434))</f>
        <v>433</v>
      </c>
      <c r="B434" s="8" t="s">
        <v>1297</v>
      </c>
      <c r="C434" s="7" t="s">
        <v>1320</v>
      </c>
      <c r="D434" s="9" t="s">
        <v>1321</v>
      </c>
      <c r="E434" s="7" t="s">
        <v>1299</v>
      </c>
      <c r="F434" s="7" t="s">
        <v>1322</v>
      </c>
      <c r="G434" s="7" t="s">
        <v>1323</v>
      </c>
      <c r="H434" s="7">
        <v>6.9000000000000006E-2</v>
      </c>
      <c r="I434" s="7">
        <v>48</v>
      </c>
      <c r="J434" s="7">
        <v>800</v>
      </c>
      <c r="K434" s="7">
        <v>600</v>
      </c>
      <c r="L434" s="7">
        <v>150</v>
      </c>
      <c r="M434" s="7">
        <v>30</v>
      </c>
      <c r="N434" s="7">
        <v>120</v>
      </c>
      <c r="O434" s="7">
        <v>41</v>
      </c>
      <c r="P434" s="7">
        <v>155</v>
      </c>
    </row>
    <row r="435" spans="1:16" s="10" customFormat="1">
      <c r="A435" s="7">
        <f>IF(B435="","",SUBTOTAL(103,$B$2:B435))</f>
        <v>434</v>
      </c>
      <c r="B435" s="8" t="s">
        <v>1297</v>
      </c>
      <c r="C435" s="7" t="s">
        <v>1024</v>
      </c>
      <c r="D435" s="9" t="s">
        <v>1324</v>
      </c>
      <c r="E435" s="7" t="s">
        <v>1299</v>
      </c>
      <c r="F435" s="7" t="s">
        <v>1325</v>
      </c>
      <c r="G435" s="7" t="s">
        <v>1326</v>
      </c>
      <c r="H435" s="7">
        <v>0.90300000000000002</v>
      </c>
      <c r="I435" s="7">
        <v>8</v>
      </c>
      <c r="J435" s="7">
        <v>800</v>
      </c>
      <c r="K435" s="7">
        <v>600</v>
      </c>
      <c r="L435" s="7">
        <v>150</v>
      </c>
      <c r="M435" s="7">
        <v>30</v>
      </c>
      <c r="N435" s="7">
        <v>120</v>
      </c>
      <c r="O435" s="7">
        <v>225</v>
      </c>
      <c r="P435" s="7">
        <v>250</v>
      </c>
    </row>
    <row r="436" spans="1:16" s="10" customFormat="1">
      <c r="A436" s="7">
        <f>IF(B436="","",SUBTOTAL(103,$B$2:B436))</f>
        <v>435</v>
      </c>
      <c r="B436" s="8" t="s">
        <v>1297</v>
      </c>
      <c r="C436" s="7" t="s">
        <v>1024</v>
      </c>
      <c r="D436" s="9" t="s">
        <v>1327</v>
      </c>
      <c r="E436" s="7" t="s">
        <v>1299</v>
      </c>
      <c r="F436" s="7" t="s">
        <v>1328</v>
      </c>
      <c r="G436" s="7" t="s">
        <v>1329</v>
      </c>
      <c r="H436" s="7">
        <v>0.90300000000000002</v>
      </c>
      <c r="I436" s="7">
        <v>8</v>
      </c>
      <c r="J436" s="7">
        <v>800</v>
      </c>
      <c r="K436" s="7">
        <v>600</v>
      </c>
      <c r="L436" s="7">
        <v>150</v>
      </c>
      <c r="M436" s="7">
        <v>30</v>
      </c>
      <c r="N436" s="7">
        <v>120</v>
      </c>
      <c r="O436" s="7">
        <v>225</v>
      </c>
      <c r="P436" s="7">
        <v>250</v>
      </c>
    </row>
    <row r="437" spans="1:16" s="10" customFormat="1">
      <c r="A437" s="7">
        <f>IF(B437="","",SUBTOTAL(103,$B$2:B437))</f>
        <v>436</v>
      </c>
      <c r="B437" s="8" t="s">
        <v>1297</v>
      </c>
      <c r="C437" s="7" t="s">
        <v>1031</v>
      </c>
      <c r="D437" s="9" t="s">
        <v>1330</v>
      </c>
      <c r="E437" s="7" t="s">
        <v>1299</v>
      </c>
      <c r="F437" s="7" t="s">
        <v>1331</v>
      </c>
      <c r="G437" s="7" t="s">
        <v>1332</v>
      </c>
      <c r="H437" s="7">
        <v>0.68600000000000005</v>
      </c>
      <c r="I437" s="7">
        <v>6</v>
      </c>
      <c r="J437" s="7">
        <v>800</v>
      </c>
      <c r="K437" s="7">
        <v>600</v>
      </c>
      <c r="L437" s="7">
        <v>150</v>
      </c>
      <c r="M437" s="7">
        <v>30</v>
      </c>
      <c r="N437" s="7">
        <v>120</v>
      </c>
      <c r="O437" s="7">
        <v>310</v>
      </c>
      <c r="P437" s="7">
        <v>350</v>
      </c>
    </row>
    <row r="438" spans="1:16" s="10" customFormat="1">
      <c r="A438" s="7">
        <f>IF(B438="","",SUBTOTAL(103,$B$2:B438))</f>
        <v>437</v>
      </c>
      <c r="B438" s="8" t="s">
        <v>1297</v>
      </c>
      <c r="C438" s="7" t="s">
        <v>1031</v>
      </c>
      <c r="D438" s="9" t="s">
        <v>1333</v>
      </c>
      <c r="E438" s="7" t="s">
        <v>1299</v>
      </c>
      <c r="F438" s="7" t="s">
        <v>1334</v>
      </c>
      <c r="G438" s="7" t="s">
        <v>1335</v>
      </c>
      <c r="H438" s="7">
        <v>0.68600000000000005</v>
      </c>
      <c r="I438" s="7">
        <v>6</v>
      </c>
      <c r="J438" s="7">
        <v>800</v>
      </c>
      <c r="K438" s="7">
        <v>600</v>
      </c>
      <c r="L438" s="7">
        <v>150</v>
      </c>
      <c r="M438" s="7">
        <v>30</v>
      </c>
      <c r="N438" s="7">
        <v>120</v>
      </c>
      <c r="O438" s="7">
        <v>310</v>
      </c>
      <c r="P438" s="7">
        <v>350</v>
      </c>
    </row>
    <row r="439" spans="1:16" s="10" customFormat="1">
      <c r="A439" s="7">
        <f>IF(B439="","",SUBTOTAL(103,$B$2:B439))</f>
        <v>438</v>
      </c>
      <c r="B439" s="8" t="s">
        <v>1297</v>
      </c>
      <c r="C439" s="7" t="s">
        <v>1031</v>
      </c>
      <c r="D439" s="9" t="s">
        <v>1336</v>
      </c>
      <c r="E439" s="7" t="s">
        <v>1007</v>
      </c>
      <c r="F439" s="7" t="s">
        <v>1337</v>
      </c>
      <c r="G439" s="7" t="str">
        <f>E439&amp;F439</f>
        <v>KI 114  KI-02 TB11/4 CF8M</v>
      </c>
      <c r="H439" s="7">
        <v>0.68600000000000005</v>
      </c>
      <c r="I439" s="7">
        <v>6</v>
      </c>
      <c r="J439" s="7">
        <v>800</v>
      </c>
      <c r="K439" s="7">
        <v>600</v>
      </c>
      <c r="L439" s="7">
        <v>150</v>
      </c>
      <c r="M439" s="7">
        <v>30</v>
      </c>
      <c r="N439" s="7">
        <v>120</v>
      </c>
      <c r="O439" s="7">
        <v>310</v>
      </c>
      <c r="P439" s="7">
        <v>350</v>
      </c>
    </row>
    <row r="440" spans="1:16" s="10" customFormat="1">
      <c r="A440" s="7">
        <f>IF(B440="","",SUBTOTAL(103,$B$2:B440))</f>
        <v>439</v>
      </c>
      <c r="B440" s="8" t="s">
        <v>1297</v>
      </c>
      <c r="C440" s="7" t="s">
        <v>1035</v>
      </c>
      <c r="D440" s="9" t="s">
        <v>1338</v>
      </c>
      <c r="E440" s="7" t="s">
        <v>1299</v>
      </c>
      <c r="F440" s="7" t="s">
        <v>1339</v>
      </c>
      <c r="G440" s="7" t="s">
        <v>1340</v>
      </c>
      <c r="H440" s="7">
        <v>1.389</v>
      </c>
      <c r="I440" s="7">
        <v>4</v>
      </c>
      <c r="J440" s="7">
        <v>800</v>
      </c>
      <c r="K440" s="7">
        <v>600</v>
      </c>
      <c r="L440" s="7">
        <v>150</v>
      </c>
      <c r="M440" s="7">
        <v>30</v>
      </c>
      <c r="N440" s="7">
        <v>120</v>
      </c>
      <c r="O440" s="7">
        <v>500</v>
      </c>
      <c r="P440" s="7">
        <v>600</v>
      </c>
    </row>
    <row r="441" spans="1:16" s="10" customFormat="1">
      <c r="A441" s="7">
        <f>IF(B441="","",SUBTOTAL(103,$B$2:B441))</f>
        <v>440</v>
      </c>
      <c r="B441" s="8" t="s">
        <v>1297</v>
      </c>
      <c r="C441" s="7" t="s">
        <v>1035</v>
      </c>
      <c r="D441" s="9" t="s">
        <v>1341</v>
      </c>
      <c r="E441" s="7" t="s">
        <v>1299</v>
      </c>
      <c r="F441" s="7" t="s">
        <v>1342</v>
      </c>
      <c r="G441" s="7" t="s">
        <v>1343</v>
      </c>
      <c r="H441" s="7">
        <v>1.389</v>
      </c>
      <c r="I441" s="7">
        <v>4</v>
      </c>
      <c r="J441" s="7">
        <v>800</v>
      </c>
      <c r="K441" s="7">
        <v>600</v>
      </c>
      <c r="L441" s="7">
        <v>150</v>
      </c>
      <c r="M441" s="7">
        <v>30</v>
      </c>
      <c r="N441" s="7">
        <v>120</v>
      </c>
      <c r="O441" s="7">
        <v>500</v>
      </c>
      <c r="P441" s="7">
        <v>600</v>
      </c>
    </row>
    <row r="442" spans="1:16" s="10" customFormat="1">
      <c r="A442" s="7">
        <f>IF(B442="","",SUBTOTAL(103,$B$2:B442))</f>
        <v>441</v>
      </c>
      <c r="B442" s="8" t="s">
        <v>1297</v>
      </c>
      <c r="C442" s="7" t="s">
        <v>1042</v>
      </c>
      <c r="D442" s="9" t="s">
        <v>1344</v>
      </c>
      <c r="E442" s="7" t="s">
        <v>1299</v>
      </c>
      <c r="F442" s="7" t="s">
        <v>1345</v>
      </c>
      <c r="G442" s="7" t="s">
        <v>1346</v>
      </c>
      <c r="H442" s="7">
        <v>2.1829999999999998</v>
      </c>
      <c r="I442" s="7">
        <v>3</v>
      </c>
      <c r="J442" s="7">
        <v>800</v>
      </c>
      <c r="K442" s="7">
        <v>600</v>
      </c>
      <c r="L442" s="7">
        <v>150</v>
      </c>
      <c r="M442" s="7">
        <v>30</v>
      </c>
      <c r="N442" s="7">
        <v>120</v>
      </c>
      <c r="O442" s="7">
        <v>650</v>
      </c>
      <c r="P442" s="7">
        <v>675</v>
      </c>
    </row>
    <row r="443" spans="1:16" s="10" customFormat="1">
      <c r="A443" s="7">
        <f>IF(B443="","",SUBTOTAL(103,$B$2:B443))</f>
        <v>442</v>
      </c>
      <c r="B443" s="8" t="s">
        <v>1297</v>
      </c>
      <c r="C443" s="7" t="s">
        <v>1042</v>
      </c>
      <c r="D443" s="9" t="s">
        <v>1347</v>
      </c>
      <c r="E443" s="7" t="s">
        <v>1299</v>
      </c>
      <c r="F443" s="7" t="s">
        <v>1348</v>
      </c>
      <c r="G443" s="7" t="s">
        <v>1349</v>
      </c>
      <c r="H443" s="7">
        <v>2.1829999999999998</v>
      </c>
      <c r="I443" s="7">
        <v>3</v>
      </c>
      <c r="J443" s="7">
        <v>800</v>
      </c>
      <c r="K443" s="7">
        <v>600</v>
      </c>
      <c r="L443" s="7">
        <v>150</v>
      </c>
      <c r="M443" s="7">
        <v>30</v>
      </c>
      <c r="N443" s="7">
        <v>120</v>
      </c>
      <c r="O443" s="7">
        <v>650</v>
      </c>
      <c r="P443" s="7">
        <v>675</v>
      </c>
    </row>
    <row r="444" spans="1:16" s="10" customFormat="1">
      <c r="A444" s="7">
        <f>IF(B444="","",SUBTOTAL(103,$B$2:B444))</f>
        <v>443</v>
      </c>
      <c r="B444" s="8" t="s">
        <v>1297</v>
      </c>
      <c r="C444" s="7" t="s">
        <v>1046</v>
      </c>
      <c r="D444" s="9" t="s">
        <v>1350</v>
      </c>
      <c r="E444" s="7" t="s">
        <v>1299</v>
      </c>
      <c r="F444" s="7" t="s">
        <v>1351</v>
      </c>
      <c r="G444" s="7" t="s">
        <v>1352</v>
      </c>
      <c r="H444" s="7">
        <v>3.2469999999999999</v>
      </c>
      <c r="I444" s="7">
        <v>1</v>
      </c>
      <c r="J444" s="7">
        <v>800</v>
      </c>
      <c r="K444" s="7">
        <v>600</v>
      </c>
      <c r="L444" s="7">
        <v>150</v>
      </c>
      <c r="M444" s="7">
        <v>30</v>
      </c>
      <c r="N444" s="7">
        <v>120</v>
      </c>
      <c r="O444" s="7">
        <v>2000</v>
      </c>
      <c r="P444" s="7">
        <v>2050</v>
      </c>
    </row>
    <row r="445" spans="1:16" s="10" customFormat="1">
      <c r="A445" s="7">
        <f>IF(B445="","",SUBTOTAL(103,$B$2:B445))</f>
        <v>444</v>
      </c>
      <c r="B445" s="8" t="s">
        <v>1297</v>
      </c>
      <c r="C445" s="7" t="s">
        <v>1046</v>
      </c>
      <c r="D445" s="9" t="s">
        <v>1353</v>
      </c>
      <c r="E445" s="7" t="s">
        <v>1299</v>
      </c>
      <c r="F445" s="7" t="s">
        <v>1354</v>
      </c>
      <c r="G445" s="7" t="s">
        <v>1355</v>
      </c>
      <c r="H445" s="7">
        <v>3.2469999999999999</v>
      </c>
      <c r="I445" s="7">
        <v>1</v>
      </c>
      <c r="J445" s="7">
        <v>800</v>
      </c>
      <c r="K445" s="7">
        <v>600</v>
      </c>
      <c r="L445" s="7">
        <v>150</v>
      </c>
      <c r="M445" s="7">
        <v>30</v>
      </c>
      <c r="N445" s="7">
        <v>120</v>
      </c>
      <c r="O445" s="7">
        <v>2000</v>
      </c>
      <c r="P445" s="7">
        <v>2050</v>
      </c>
    </row>
    <row r="446" spans="1:16" s="10" customFormat="1">
      <c r="A446" s="7">
        <f>IF(B446="","",SUBTOTAL(103,$B$2:B446))</f>
        <v>445</v>
      </c>
      <c r="B446" s="8" t="s">
        <v>1297</v>
      </c>
      <c r="C446" s="7" t="s">
        <v>1050</v>
      </c>
      <c r="D446" s="9" t="s">
        <v>1356</v>
      </c>
      <c r="E446" s="7" t="s">
        <v>1299</v>
      </c>
      <c r="F446" s="7" t="s">
        <v>1357</v>
      </c>
      <c r="G446" s="7" t="s">
        <v>1358</v>
      </c>
      <c r="H446" s="7">
        <v>0.28999999999999998</v>
      </c>
      <c r="I446" s="7">
        <v>16</v>
      </c>
      <c r="J446" s="7">
        <v>800</v>
      </c>
      <c r="K446" s="7">
        <v>600</v>
      </c>
      <c r="L446" s="7">
        <v>150</v>
      </c>
      <c r="M446" s="7">
        <v>30</v>
      </c>
      <c r="N446" s="7">
        <v>120</v>
      </c>
      <c r="O446" s="7">
        <v>125</v>
      </c>
      <c r="P446" s="7">
        <v>265</v>
      </c>
    </row>
    <row r="447" spans="1:16" s="10" customFormat="1">
      <c r="A447" s="7">
        <f>IF(B447="","",SUBTOTAL(103,$B$2:B447))</f>
        <v>446</v>
      </c>
      <c r="B447" s="8" t="s">
        <v>1297</v>
      </c>
      <c r="C447" s="7" t="s">
        <v>1050</v>
      </c>
      <c r="D447" s="9" t="s">
        <v>1359</v>
      </c>
      <c r="E447" s="7" t="s">
        <v>1299</v>
      </c>
      <c r="F447" s="7" t="s">
        <v>1360</v>
      </c>
      <c r="G447" s="7" t="s">
        <v>1361</v>
      </c>
      <c r="H447" s="7">
        <v>0.26900000000000002</v>
      </c>
      <c r="I447" s="7">
        <v>16</v>
      </c>
      <c r="J447" s="7">
        <v>800</v>
      </c>
      <c r="K447" s="7">
        <v>600</v>
      </c>
      <c r="L447" s="7">
        <v>150</v>
      </c>
      <c r="M447" s="7">
        <v>30</v>
      </c>
      <c r="N447" s="7">
        <v>120</v>
      </c>
      <c r="O447" s="7">
        <v>125</v>
      </c>
      <c r="P447" s="7">
        <v>265</v>
      </c>
    </row>
    <row r="448" spans="1:16" s="10" customFormat="1">
      <c r="A448" s="7">
        <f>IF(B448="","",SUBTOTAL(103,$B$2:B448))</f>
        <v>447</v>
      </c>
      <c r="B448" s="8" t="s">
        <v>1297</v>
      </c>
      <c r="C448" s="7" t="s">
        <v>1054</v>
      </c>
      <c r="D448" s="9" t="s">
        <v>1362</v>
      </c>
      <c r="E448" s="7" t="s">
        <v>1299</v>
      </c>
      <c r="F448" s="7" t="s">
        <v>1363</v>
      </c>
      <c r="G448" s="7" t="s">
        <v>1364</v>
      </c>
      <c r="H448" s="7">
        <v>0.113</v>
      </c>
      <c r="I448" s="7">
        <v>36</v>
      </c>
      <c r="J448" s="7">
        <v>800</v>
      </c>
      <c r="K448" s="7">
        <v>600</v>
      </c>
      <c r="L448" s="7">
        <v>150</v>
      </c>
      <c r="M448" s="7">
        <v>30</v>
      </c>
      <c r="N448" s="7">
        <v>120</v>
      </c>
      <c r="O448" s="7">
        <v>55</v>
      </c>
      <c r="P448" s="7">
        <v>225</v>
      </c>
    </row>
    <row r="449" spans="1:16" s="10" customFormat="1">
      <c r="A449" s="7">
        <f>IF(B449="","",SUBTOTAL(103,$B$2:B449))</f>
        <v>448</v>
      </c>
      <c r="B449" s="8" t="s">
        <v>1297</v>
      </c>
      <c r="C449" s="7" t="s">
        <v>1054</v>
      </c>
      <c r="D449" s="9" t="s">
        <v>1365</v>
      </c>
      <c r="E449" s="7" t="s">
        <v>1299</v>
      </c>
      <c r="F449" s="7" t="s">
        <v>1366</v>
      </c>
      <c r="G449" s="7" t="s">
        <v>1367</v>
      </c>
      <c r="H449" s="7">
        <v>0.113</v>
      </c>
      <c r="I449" s="7">
        <v>36</v>
      </c>
      <c r="J449" s="7">
        <v>800</v>
      </c>
      <c r="K449" s="7">
        <v>600</v>
      </c>
      <c r="L449" s="7">
        <v>150</v>
      </c>
      <c r="M449" s="7">
        <v>30</v>
      </c>
      <c r="N449" s="7">
        <v>120</v>
      </c>
      <c r="O449" s="7">
        <v>55</v>
      </c>
      <c r="P449" s="7">
        <v>225</v>
      </c>
    </row>
    <row r="450" spans="1:16" s="10" customFormat="1">
      <c r="A450" s="7">
        <f>IF(B450="","",SUBTOTAL(103,$B$2:B450))</f>
        <v>449</v>
      </c>
      <c r="B450" s="8" t="s">
        <v>1297</v>
      </c>
      <c r="C450" s="7" t="s">
        <v>1058</v>
      </c>
      <c r="D450" s="9" t="s">
        <v>1368</v>
      </c>
      <c r="E450" s="7" t="s">
        <v>1299</v>
      </c>
      <c r="F450" s="7" t="s">
        <v>1369</v>
      </c>
      <c r="G450" s="7" t="s">
        <v>1370</v>
      </c>
      <c r="H450" s="7">
        <v>5.5</v>
      </c>
      <c r="I450" s="7">
        <v>1</v>
      </c>
      <c r="J450" s="7">
        <v>800</v>
      </c>
      <c r="K450" s="7">
        <v>600</v>
      </c>
      <c r="L450" s="7">
        <v>150</v>
      </c>
      <c r="M450" s="7">
        <v>30</v>
      </c>
      <c r="N450" s="7">
        <v>120</v>
      </c>
      <c r="O450" s="7">
        <v>2000</v>
      </c>
      <c r="P450" s="7">
        <v>2050</v>
      </c>
    </row>
    <row r="451" spans="1:16" s="10" customFormat="1">
      <c r="A451" s="7">
        <f>IF(B451="","",SUBTOTAL(103,$B$2:B451))</f>
        <v>450</v>
      </c>
      <c r="B451" s="8" t="s">
        <v>1297</v>
      </c>
      <c r="C451" s="7" t="s">
        <v>1058</v>
      </c>
      <c r="D451" s="9" t="s">
        <v>1371</v>
      </c>
      <c r="E451" s="7" t="s">
        <v>1299</v>
      </c>
      <c r="F451" s="7" t="s">
        <v>1372</v>
      </c>
      <c r="G451" s="7" t="s">
        <v>1373</v>
      </c>
      <c r="H451" s="7">
        <v>5.5030000000000001</v>
      </c>
      <c r="I451" s="7">
        <v>1</v>
      </c>
      <c r="J451" s="7">
        <v>800</v>
      </c>
      <c r="K451" s="7">
        <v>600</v>
      </c>
      <c r="L451" s="7">
        <v>150</v>
      </c>
      <c r="M451" s="7">
        <v>30</v>
      </c>
      <c r="N451" s="7">
        <v>120</v>
      </c>
      <c r="O451" s="7">
        <v>2000</v>
      </c>
      <c r="P451" s="7">
        <v>2050</v>
      </c>
    </row>
    <row r="452" spans="1:16" s="10" customFormat="1">
      <c r="A452" s="7">
        <f>IF(B452="","",SUBTOTAL(103,$B$2:B452))</f>
        <v>451</v>
      </c>
      <c r="B452" s="8" t="s">
        <v>1374</v>
      </c>
      <c r="C452" s="7" t="s">
        <v>1375</v>
      </c>
      <c r="D452" s="9" t="s">
        <v>1376</v>
      </c>
      <c r="E452" s="7" t="s">
        <v>1377</v>
      </c>
      <c r="F452" s="7" t="s">
        <v>1066</v>
      </c>
      <c r="G452" s="7" t="s">
        <v>1378</v>
      </c>
      <c r="H452" s="7">
        <v>0.38400000000000001</v>
      </c>
      <c r="I452" s="7">
        <v>12</v>
      </c>
      <c r="J452" s="7">
        <v>800</v>
      </c>
      <c r="K452" s="7">
        <v>600</v>
      </c>
      <c r="L452" s="7">
        <v>150</v>
      </c>
      <c r="M452" s="7">
        <v>30</v>
      </c>
      <c r="N452" s="7">
        <v>120</v>
      </c>
      <c r="O452" s="7">
        <v>150</v>
      </c>
      <c r="P452" s="7">
        <v>230</v>
      </c>
    </row>
    <row r="453" spans="1:16" s="10" customFormat="1">
      <c r="A453" s="7">
        <f>IF(B453="","",SUBTOTAL(103,$B$2:B453))</f>
        <v>452</v>
      </c>
      <c r="B453" s="8" t="s">
        <v>1374</v>
      </c>
      <c r="C453" s="7" t="s">
        <v>1375</v>
      </c>
      <c r="D453" s="9" t="s">
        <v>1379</v>
      </c>
      <c r="E453" s="7" t="s">
        <v>1377</v>
      </c>
      <c r="F453" s="7" t="s">
        <v>1069</v>
      </c>
      <c r="G453" s="7" t="s">
        <v>1380</v>
      </c>
      <c r="H453" s="7">
        <v>0.38400000000000001</v>
      </c>
      <c r="I453" s="7">
        <v>12</v>
      </c>
      <c r="J453" s="7">
        <v>800</v>
      </c>
      <c r="K453" s="7">
        <v>600</v>
      </c>
      <c r="L453" s="7">
        <v>150</v>
      </c>
      <c r="M453" s="7">
        <v>30</v>
      </c>
      <c r="N453" s="7">
        <v>120</v>
      </c>
      <c r="O453" s="7">
        <v>150</v>
      </c>
      <c r="P453" s="7">
        <v>230</v>
      </c>
    </row>
    <row r="454" spans="1:16" s="10" customFormat="1">
      <c r="A454" s="7">
        <f>IF(B454="","",SUBTOTAL(103,$B$2:B454))</f>
        <v>453</v>
      </c>
      <c r="B454" s="8" t="s">
        <v>1374</v>
      </c>
      <c r="C454" s="7" t="s">
        <v>1381</v>
      </c>
      <c r="D454" s="9" t="s">
        <v>1382</v>
      </c>
      <c r="E454" s="7" t="s">
        <v>1377</v>
      </c>
      <c r="F454" s="7" t="s">
        <v>1073</v>
      </c>
      <c r="G454" s="7" t="s">
        <v>1383</v>
      </c>
      <c r="H454" s="7">
        <v>0.14399999999999999</v>
      </c>
      <c r="I454" s="7">
        <v>36</v>
      </c>
      <c r="J454" s="7">
        <v>800</v>
      </c>
      <c r="K454" s="7">
        <v>600</v>
      </c>
      <c r="L454" s="7">
        <v>150</v>
      </c>
      <c r="M454" s="7">
        <v>30</v>
      </c>
      <c r="N454" s="7">
        <v>120</v>
      </c>
      <c r="O454" s="7">
        <v>55</v>
      </c>
      <c r="P454" s="7">
        <v>215</v>
      </c>
    </row>
    <row r="455" spans="1:16" s="10" customFormat="1">
      <c r="A455" s="7">
        <f>IF(B455="","",SUBTOTAL(103,$B$2:B455))</f>
        <v>454</v>
      </c>
      <c r="B455" s="8" t="s">
        <v>1374</v>
      </c>
      <c r="C455" s="7" t="s">
        <v>1384</v>
      </c>
      <c r="D455" s="9" t="s">
        <v>1385</v>
      </c>
      <c r="E455" s="7" t="s">
        <v>1377</v>
      </c>
      <c r="F455" s="7" t="s">
        <v>998</v>
      </c>
      <c r="G455" s="7" t="s">
        <v>1386</v>
      </c>
      <c r="H455" s="7">
        <v>7.0000000000000007E-2</v>
      </c>
      <c r="I455" s="7">
        <v>28</v>
      </c>
      <c r="J455" s="7">
        <v>800</v>
      </c>
      <c r="K455" s="7">
        <v>600</v>
      </c>
      <c r="L455" s="7">
        <v>150</v>
      </c>
      <c r="M455" s="7">
        <v>30</v>
      </c>
      <c r="N455" s="7">
        <v>120</v>
      </c>
      <c r="O455" s="7">
        <v>70</v>
      </c>
      <c r="P455" s="7">
        <v>120</v>
      </c>
    </row>
    <row r="456" spans="1:16" s="10" customFormat="1">
      <c r="A456" s="7">
        <f>IF(B456="","",SUBTOTAL(103,$B$2:B456))</f>
        <v>455</v>
      </c>
      <c r="B456" s="8" t="s">
        <v>1374</v>
      </c>
      <c r="C456" s="7" t="s">
        <v>1384</v>
      </c>
      <c r="D456" s="9" t="s">
        <v>1387</v>
      </c>
      <c r="E456" s="7" t="s">
        <v>1377</v>
      </c>
      <c r="F456" s="7" t="s">
        <v>1081</v>
      </c>
      <c r="G456" s="7" t="s">
        <v>1388</v>
      </c>
      <c r="H456" s="7">
        <v>7.0000000000000007E-2</v>
      </c>
      <c r="I456" s="7">
        <v>28</v>
      </c>
      <c r="J456" s="7">
        <v>800</v>
      </c>
      <c r="K456" s="7">
        <v>600</v>
      </c>
      <c r="L456" s="7">
        <v>150</v>
      </c>
      <c r="M456" s="7">
        <v>30</v>
      </c>
      <c r="N456" s="7">
        <v>120</v>
      </c>
      <c r="O456" s="7">
        <v>70</v>
      </c>
      <c r="P456" s="7">
        <v>120</v>
      </c>
    </row>
    <row r="457" spans="1:16" s="10" customFormat="1">
      <c r="A457" s="7">
        <f>IF(B457="","",SUBTOTAL(103,$B$2:B457))</f>
        <v>456</v>
      </c>
      <c r="B457" s="8" t="s">
        <v>1374</v>
      </c>
      <c r="C457" s="7" t="s">
        <v>1389</v>
      </c>
      <c r="D457" s="9" t="s">
        <v>1390</v>
      </c>
      <c r="E457" s="7" t="s">
        <v>1377</v>
      </c>
      <c r="F457" s="7" t="s">
        <v>1085</v>
      </c>
      <c r="G457" s="7" t="s">
        <v>1391</v>
      </c>
      <c r="H457" s="7">
        <v>4.2999999999999997E-2</v>
      </c>
      <c r="I457" s="7">
        <v>30</v>
      </c>
      <c r="J457" s="7">
        <v>800</v>
      </c>
      <c r="K457" s="7">
        <v>600</v>
      </c>
      <c r="L457" s="7">
        <v>150</v>
      </c>
      <c r="M457" s="7">
        <v>30</v>
      </c>
      <c r="N457" s="7">
        <v>120</v>
      </c>
      <c r="O457" s="7">
        <v>65</v>
      </c>
      <c r="P457" s="7">
        <v>120</v>
      </c>
    </row>
    <row r="458" spans="1:16" s="10" customFormat="1">
      <c r="A458" s="7">
        <f>IF(B458="","",SUBTOTAL(103,$B$2:B458))</f>
        <v>457</v>
      </c>
      <c r="B458" s="8" t="s">
        <v>1374</v>
      </c>
      <c r="C458" s="7" t="s">
        <v>1392</v>
      </c>
      <c r="D458" s="9" t="s">
        <v>1393</v>
      </c>
      <c r="E458" s="7" t="s">
        <v>1377</v>
      </c>
      <c r="F458" s="7" t="s">
        <v>1092</v>
      </c>
      <c r="G458" s="7" t="s">
        <v>1394</v>
      </c>
      <c r="H458" s="7">
        <v>0.67900000000000005</v>
      </c>
      <c r="I458" s="7">
        <v>4</v>
      </c>
      <c r="J458" s="7">
        <v>800</v>
      </c>
      <c r="K458" s="7">
        <v>600</v>
      </c>
      <c r="L458" s="7">
        <v>150</v>
      </c>
      <c r="M458" s="7">
        <v>30</v>
      </c>
      <c r="N458" s="7">
        <v>120</v>
      </c>
      <c r="O458" s="7">
        <v>500</v>
      </c>
      <c r="P458" s="7">
        <v>600</v>
      </c>
    </row>
    <row r="459" spans="1:16" s="10" customFormat="1">
      <c r="A459" s="7">
        <f>IF(B459="","",SUBTOTAL(103,$B$2:B459))</f>
        <v>458</v>
      </c>
      <c r="B459" s="8" t="s">
        <v>1374</v>
      </c>
      <c r="C459" s="7" t="s">
        <v>1392</v>
      </c>
      <c r="D459" s="9" t="s">
        <v>1395</v>
      </c>
      <c r="E459" s="7" t="s">
        <v>1377</v>
      </c>
      <c r="F459" s="7" t="s">
        <v>1095</v>
      </c>
      <c r="G459" s="7" t="s">
        <v>1396</v>
      </c>
      <c r="H459" s="7">
        <v>0.67900000000000005</v>
      </c>
      <c r="I459" s="7">
        <v>4</v>
      </c>
      <c r="J459" s="7">
        <v>800</v>
      </c>
      <c r="K459" s="7">
        <v>600</v>
      </c>
      <c r="L459" s="7">
        <v>150</v>
      </c>
      <c r="M459" s="7">
        <v>30</v>
      </c>
      <c r="N459" s="7">
        <v>120</v>
      </c>
      <c r="O459" s="7">
        <v>500</v>
      </c>
      <c r="P459" s="7">
        <v>600</v>
      </c>
    </row>
    <row r="460" spans="1:16" s="10" customFormat="1">
      <c r="A460" s="7">
        <f>IF(B460="","",SUBTOTAL(103,$B$2:B460))</f>
        <v>459</v>
      </c>
      <c r="B460" s="8" t="s">
        <v>1374</v>
      </c>
      <c r="C460" s="7" t="s">
        <v>1397</v>
      </c>
      <c r="D460" s="9" t="s">
        <v>1398</v>
      </c>
      <c r="E460" s="7" t="s">
        <v>1377</v>
      </c>
      <c r="F460" s="7" t="s">
        <v>1099</v>
      </c>
      <c r="G460" s="7" t="s">
        <v>1399</v>
      </c>
      <c r="H460" s="7">
        <v>0.57199999999999995</v>
      </c>
      <c r="I460" s="7">
        <v>6</v>
      </c>
      <c r="J460" s="7">
        <v>800</v>
      </c>
      <c r="K460" s="7">
        <v>600</v>
      </c>
      <c r="L460" s="7">
        <v>150</v>
      </c>
      <c r="M460" s="7">
        <v>30</v>
      </c>
      <c r="N460" s="7">
        <v>120</v>
      </c>
      <c r="O460" s="7">
        <v>310</v>
      </c>
      <c r="P460" s="7">
        <v>350</v>
      </c>
    </row>
    <row r="461" spans="1:16" s="10" customFormat="1">
      <c r="A461" s="7">
        <f>IF(B461="","",SUBTOTAL(103,$B$2:B461))</f>
        <v>460</v>
      </c>
      <c r="B461" s="8" t="s">
        <v>1374</v>
      </c>
      <c r="C461" s="7" t="s">
        <v>1397</v>
      </c>
      <c r="D461" s="9" t="s">
        <v>1400</v>
      </c>
      <c r="E461" s="7" t="s">
        <v>1401</v>
      </c>
      <c r="F461" s="7" t="s">
        <v>1102</v>
      </c>
      <c r="G461" s="7" t="str">
        <f>E461&amp;F461</f>
        <v>MB  K-02C YB11/4 316</v>
      </c>
      <c r="H461" s="7">
        <v>0.57199999999999995</v>
      </c>
      <c r="I461" s="7">
        <v>6</v>
      </c>
      <c r="J461" s="7">
        <v>800</v>
      </c>
      <c r="K461" s="7">
        <v>600</v>
      </c>
      <c r="L461" s="7">
        <v>150</v>
      </c>
      <c r="M461" s="7">
        <v>30</v>
      </c>
      <c r="N461" s="7">
        <v>120</v>
      </c>
      <c r="O461" s="7">
        <v>310</v>
      </c>
      <c r="P461" s="7">
        <v>350</v>
      </c>
    </row>
    <row r="462" spans="1:16" s="10" customFormat="1">
      <c r="A462" s="7">
        <f>IF(B462="","",SUBTOTAL(103,$B$2:B462))</f>
        <v>461</v>
      </c>
      <c r="B462" s="8" t="s">
        <v>1374</v>
      </c>
      <c r="C462" s="7" t="s">
        <v>1402</v>
      </c>
      <c r="D462" s="9" t="s">
        <v>1403</v>
      </c>
      <c r="E462" s="7" t="s">
        <v>1377</v>
      </c>
      <c r="F462" s="7" t="s">
        <v>1106</v>
      </c>
      <c r="G462" s="7" t="s">
        <v>1404</v>
      </c>
      <c r="H462" s="7">
        <v>1.036</v>
      </c>
      <c r="I462" s="7">
        <v>4</v>
      </c>
      <c r="J462" s="7">
        <v>800</v>
      </c>
      <c r="K462" s="7">
        <v>600</v>
      </c>
      <c r="L462" s="7">
        <v>150</v>
      </c>
      <c r="M462" s="7">
        <v>30</v>
      </c>
      <c r="N462" s="7">
        <v>120</v>
      </c>
      <c r="O462" s="7">
        <v>500</v>
      </c>
      <c r="P462" s="7">
        <v>600</v>
      </c>
    </row>
    <row r="463" spans="1:16" s="10" customFormat="1">
      <c r="A463" s="7">
        <f>IF(B463="","",SUBTOTAL(103,$B$2:B463))</f>
        <v>462</v>
      </c>
      <c r="B463" s="8" t="s">
        <v>1374</v>
      </c>
      <c r="C463" s="7" t="s">
        <v>1402</v>
      </c>
      <c r="D463" s="9" t="s">
        <v>1405</v>
      </c>
      <c r="E463" s="7" t="s">
        <v>1377</v>
      </c>
      <c r="F463" s="7" t="s">
        <v>1109</v>
      </c>
      <c r="G463" s="7" t="s">
        <v>1406</v>
      </c>
      <c r="H463" s="7">
        <v>1.036</v>
      </c>
      <c r="I463" s="7">
        <v>4</v>
      </c>
      <c r="J463" s="7">
        <v>800</v>
      </c>
      <c r="K463" s="7">
        <v>600</v>
      </c>
      <c r="L463" s="7">
        <v>150</v>
      </c>
      <c r="M463" s="7">
        <v>30</v>
      </c>
      <c r="N463" s="7">
        <v>120</v>
      </c>
      <c r="O463" s="7">
        <v>500</v>
      </c>
      <c r="P463" s="7">
        <v>600</v>
      </c>
    </row>
    <row r="464" spans="1:16" s="10" customFormat="1">
      <c r="A464" s="7">
        <f>IF(B464="","",SUBTOTAL(103,$B$2:B464))</f>
        <v>463</v>
      </c>
      <c r="B464" s="8" t="s">
        <v>1374</v>
      </c>
      <c r="C464" s="7" t="s">
        <v>1407</v>
      </c>
      <c r="D464" s="9" t="s">
        <v>1408</v>
      </c>
      <c r="E464" s="7" t="s">
        <v>1377</v>
      </c>
      <c r="F464" s="7" t="s">
        <v>1127</v>
      </c>
      <c r="G464" s="7" t="s">
        <v>1409</v>
      </c>
      <c r="H464" s="7">
        <v>0.224</v>
      </c>
      <c r="I464" s="7">
        <v>16</v>
      </c>
      <c r="J464" s="7">
        <v>800</v>
      </c>
      <c r="K464" s="7">
        <v>600</v>
      </c>
      <c r="L464" s="7">
        <v>150</v>
      </c>
      <c r="M464" s="7">
        <v>30</v>
      </c>
      <c r="N464" s="7">
        <v>120</v>
      </c>
      <c r="O464" s="7">
        <v>125</v>
      </c>
      <c r="P464" s="7">
        <v>217</v>
      </c>
    </row>
    <row r="465" spans="1:16" s="10" customFormat="1">
      <c r="A465" s="7">
        <f>IF(B465="","",SUBTOTAL(103,$B$2:B465))</f>
        <v>464</v>
      </c>
      <c r="B465" s="8" t="s">
        <v>1374</v>
      </c>
      <c r="C465" s="7" t="s">
        <v>1410</v>
      </c>
      <c r="D465" s="9" t="s">
        <v>1411</v>
      </c>
      <c r="E465" s="7" t="s">
        <v>1377</v>
      </c>
      <c r="F465" s="7" t="s">
        <v>1002</v>
      </c>
      <c r="G465" s="7" t="s">
        <v>1412</v>
      </c>
      <c r="H465" s="7">
        <v>0.109</v>
      </c>
      <c r="I465" s="7">
        <v>36</v>
      </c>
      <c r="J465" s="7">
        <v>800</v>
      </c>
      <c r="K465" s="7">
        <v>600</v>
      </c>
      <c r="L465" s="7">
        <v>150</v>
      </c>
      <c r="M465" s="7">
        <v>30</v>
      </c>
      <c r="N465" s="7">
        <v>120</v>
      </c>
      <c r="O465" s="7">
        <v>55</v>
      </c>
      <c r="P465" s="7">
        <v>200</v>
      </c>
    </row>
    <row r="466" spans="1:16" s="10" customFormat="1">
      <c r="A466" s="7">
        <f>IF(B466="","",SUBTOTAL(103,$B$2:B466))</f>
        <v>465</v>
      </c>
      <c r="B466" s="8" t="s">
        <v>1374</v>
      </c>
      <c r="C466" s="7" t="s">
        <v>1381</v>
      </c>
      <c r="D466" s="9" t="s">
        <v>1413</v>
      </c>
      <c r="E466" s="7" t="s">
        <v>1401</v>
      </c>
      <c r="F466" s="7" t="s">
        <v>1076</v>
      </c>
      <c r="G466" s="7" t="s">
        <v>1414</v>
      </c>
      <c r="H466" s="7">
        <v>0.14399999999999999</v>
      </c>
      <c r="I466" s="7">
        <v>36</v>
      </c>
      <c r="J466" s="7">
        <v>800</v>
      </c>
      <c r="K466" s="7">
        <v>600</v>
      </c>
      <c r="L466" s="7">
        <v>150</v>
      </c>
      <c r="M466" s="7">
        <v>30</v>
      </c>
      <c r="N466" s="7">
        <v>120</v>
      </c>
      <c r="O466" s="7">
        <v>55</v>
      </c>
      <c r="P466" s="7">
        <v>215</v>
      </c>
    </row>
    <row r="467" spans="1:16" s="10" customFormat="1">
      <c r="A467" s="7">
        <f>IF(B467="","",SUBTOTAL(103,$B$2:B467))</f>
        <v>466</v>
      </c>
      <c r="B467" s="8" t="s">
        <v>1374</v>
      </c>
      <c r="C467" s="7" t="s">
        <v>1389</v>
      </c>
      <c r="D467" s="9" t="s">
        <v>1415</v>
      </c>
      <c r="E467" s="7" t="s">
        <v>1401</v>
      </c>
      <c r="F467" s="7" t="s">
        <v>1088</v>
      </c>
      <c r="G467" s="7" t="s">
        <v>1416</v>
      </c>
      <c r="H467" s="7">
        <v>0.04</v>
      </c>
      <c r="I467" s="7">
        <v>30</v>
      </c>
      <c r="J467" s="7">
        <v>800</v>
      </c>
      <c r="K467" s="7">
        <v>600</v>
      </c>
      <c r="L467" s="7">
        <v>150</v>
      </c>
      <c r="M467" s="7">
        <v>30</v>
      </c>
      <c r="N467" s="7">
        <v>120</v>
      </c>
      <c r="O467" s="7">
        <v>65</v>
      </c>
      <c r="P467" s="7">
        <v>120</v>
      </c>
    </row>
    <row r="468" spans="1:16" s="10" customFormat="1">
      <c r="A468" s="7">
        <f>IF(B468="","",SUBTOTAL(103,$B$2:B468))</f>
        <v>467</v>
      </c>
      <c r="B468" s="8" t="s">
        <v>1374</v>
      </c>
      <c r="C468" s="7" t="s">
        <v>1407</v>
      </c>
      <c r="D468" s="9" t="s">
        <v>1417</v>
      </c>
      <c r="E468" s="7" t="s">
        <v>1401</v>
      </c>
      <c r="F468" s="7" t="s">
        <v>1130</v>
      </c>
      <c r="G468" s="7" t="s">
        <v>1418</v>
      </c>
      <c r="H468" s="7">
        <v>0.224</v>
      </c>
      <c r="I468" s="7">
        <v>16</v>
      </c>
      <c r="J468" s="7">
        <v>800</v>
      </c>
      <c r="K468" s="7">
        <v>600</v>
      </c>
      <c r="L468" s="7">
        <v>150</v>
      </c>
      <c r="M468" s="7">
        <v>30</v>
      </c>
      <c r="N468" s="7">
        <v>120</v>
      </c>
      <c r="O468" s="7">
        <v>125</v>
      </c>
      <c r="P468" s="7">
        <v>217</v>
      </c>
    </row>
    <row r="469" spans="1:16" s="10" customFormat="1">
      <c r="A469" s="7">
        <f>IF(B469="","",SUBTOTAL(103,$B$2:B469))</f>
        <v>468</v>
      </c>
      <c r="B469" s="8" t="s">
        <v>1374</v>
      </c>
      <c r="C469" s="7" t="s">
        <v>1410</v>
      </c>
      <c r="D469" s="9" t="s">
        <v>1419</v>
      </c>
      <c r="E469" s="7" t="s">
        <v>1401</v>
      </c>
      <c r="F469" s="7" t="s">
        <v>1135</v>
      </c>
      <c r="G469" s="7" t="s">
        <v>1420</v>
      </c>
      <c r="H469" s="7">
        <v>0.109</v>
      </c>
      <c r="I469" s="7">
        <v>36</v>
      </c>
      <c r="J469" s="7">
        <v>800</v>
      </c>
      <c r="K469" s="7">
        <v>600</v>
      </c>
      <c r="L469" s="7">
        <v>150</v>
      </c>
      <c r="M469" s="7">
        <v>30</v>
      </c>
      <c r="N469" s="7">
        <v>120</v>
      </c>
      <c r="O469" s="7">
        <v>55</v>
      </c>
      <c r="P469" s="7">
        <v>200</v>
      </c>
    </row>
    <row r="470" spans="1:16" s="10" customFormat="1">
      <c r="A470" s="7">
        <f>IF(B470="","",SUBTOTAL(103,$B$2:B470))</f>
        <v>469</v>
      </c>
      <c r="B470" s="8" t="s">
        <v>1421</v>
      </c>
      <c r="C470" s="7" t="s">
        <v>1422</v>
      </c>
      <c r="D470" s="9" t="s">
        <v>1423</v>
      </c>
      <c r="E470" s="7" t="s">
        <v>1424</v>
      </c>
      <c r="F470" s="7" t="s">
        <v>1102</v>
      </c>
      <c r="G470" s="7" t="s">
        <v>1425</v>
      </c>
      <c r="H470" s="7">
        <v>0.39</v>
      </c>
      <c r="I470" s="7">
        <v>18</v>
      </c>
      <c r="J470" s="7">
        <v>800</v>
      </c>
      <c r="K470" s="7">
        <v>600</v>
      </c>
      <c r="L470" s="7">
        <v>150</v>
      </c>
      <c r="M470" s="7">
        <v>30</v>
      </c>
      <c r="N470" s="7">
        <v>120</v>
      </c>
      <c r="O470" s="7">
        <v>100</v>
      </c>
      <c r="P470" s="7">
        <v>335</v>
      </c>
    </row>
    <row r="471" spans="1:16" s="10" customFormat="1">
      <c r="A471" s="7">
        <f>IF(B471="","",SUBTOTAL(103,$B$2:B471))</f>
        <v>470</v>
      </c>
      <c r="B471" s="8" t="s">
        <v>1426</v>
      </c>
      <c r="C471" s="7" t="s">
        <v>1427</v>
      </c>
      <c r="D471" s="9" t="s">
        <v>1428</v>
      </c>
      <c r="E471" s="7" t="s">
        <v>1429</v>
      </c>
      <c r="F471" s="7" t="s">
        <v>1309</v>
      </c>
      <c r="G471" s="7" t="s">
        <v>1430</v>
      </c>
      <c r="H471" s="7">
        <v>0.113</v>
      </c>
      <c r="I471" s="7">
        <v>48</v>
      </c>
      <c r="J471" s="7">
        <v>800</v>
      </c>
      <c r="K471" s="7">
        <v>600</v>
      </c>
      <c r="L471" s="7">
        <v>150</v>
      </c>
      <c r="M471" s="7">
        <v>30</v>
      </c>
      <c r="N471" s="7">
        <v>120</v>
      </c>
      <c r="O471" s="7">
        <v>41</v>
      </c>
      <c r="P471" s="7">
        <v>235</v>
      </c>
    </row>
    <row r="472" spans="1:16" s="10" customFormat="1">
      <c r="A472" s="7">
        <f>IF(B472="","",SUBTOTAL(103,$B$2:B472))</f>
        <v>471</v>
      </c>
      <c r="B472" s="8" t="s">
        <v>1426</v>
      </c>
      <c r="C472" s="7" t="s">
        <v>1431</v>
      </c>
      <c r="D472" s="9" t="s">
        <v>1432</v>
      </c>
      <c r="E472" s="7" t="s">
        <v>1429</v>
      </c>
      <c r="F472" s="7" t="s">
        <v>1360</v>
      </c>
      <c r="G472" s="7" t="s">
        <v>1433</v>
      </c>
      <c r="H472" s="7">
        <v>0.18</v>
      </c>
      <c r="I472" s="7">
        <v>28</v>
      </c>
      <c r="J472" s="7">
        <v>800</v>
      </c>
      <c r="K472" s="7">
        <v>600</v>
      </c>
      <c r="L472" s="7">
        <v>150</v>
      </c>
      <c r="M472" s="7">
        <v>30</v>
      </c>
      <c r="N472" s="7">
        <v>120</v>
      </c>
      <c r="O472" s="7">
        <v>70</v>
      </c>
      <c r="P472" s="7">
        <v>265</v>
      </c>
    </row>
    <row r="473" spans="1:16" s="10" customFormat="1">
      <c r="A473" s="7">
        <f>IF(B473="","",SUBTOTAL(103,$B$2:B473))</f>
        <v>472</v>
      </c>
      <c r="B473" s="8" t="s">
        <v>1434</v>
      </c>
      <c r="C473" s="7" t="s">
        <v>1435</v>
      </c>
      <c r="D473" s="9" t="s">
        <v>1436</v>
      </c>
      <c r="E473" s="7" t="s">
        <v>1437</v>
      </c>
      <c r="F473" s="7" t="s">
        <v>1066</v>
      </c>
      <c r="G473" s="7" t="s">
        <v>1438</v>
      </c>
      <c r="H473" s="7">
        <v>0.254</v>
      </c>
      <c r="I473" s="7">
        <v>24</v>
      </c>
      <c r="J473" s="7">
        <v>800</v>
      </c>
      <c r="K473" s="7">
        <v>600</v>
      </c>
      <c r="L473" s="7">
        <v>150</v>
      </c>
      <c r="M473" s="7">
        <v>30</v>
      </c>
      <c r="N473" s="7">
        <v>120</v>
      </c>
      <c r="O473" s="7">
        <v>75</v>
      </c>
      <c r="P473" s="7">
        <v>315</v>
      </c>
    </row>
    <row r="474" spans="1:16" s="10" customFormat="1">
      <c r="A474" s="7">
        <f>IF(B474="","",SUBTOTAL(103,$B$2:B474))</f>
        <v>473</v>
      </c>
      <c r="B474" s="8" t="s">
        <v>1434</v>
      </c>
      <c r="C474" s="7" t="s">
        <v>1435</v>
      </c>
      <c r="D474" s="9" t="s">
        <v>1439</v>
      </c>
      <c r="E474" s="7" t="s">
        <v>1437</v>
      </c>
      <c r="F474" s="7" t="s">
        <v>1069</v>
      </c>
      <c r="G474" s="7" t="s">
        <v>1440</v>
      </c>
      <c r="H474" s="7">
        <v>0.254</v>
      </c>
      <c r="I474" s="7">
        <v>24</v>
      </c>
      <c r="J474" s="7">
        <v>800</v>
      </c>
      <c r="K474" s="7">
        <v>600</v>
      </c>
      <c r="L474" s="7">
        <v>150</v>
      </c>
      <c r="M474" s="7">
        <v>30</v>
      </c>
      <c r="N474" s="7">
        <v>120</v>
      </c>
      <c r="O474" s="7">
        <v>75</v>
      </c>
      <c r="P474" s="7">
        <v>315</v>
      </c>
    </row>
    <row r="475" spans="1:16" s="10" customFormat="1">
      <c r="A475" s="7">
        <f>IF(B475="","",SUBTOTAL(103,$B$2:B475))</f>
        <v>474</v>
      </c>
      <c r="B475" s="8" t="s">
        <v>1434</v>
      </c>
      <c r="C475" s="7" t="s">
        <v>1441</v>
      </c>
      <c r="D475" s="9" t="s">
        <v>1442</v>
      </c>
      <c r="E475" s="7" t="s">
        <v>1437</v>
      </c>
      <c r="F475" s="7" t="s">
        <v>1073</v>
      </c>
      <c r="G475" s="7" t="s">
        <v>1443</v>
      </c>
      <c r="H475" s="7">
        <v>0.10199999999999999</v>
      </c>
      <c r="I475" s="7">
        <v>38</v>
      </c>
      <c r="J475" s="7">
        <v>800</v>
      </c>
      <c r="K475" s="7">
        <v>600</v>
      </c>
      <c r="L475" s="7">
        <v>150</v>
      </c>
      <c r="M475" s="7">
        <v>30</v>
      </c>
      <c r="N475" s="7">
        <v>120</v>
      </c>
      <c r="O475" s="7">
        <v>50</v>
      </c>
      <c r="P475" s="7">
        <v>235</v>
      </c>
    </row>
    <row r="476" spans="1:16" s="10" customFormat="1">
      <c r="A476" s="7">
        <f>IF(B476="","",SUBTOTAL(103,$B$2:B476))</f>
        <v>475</v>
      </c>
      <c r="B476" s="8" t="s">
        <v>1434</v>
      </c>
      <c r="C476" s="7" t="s">
        <v>1441</v>
      </c>
      <c r="D476" s="9" t="s">
        <v>1444</v>
      </c>
      <c r="E476" s="7" t="s">
        <v>1437</v>
      </c>
      <c r="F476" s="7" t="s">
        <v>1076</v>
      </c>
      <c r="G476" s="7" t="s">
        <v>1445</v>
      </c>
      <c r="H476" s="7">
        <v>0.10199999999999999</v>
      </c>
      <c r="I476" s="7">
        <v>38</v>
      </c>
      <c r="J476" s="7">
        <v>800</v>
      </c>
      <c r="K476" s="7">
        <v>600</v>
      </c>
      <c r="L476" s="7">
        <v>150</v>
      </c>
      <c r="M476" s="7">
        <v>30</v>
      </c>
      <c r="N476" s="7">
        <v>120</v>
      </c>
      <c r="O476" s="7">
        <v>50</v>
      </c>
      <c r="P476" s="7">
        <v>235</v>
      </c>
    </row>
    <row r="477" spans="1:16" s="10" customFormat="1">
      <c r="A477" s="7">
        <f>IF(B477="","",SUBTOTAL(103,$B$2:B477))</f>
        <v>476</v>
      </c>
      <c r="B477" s="8" t="s">
        <v>1434</v>
      </c>
      <c r="C477" s="7" t="s">
        <v>1446</v>
      </c>
      <c r="D477" s="9" t="s">
        <v>1447</v>
      </c>
      <c r="E477" s="7" t="s">
        <v>1437</v>
      </c>
      <c r="F477" s="7" t="s">
        <v>998</v>
      </c>
      <c r="G477" s="7" t="s">
        <v>1448</v>
      </c>
      <c r="H477" s="7">
        <v>5.7000000000000002E-2</v>
      </c>
      <c r="I477" s="7">
        <v>80</v>
      </c>
      <c r="J477" s="7">
        <v>800</v>
      </c>
      <c r="K477" s="7">
        <v>600</v>
      </c>
      <c r="L477" s="7">
        <v>150</v>
      </c>
      <c r="M477" s="7">
        <v>30</v>
      </c>
      <c r="N477" s="7">
        <v>120</v>
      </c>
      <c r="O477" s="7">
        <v>25</v>
      </c>
      <c r="P477" s="7">
        <v>200</v>
      </c>
    </row>
    <row r="478" spans="1:16" s="10" customFormat="1">
      <c r="A478" s="7">
        <f>IF(B478="","",SUBTOTAL(103,$B$2:B478))</f>
        <v>477</v>
      </c>
      <c r="B478" s="8" t="s">
        <v>1434</v>
      </c>
      <c r="C478" s="7" t="s">
        <v>1446</v>
      </c>
      <c r="D478" s="9" t="s">
        <v>1449</v>
      </c>
      <c r="E478" s="7" t="s">
        <v>1437</v>
      </c>
      <c r="F478" s="7" t="s">
        <v>1081</v>
      </c>
      <c r="G478" s="7" t="s">
        <v>1450</v>
      </c>
      <c r="H478" s="7">
        <v>5.7000000000000002E-2</v>
      </c>
      <c r="I478" s="7">
        <v>80</v>
      </c>
      <c r="J478" s="7">
        <v>800</v>
      </c>
      <c r="K478" s="7">
        <v>600</v>
      </c>
      <c r="L478" s="7">
        <v>150</v>
      </c>
      <c r="M478" s="7">
        <v>30</v>
      </c>
      <c r="N478" s="7">
        <v>120</v>
      </c>
      <c r="O478" s="7">
        <v>25</v>
      </c>
      <c r="P478" s="7">
        <v>200</v>
      </c>
    </row>
    <row r="479" spans="1:16" s="10" customFormat="1">
      <c r="A479" s="7">
        <f>IF(B479="","",SUBTOTAL(103,$B$2:B479))</f>
        <v>478</v>
      </c>
      <c r="B479" s="8" t="s">
        <v>1434</v>
      </c>
      <c r="C479" s="7" t="s">
        <v>1451</v>
      </c>
      <c r="D479" s="9" t="s">
        <v>1452</v>
      </c>
      <c r="E479" s="7" t="s">
        <v>1437</v>
      </c>
      <c r="F479" s="7" t="s">
        <v>1085</v>
      </c>
      <c r="G479" s="7" t="s">
        <v>1453</v>
      </c>
      <c r="H479" s="7">
        <v>4.3999999999999997E-2</v>
      </c>
      <c r="I479" s="7">
        <v>80</v>
      </c>
      <c r="J479" s="7">
        <v>800</v>
      </c>
      <c r="K479" s="7">
        <v>600</v>
      </c>
      <c r="L479" s="7">
        <v>150</v>
      </c>
      <c r="M479" s="7">
        <v>30</v>
      </c>
      <c r="N479" s="7">
        <v>120</v>
      </c>
      <c r="O479" s="7">
        <v>25</v>
      </c>
      <c r="P479" s="7">
        <v>180</v>
      </c>
    </row>
    <row r="480" spans="1:16" s="10" customFormat="1">
      <c r="A480" s="7">
        <f>IF(B480="","",SUBTOTAL(103,$B$2:B480))</f>
        <v>479</v>
      </c>
      <c r="B480" s="8" t="s">
        <v>1434</v>
      </c>
      <c r="C480" s="7" t="s">
        <v>1451</v>
      </c>
      <c r="D480" s="9" t="s">
        <v>1454</v>
      </c>
      <c r="E480" s="7" t="s">
        <v>1437</v>
      </c>
      <c r="F480" s="7" t="s">
        <v>1088</v>
      </c>
      <c r="G480" s="7" t="s">
        <v>1455</v>
      </c>
      <c r="H480" s="7">
        <v>4.3999999999999997E-2</v>
      </c>
      <c r="I480" s="7">
        <v>80</v>
      </c>
      <c r="J480" s="7">
        <v>800</v>
      </c>
      <c r="K480" s="7">
        <v>600</v>
      </c>
      <c r="L480" s="7">
        <v>150</v>
      </c>
      <c r="M480" s="7">
        <v>30</v>
      </c>
      <c r="N480" s="7">
        <v>120</v>
      </c>
      <c r="O480" s="7">
        <v>25</v>
      </c>
      <c r="P480" s="7">
        <v>180</v>
      </c>
    </row>
    <row r="481" spans="1:16" s="10" customFormat="1">
      <c r="A481" s="7">
        <f>IF(B481="","",SUBTOTAL(103,$B$2:B481))</f>
        <v>480</v>
      </c>
      <c r="B481" s="8" t="s">
        <v>1434</v>
      </c>
      <c r="C481" s="7" t="s">
        <v>1456</v>
      </c>
      <c r="D481" s="9" t="s">
        <v>1457</v>
      </c>
      <c r="E481" s="7" t="s">
        <v>1437</v>
      </c>
      <c r="F481" s="7" t="s">
        <v>1092</v>
      </c>
      <c r="G481" s="7" t="s">
        <v>1458</v>
      </c>
      <c r="H481" s="7">
        <v>0.47</v>
      </c>
      <c r="I481" s="7">
        <v>8</v>
      </c>
      <c r="J481" s="7">
        <v>800</v>
      </c>
      <c r="K481" s="7">
        <v>600</v>
      </c>
      <c r="L481" s="7">
        <v>150</v>
      </c>
      <c r="M481" s="7">
        <v>30</v>
      </c>
      <c r="N481" s="7">
        <v>120</v>
      </c>
      <c r="O481" s="7">
        <v>225</v>
      </c>
      <c r="P481" s="7">
        <v>250</v>
      </c>
    </row>
    <row r="482" spans="1:16" s="10" customFormat="1">
      <c r="A482" s="7">
        <f>IF(B482="","",SUBTOTAL(103,$B$2:B482))</f>
        <v>481</v>
      </c>
      <c r="B482" s="8" t="s">
        <v>1434</v>
      </c>
      <c r="C482" s="7" t="s">
        <v>1456</v>
      </c>
      <c r="D482" s="9" t="s">
        <v>1459</v>
      </c>
      <c r="E482" s="7" t="s">
        <v>1437</v>
      </c>
      <c r="F482" s="7" t="s">
        <v>1095</v>
      </c>
      <c r="G482" s="7" t="s">
        <v>1460</v>
      </c>
      <c r="H482" s="7">
        <v>0.47</v>
      </c>
      <c r="I482" s="7">
        <v>8</v>
      </c>
      <c r="J482" s="7">
        <v>800</v>
      </c>
      <c r="K482" s="7">
        <v>600</v>
      </c>
      <c r="L482" s="7">
        <v>150</v>
      </c>
      <c r="M482" s="7">
        <v>30</v>
      </c>
      <c r="N482" s="7">
        <v>120</v>
      </c>
      <c r="O482" s="7">
        <v>225</v>
      </c>
      <c r="P482" s="7">
        <v>250</v>
      </c>
    </row>
    <row r="483" spans="1:16" s="10" customFormat="1">
      <c r="A483" s="7">
        <f>IF(B483="","",SUBTOTAL(103,$B$2:B483))</f>
        <v>482</v>
      </c>
      <c r="B483" s="8" t="s">
        <v>1434</v>
      </c>
      <c r="C483" s="7" t="s">
        <v>1422</v>
      </c>
      <c r="D483" s="9" t="s">
        <v>1461</v>
      </c>
      <c r="E483" s="7" t="s">
        <v>1437</v>
      </c>
      <c r="F483" s="7" t="s">
        <v>1099</v>
      </c>
      <c r="G483" s="7" t="s">
        <v>1462</v>
      </c>
      <c r="H483" s="7">
        <v>0.38900000000000001</v>
      </c>
      <c r="I483" s="7">
        <v>10</v>
      </c>
      <c r="J483" s="7">
        <v>800</v>
      </c>
      <c r="K483" s="7">
        <v>600</v>
      </c>
      <c r="L483" s="7">
        <v>150</v>
      </c>
      <c r="M483" s="7">
        <v>30</v>
      </c>
      <c r="N483" s="7">
        <v>120</v>
      </c>
      <c r="O483" s="7">
        <v>195</v>
      </c>
      <c r="P483" s="7">
        <v>300</v>
      </c>
    </row>
    <row r="484" spans="1:16" s="10" customFormat="1">
      <c r="A484" s="7">
        <f>IF(B484="","",SUBTOTAL(103,$B$2:B484))</f>
        <v>483</v>
      </c>
      <c r="B484" s="8" t="s">
        <v>1434</v>
      </c>
      <c r="C484" s="7" t="s">
        <v>1422</v>
      </c>
      <c r="D484" s="9" t="s">
        <v>1463</v>
      </c>
      <c r="E484" s="7" t="s">
        <v>1437</v>
      </c>
      <c r="F484" s="7" t="s">
        <v>1102</v>
      </c>
      <c r="G484" s="7" t="s">
        <v>1464</v>
      </c>
      <c r="H484" s="7">
        <v>0.38900000000000001</v>
      </c>
      <c r="I484" s="7">
        <v>10</v>
      </c>
      <c r="J484" s="7">
        <v>800</v>
      </c>
      <c r="K484" s="7">
        <v>600</v>
      </c>
      <c r="L484" s="7">
        <v>150</v>
      </c>
      <c r="M484" s="7">
        <v>30</v>
      </c>
      <c r="N484" s="7">
        <v>120</v>
      </c>
      <c r="O484" s="7">
        <v>195</v>
      </c>
      <c r="P484" s="7">
        <v>300</v>
      </c>
    </row>
    <row r="485" spans="1:16" s="10" customFormat="1">
      <c r="A485" s="7">
        <f>IF(B485="","",SUBTOTAL(103,$B$2:B485))</f>
        <v>484</v>
      </c>
      <c r="B485" s="8" t="s">
        <v>1434</v>
      </c>
      <c r="C485" s="7" t="s">
        <v>1465</v>
      </c>
      <c r="D485" s="9" t="s">
        <v>1466</v>
      </c>
      <c r="E485" s="7" t="s">
        <v>1437</v>
      </c>
      <c r="F485" s="7" t="s">
        <v>1106</v>
      </c>
      <c r="G485" s="7" t="s">
        <v>1467</v>
      </c>
      <c r="H485" s="7">
        <v>0.79100000000000004</v>
      </c>
      <c r="I485" s="7">
        <v>4</v>
      </c>
      <c r="J485" s="7">
        <v>800</v>
      </c>
      <c r="K485" s="7">
        <v>600</v>
      </c>
      <c r="L485" s="7">
        <v>150</v>
      </c>
      <c r="M485" s="7">
        <v>30</v>
      </c>
      <c r="N485" s="7">
        <v>120</v>
      </c>
      <c r="O485" s="7">
        <v>500</v>
      </c>
      <c r="P485" s="7">
        <v>600</v>
      </c>
    </row>
    <row r="486" spans="1:16" s="10" customFormat="1">
      <c r="A486" s="7">
        <f>IF(B486="","",SUBTOTAL(103,$B$2:B486))</f>
        <v>485</v>
      </c>
      <c r="B486" s="8" t="s">
        <v>1434</v>
      </c>
      <c r="C486" s="7" t="s">
        <v>1465</v>
      </c>
      <c r="D486" s="9" t="s">
        <v>1468</v>
      </c>
      <c r="E486" s="7" t="s">
        <v>1437</v>
      </c>
      <c r="F486" s="7" t="s">
        <v>1109</v>
      </c>
      <c r="G486" s="7" t="s">
        <v>1469</v>
      </c>
      <c r="H486" s="7">
        <v>0.79100000000000004</v>
      </c>
      <c r="I486" s="7">
        <v>4</v>
      </c>
      <c r="J486" s="7">
        <v>800</v>
      </c>
      <c r="K486" s="7">
        <v>600</v>
      </c>
      <c r="L486" s="7">
        <v>150</v>
      </c>
      <c r="M486" s="7">
        <v>30</v>
      </c>
      <c r="N486" s="7">
        <v>120</v>
      </c>
      <c r="O486" s="7">
        <v>500</v>
      </c>
      <c r="P486" s="7">
        <v>600</v>
      </c>
    </row>
    <row r="487" spans="1:16" s="10" customFormat="1">
      <c r="A487" s="7">
        <f>IF(B487="","",SUBTOTAL(103,$B$2:B487))</f>
        <v>486</v>
      </c>
      <c r="B487" s="8" t="s">
        <v>1434</v>
      </c>
      <c r="C487" s="7" t="s">
        <v>1470</v>
      </c>
      <c r="D487" s="9" t="s">
        <v>1471</v>
      </c>
      <c r="E487" s="7" t="s">
        <v>1437</v>
      </c>
      <c r="F487" s="7" t="s">
        <v>1113</v>
      </c>
      <c r="G487" s="7" t="s">
        <v>1472</v>
      </c>
      <c r="H487" s="7">
        <v>1.2070000000000001</v>
      </c>
      <c r="I487" s="7">
        <v>4</v>
      </c>
      <c r="J487" s="7">
        <v>800</v>
      </c>
      <c r="K487" s="7">
        <v>600</v>
      </c>
      <c r="L487" s="7">
        <v>150</v>
      </c>
      <c r="M487" s="7">
        <v>30</v>
      </c>
      <c r="N487" s="7">
        <v>120</v>
      </c>
      <c r="O487" s="7">
        <v>500</v>
      </c>
      <c r="P487" s="7">
        <v>600</v>
      </c>
    </row>
    <row r="488" spans="1:16" s="10" customFormat="1">
      <c r="A488" s="7">
        <f>IF(B488="","",SUBTOTAL(103,$B$2:B488))</f>
        <v>487</v>
      </c>
      <c r="B488" s="8" t="s">
        <v>1434</v>
      </c>
      <c r="C488" s="7" t="s">
        <v>1470</v>
      </c>
      <c r="D488" s="9" t="s">
        <v>1473</v>
      </c>
      <c r="E488" s="7" t="s">
        <v>1437</v>
      </c>
      <c r="F488" s="7" t="s">
        <v>1116</v>
      </c>
      <c r="G488" s="7" t="s">
        <v>1474</v>
      </c>
      <c r="H488" s="7">
        <v>1.21</v>
      </c>
      <c r="I488" s="7">
        <v>4</v>
      </c>
      <c r="J488" s="7">
        <v>800</v>
      </c>
      <c r="K488" s="7">
        <v>600</v>
      </c>
      <c r="L488" s="7">
        <v>150</v>
      </c>
      <c r="M488" s="7">
        <v>30</v>
      </c>
      <c r="N488" s="7">
        <v>120</v>
      </c>
      <c r="O488" s="7">
        <v>500</v>
      </c>
      <c r="P488" s="7">
        <v>600</v>
      </c>
    </row>
    <row r="489" spans="1:16" s="10" customFormat="1">
      <c r="A489" s="7">
        <f>IF(B489="","",SUBTOTAL(103,$B$2:B489))</f>
        <v>488</v>
      </c>
      <c r="B489" s="8" t="s">
        <v>1434</v>
      </c>
      <c r="C489" s="7" t="s">
        <v>1475</v>
      </c>
      <c r="D489" s="9" t="s">
        <v>1476</v>
      </c>
      <c r="E489" s="7" t="s">
        <v>1437</v>
      </c>
      <c r="F489" s="7" t="s">
        <v>1120</v>
      </c>
      <c r="G489" s="7" t="s">
        <v>1477</v>
      </c>
      <c r="H489" s="7">
        <v>1.512</v>
      </c>
      <c r="I489" s="7">
        <v>2</v>
      </c>
      <c r="J489" s="7">
        <v>800</v>
      </c>
      <c r="K489" s="7">
        <v>600</v>
      </c>
      <c r="L489" s="7">
        <v>150</v>
      </c>
      <c r="M489" s="7">
        <v>30</v>
      </c>
      <c r="N489" s="7">
        <v>120</v>
      </c>
      <c r="O489" s="7">
        <v>1000</v>
      </c>
      <c r="P489" s="7">
        <v>1100</v>
      </c>
    </row>
    <row r="490" spans="1:16" s="10" customFormat="1">
      <c r="A490" s="7">
        <f>IF(B490="","",SUBTOTAL(103,$B$2:B490))</f>
        <v>489</v>
      </c>
      <c r="B490" s="8" t="s">
        <v>1434</v>
      </c>
      <c r="C490" s="7" t="s">
        <v>1475</v>
      </c>
      <c r="D490" s="9" t="s">
        <v>1478</v>
      </c>
      <c r="E490" s="7" t="s">
        <v>1437</v>
      </c>
      <c r="F490" s="7" t="s">
        <v>1123</v>
      </c>
      <c r="G490" s="7" t="s">
        <v>1479</v>
      </c>
      <c r="H490" s="7">
        <v>1.512</v>
      </c>
      <c r="I490" s="7">
        <v>2</v>
      </c>
      <c r="J490" s="7">
        <v>800</v>
      </c>
      <c r="K490" s="7">
        <v>600</v>
      </c>
      <c r="L490" s="7">
        <v>150</v>
      </c>
      <c r="M490" s="7">
        <v>30</v>
      </c>
      <c r="N490" s="7">
        <v>120</v>
      </c>
      <c r="O490" s="7">
        <v>1000</v>
      </c>
      <c r="P490" s="7">
        <v>1100</v>
      </c>
    </row>
    <row r="491" spans="1:16" s="10" customFormat="1">
      <c r="A491" s="7">
        <f>IF(B491="","",SUBTOTAL(103,$B$2:B491))</f>
        <v>490</v>
      </c>
      <c r="B491" s="8" t="s">
        <v>1434</v>
      </c>
      <c r="C491" s="7" t="s">
        <v>1480</v>
      </c>
      <c r="D491" s="9" t="s">
        <v>1481</v>
      </c>
      <c r="E491" s="7" t="s">
        <v>1437</v>
      </c>
      <c r="F491" s="7" t="s">
        <v>1127</v>
      </c>
      <c r="G491" s="7" t="s">
        <v>1482</v>
      </c>
      <c r="H491" s="7">
        <v>0.17299999999999999</v>
      </c>
      <c r="I491" s="7">
        <v>28</v>
      </c>
      <c r="J491" s="7">
        <v>800</v>
      </c>
      <c r="K491" s="7">
        <v>600</v>
      </c>
      <c r="L491" s="7">
        <v>150</v>
      </c>
      <c r="M491" s="7">
        <v>30</v>
      </c>
      <c r="N491" s="7">
        <v>120</v>
      </c>
      <c r="O491" s="7">
        <v>70</v>
      </c>
      <c r="P491" s="7">
        <v>265</v>
      </c>
    </row>
    <row r="492" spans="1:16" s="10" customFormat="1">
      <c r="A492" s="7">
        <f>IF(B492="","",SUBTOTAL(103,$B$2:B492))</f>
        <v>491</v>
      </c>
      <c r="B492" s="8" t="s">
        <v>1434</v>
      </c>
      <c r="C492" s="7" t="s">
        <v>1480</v>
      </c>
      <c r="D492" s="9" t="s">
        <v>1483</v>
      </c>
      <c r="E492" s="7" t="s">
        <v>1437</v>
      </c>
      <c r="F492" s="7" t="s">
        <v>1130</v>
      </c>
      <c r="G492" s="7" t="s">
        <v>1484</v>
      </c>
      <c r="H492" s="7">
        <v>0.17299999999999999</v>
      </c>
      <c r="I492" s="7">
        <v>28</v>
      </c>
      <c r="J492" s="7">
        <v>800</v>
      </c>
      <c r="K492" s="7">
        <v>600</v>
      </c>
      <c r="L492" s="7">
        <v>150</v>
      </c>
      <c r="M492" s="7">
        <v>30</v>
      </c>
      <c r="N492" s="7">
        <v>120</v>
      </c>
      <c r="O492" s="7">
        <v>70</v>
      </c>
      <c r="P492" s="7">
        <v>265</v>
      </c>
    </row>
    <row r="493" spans="1:16" s="10" customFormat="1">
      <c r="A493" s="7">
        <f>IF(B493="","",SUBTOTAL(103,$B$2:B493))</f>
        <v>492</v>
      </c>
      <c r="B493" s="8" t="s">
        <v>1434</v>
      </c>
      <c r="C493" s="7" t="s">
        <v>1485</v>
      </c>
      <c r="D493" s="9" t="s">
        <v>1486</v>
      </c>
      <c r="E493" s="7" t="s">
        <v>1437</v>
      </c>
      <c r="F493" s="7" t="s">
        <v>1002</v>
      </c>
      <c r="G493" s="7" t="s">
        <v>1487</v>
      </c>
      <c r="H493" s="7">
        <v>8.6999999999999994E-2</v>
      </c>
      <c r="I493" s="7">
        <v>48</v>
      </c>
      <c r="J493" s="7">
        <v>800</v>
      </c>
      <c r="K493" s="7">
        <v>600</v>
      </c>
      <c r="L493" s="7">
        <v>150</v>
      </c>
      <c r="M493" s="7">
        <v>30</v>
      </c>
      <c r="N493" s="7">
        <v>120</v>
      </c>
      <c r="O493" s="7">
        <v>41</v>
      </c>
      <c r="P493" s="7">
        <v>215</v>
      </c>
    </row>
    <row r="494" spans="1:16" s="10" customFormat="1">
      <c r="A494" s="7">
        <f>IF(B494="","",SUBTOTAL(103,$B$2:B494))</f>
        <v>493</v>
      </c>
      <c r="B494" s="8" t="s">
        <v>1434</v>
      </c>
      <c r="C494" s="7" t="s">
        <v>1485</v>
      </c>
      <c r="D494" s="9" t="s">
        <v>1488</v>
      </c>
      <c r="E494" s="7" t="s">
        <v>1437</v>
      </c>
      <c r="F494" s="7" t="s">
        <v>1135</v>
      </c>
      <c r="G494" s="7" t="s">
        <v>1489</v>
      </c>
      <c r="H494" s="7">
        <v>8.6999999999999994E-2</v>
      </c>
      <c r="I494" s="7">
        <v>48</v>
      </c>
      <c r="J494" s="7">
        <v>800</v>
      </c>
      <c r="K494" s="7">
        <v>600</v>
      </c>
      <c r="L494" s="7">
        <v>150</v>
      </c>
      <c r="M494" s="7">
        <v>30</v>
      </c>
      <c r="N494" s="7">
        <v>120</v>
      </c>
      <c r="O494" s="7">
        <v>41</v>
      </c>
      <c r="P494" s="7">
        <v>215</v>
      </c>
    </row>
    <row r="495" spans="1:16" s="10" customFormat="1">
      <c r="A495" s="7">
        <f>IF(B495="","",SUBTOTAL(103,$B$2:B495))</f>
        <v>494</v>
      </c>
      <c r="B495" s="8" t="s">
        <v>1434</v>
      </c>
      <c r="C495" s="7" t="s">
        <v>1490</v>
      </c>
      <c r="D495" s="9" t="s">
        <v>1491</v>
      </c>
      <c r="E495" s="7" t="s">
        <v>1437</v>
      </c>
      <c r="F495" s="7" t="s">
        <v>1139</v>
      </c>
      <c r="G495" s="7" t="s">
        <v>1492</v>
      </c>
      <c r="H495" s="7">
        <v>2.403</v>
      </c>
      <c r="I495" s="7">
        <v>1</v>
      </c>
      <c r="J495" s="7">
        <v>800</v>
      </c>
      <c r="K495" s="7">
        <v>600</v>
      </c>
      <c r="L495" s="7">
        <v>150</v>
      </c>
      <c r="M495" s="7">
        <v>30</v>
      </c>
      <c r="N495" s="7">
        <v>120</v>
      </c>
      <c r="O495" s="7">
        <v>2000</v>
      </c>
      <c r="P495" s="7">
        <v>2050</v>
      </c>
    </row>
    <row r="496" spans="1:16" s="10" customFormat="1">
      <c r="A496" s="7">
        <f>IF(B496="","",SUBTOTAL(103,$B$2:B496))</f>
        <v>495</v>
      </c>
      <c r="B496" s="8" t="s">
        <v>1434</v>
      </c>
      <c r="C496" s="7" t="s">
        <v>1490</v>
      </c>
      <c r="D496" s="9" t="s">
        <v>1493</v>
      </c>
      <c r="E496" s="7" t="s">
        <v>1437</v>
      </c>
      <c r="F496" s="7" t="s">
        <v>1142</v>
      </c>
      <c r="G496" s="7" t="s">
        <v>1494</v>
      </c>
      <c r="H496" s="7">
        <v>2.403</v>
      </c>
      <c r="I496" s="7">
        <v>1</v>
      </c>
      <c r="J496" s="7">
        <v>800</v>
      </c>
      <c r="K496" s="7">
        <v>600</v>
      </c>
      <c r="L496" s="7">
        <v>150</v>
      </c>
      <c r="M496" s="7">
        <v>30</v>
      </c>
      <c r="N496" s="7">
        <v>120</v>
      </c>
      <c r="O496" s="7">
        <v>2000</v>
      </c>
      <c r="P496" s="7">
        <v>2050</v>
      </c>
    </row>
    <row r="497" spans="1:16" s="10" customFormat="1">
      <c r="A497" s="7">
        <f>IF(B497="","",SUBTOTAL(103,$B$2:B497))</f>
        <v>496</v>
      </c>
      <c r="B497" s="8" t="s">
        <v>1495</v>
      </c>
      <c r="C497" s="7" t="s">
        <v>1496</v>
      </c>
      <c r="D497" s="9" t="s">
        <v>1497</v>
      </c>
      <c r="E497" s="7" t="s">
        <v>1498</v>
      </c>
      <c r="F497" s="7" t="s">
        <v>1300</v>
      </c>
      <c r="G497" s="7" t="s">
        <v>1499</v>
      </c>
      <c r="H497" s="7">
        <v>0.26900000000000002</v>
      </c>
      <c r="I497" s="7">
        <v>24</v>
      </c>
      <c r="J497" s="7">
        <v>800</v>
      </c>
      <c r="K497" s="7">
        <v>600</v>
      </c>
      <c r="L497" s="7">
        <v>150</v>
      </c>
      <c r="M497" s="7">
        <v>30</v>
      </c>
      <c r="N497" s="7">
        <v>120</v>
      </c>
      <c r="O497" s="7">
        <v>75</v>
      </c>
      <c r="P497" s="7">
        <v>315</v>
      </c>
    </row>
    <row r="498" spans="1:16" s="10" customFormat="1">
      <c r="A498" s="7">
        <f>IF(B498="","",SUBTOTAL(103,$B$2:B498))</f>
        <v>497</v>
      </c>
      <c r="B498" s="8" t="s">
        <v>1495</v>
      </c>
      <c r="C498" s="7" t="s">
        <v>1496</v>
      </c>
      <c r="D498" s="9" t="s">
        <v>1500</v>
      </c>
      <c r="E498" s="7" t="s">
        <v>1498</v>
      </c>
      <c r="F498" s="7" t="s">
        <v>1303</v>
      </c>
      <c r="G498" s="7" t="s">
        <v>1501</v>
      </c>
      <c r="H498" s="7">
        <v>0.26900000000000002</v>
      </c>
      <c r="I498" s="7">
        <v>24</v>
      </c>
      <c r="J498" s="7">
        <v>800</v>
      </c>
      <c r="K498" s="7">
        <v>600</v>
      </c>
      <c r="L498" s="7">
        <v>150</v>
      </c>
      <c r="M498" s="7">
        <v>30</v>
      </c>
      <c r="N498" s="7">
        <v>120</v>
      </c>
      <c r="O498" s="7">
        <v>75</v>
      </c>
      <c r="P498" s="7">
        <v>315</v>
      </c>
    </row>
    <row r="499" spans="1:16" s="10" customFormat="1">
      <c r="A499" s="7">
        <f>IF(B499="","",SUBTOTAL(103,$B$2:B499))</f>
        <v>498</v>
      </c>
      <c r="B499" s="8" t="s">
        <v>1495</v>
      </c>
      <c r="C499" s="7" t="s">
        <v>1496</v>
      </c>
      <c r="D499" s="9" t="s">
        <v>1502</v>
      </c>
      <c r="E499" s="7" t="s">
        <v>1429</v>
      </c>
      <c r="F499" s="7" t="s">
        <v>1303</v>
      </c>
      <c r="G499" s="7" t="s">
        <v>1503</v>
      </c>
      <c r="H499" s="7">
        <v>0.26900000000000002</v>
      </c>
      <c r="I499" s="7">
        <v>24</v>
      </c>
      <c r="J499" s="7">
        <v>800</v>
      </c>
      <c r="K499" s="7">
        <v>600</v>
      </c>
      <c r="L499" s="7">
        <v>150</v>
      </c>
      <c r="M499" s="7">
        <v>30</v>
      </c>
      <c r="N499" s="7">
        <v>120</v>
      </c>
      <c r="O499" s="7">
        <v>75</v>
      </c>
      <c r="P499" s="7">
        <v>315</v>
      </c>
    </row>
    <row r="500" spans="1:16" s="10" customFormat="1">
      <c r="A500" s="7">
        <f>IF(B500="","",SUBTOTAL(103,$B$2:B500))</f>
        <v>499</v>
      </c>
      <c r="B500" s="8" t="s">
        <v>1495</v>
      </c>
      <c r="C500" s="7" t="s">
        <v>1427</v>
      </c>
      <c r="D500" s="9" t="s">
        <v>1504</v>
      </c>
      <c r="E500" s="7" t="s">
        <v>1498</v>
      </c>
      <c r="F500" s="7" t="s">
        <v>1306</v>
      </c>
      <c r="G500" s="7" t="s">
        <v>1505</v>
      </c>
      <c r="H500" s="7">
        <v>0.113</v>
      </c>
      <c r="I500" s="7">
        <v>48</v>
      </c>
      <c r="J500" s="7">
        <v>800</v>
      </c>
      <c r="K500" s="7">
        <v>600</v>
      </c>
      <c r="L500" s="7">
        <v>150</v>
      </c>
      <c r="M500" s="7">
        <v>30</v>
      </c>
      <c r="N500" s="7">
        <v>120</v>
      </c>
      <c r="O500" s="7">
        <v>41</v>
      </c>
      <c r="P500" s="7">
        <v>235</v>
      </c>
    </row>
    <row r="501" spans="1:16" s="10" customFormat="1">
      <c r="A501" s="7">
        <f>IF(B501="","",SUBTOTAL(103,$B$2:B501))</f>
        <v>500</v>
      </c>
      <c r="B501" s="8" t="s">
        <v>1495</v>
      </c>
      <c r="C501" s="7" t="s">
        <v>1427</v>
      </c>
      <c r="D501" s="9" t="s">
        <v>1506</v>
      </c>
      <c r="E501" s="7" t="s">
        <v>1498</v>
      </c>
      <c r="F501" s="7" t="s">
        <v>1309</v>
      </c>
      <c r="G501" s="7" t="s">
        <v>1507</v>
      </c>
      <c r="H501" s="7">
        <v>0.113</v>
      </c>
      <c r="I501" s="7">
        <v>48</v>
      </c>
      <c r="J501" s="7">
        <v>800</v>
      </c>
      <c r="K501" s="7">
        <v>600</v>
      </c>
      <c r="L501" s="7">
        <v>150</v>
      </c>
      <c r="M501" s="7">
        <v>30</v>
      </c>
      <c r="N501" s="7">
        <v>120</v>
      </c>
      <c r="O501" s="7">
        <v>41</v>
      </c>
      <c r="P501" s="7">
        <v>235</v>
      </c>
    </row>
    <row r="502" spans="1:16" s="10" customFormat="1">
      <c r="A502" s="7">
        <f>IF(B502="","",SUBTOTAL(103,$B$2:B502))</f>
        <v>501</v>
      </c>
      <c r="B502" s="8" t="s">
        <v>1495</v>
      </c>
      <c r="C502" s="7" t="s">
        <v>1508</v>
      </c>
      <c r="D502" s="9" t="s">
        <v>1509</v>
      </c>
      <c r="E502" s="7" t="s">
        <v>1498</v>
      </c>
      <c r="F502" s="7" t="s">
        <v>1312</v>
      </c>
      <c r="G502" s="7" t="s">
        <v>1510</v>
      </c>
      <c r="H502" s="7">
        <v>5.6000000000000001E-2</v>
      </c>
      <c r="I502" s="7">
        <v>80</v>
      </c>
      <c r="J502" s="7">
        <v>800</v>
      </c>
      <c r="K502" s="7">
        <v>600</v>
      </c>
      <c r="L502" s="7">
        <v>150</v>
      </c>
      <c r="M502" s="7">
        <v>30</v>
      </c>
      <c r="N502" s="7">
        <v>120</v>
      </c>
      <c r="O502" s="7">
        <v>25</v>
      </c>
      <c r="P502" s="7">
        <v>200</v>
      </c>
    </row>
    <row r="503" spans="1:16" s="10" customFormat="1">
      <c r="A503" s="7">
        <f>IF(B503="","",SUBTOTAL(103,$B$2:B503))</f>
        <v>502</v>
      </c>
      <c r="B503" s="8" t="s">
        <v>1495</v>
      </c>
      <c r="C503" s="7" t="s">
        <v>1508</v>
      </c>
      <c r="D503" s="9" t="s">
        <v>1511</v>
      </c>
      <c r="E503" s="7" t="s">
        <v>1498</v>
      </c>
      <c r="F503" s="7" t="s">
        <v>1315</v>
      </c>
      <c r="G503" s="7" t="s">
        <v>1512</v>
      </c>
      <c r="H503" s="7">
        <v>5.6000000000000001E-2</v>
      </c>
      <c r="I503" s="7">
        <v>80</v>
      </c>
      <c r="J503" s="7">
        <v>800</v>
      </c>
      <c r="K503" s="7">
        <v>600</v>
      </c>
      <c r="L503" s="7">
        <v>150</v>
      </c>
      <c r="M503" s="7">
        <v>30</v>
      </c>
      <c r="N503" s="7">
        <v>120</v>
      </c>
      <c r="O503" s="7">
        <v>25</v>
      </c>
      <c r="P503" s="7">
        <v>200</v>
      </c>
    </row>
    <row r="504" spans="1:16" s="10" customFormat="1">
      <c r="A504" s="7">
        <f>IF(B504="","",SUBTOTAL(103,$B$2:B504))</f>
        <v>503</v>
      </c>
      <c r="B504" s="8" t="s">
        <v>1495</v>
      </c>
      <c r="C504" s="7" t="s">
        <v>1508</v>
      </c>
      <c r="D504" s="9" t="s">
        <v>1513</v>
      </c>
      <c r="E504" s="7" t="s">
        <v>1429</v>
      </c>
      <c r="F504" s="7" t="s">
        <v>1315</v>
      </c>
      <c r="G504" s="7" t="s">
        <v>1514</v>
      </c>
      <c r="H504" s="7">
        <v>5.6000000000000001E-2</v>
      </c>
      <c r="I504" s="7">
        <v>80</v>
      </c>
      <c r="J504" s="7">
        <v>800</v>
      </c>
      <c r="K504" s="7">
        <v>600</v>
      </c>
      <c r="L504" s="7">
        <v>150</v>
      </c>
      <c r="M504" s="7">
        <v>30</v>
      </c>
      <c r="N504" s="7">
        <v>120</v>
      </c>
      <c r="O504" s="7">
        <v>25</v>
      </c>
      <c r="P504" s="7">
        <v>200</v>
      </c>
    </row>
    <row r="505" spans="1:16" s="10" customFormat="1">
      <c r="A505" s="7">
        <f>IF(B505="","",SUBTOTAL(103,$B$2:B505))</f>
        <v>504</v>
      </c>
      <c r="B505" s="8" t="s">
        <v>1495</v>
      </c>
      <c r="C505" s="7" t="s">
        <v>1515</v>
      </c>
      <c r="D505" s="9" t="s">
        <v>1516</v>
      </c>
      <c r="E505" s="7" t="s">
        <v>1498</v>
      </c>
      <c r="F505" s="7" t="s">
        <v>1318</v>
      </c>
      <c r="G505" s="7" t="s">
        <v>1517</v>
      </c>
      <c r="H505" s="7">
        <v>0.04</v>
      </c>
      <c r="I505" s="7">
        <v>80</v>
      </c>
      <c r="J505" s="7">
        <v>800</v>
      </c>
      <c r="K505" s="7">
        <v>600</v>
      </c>
      <c r="L505" s="7">
        <v>150</v>
      </c>
      <c r="M505" s="7">
        <v>30</v>
      </c>
      <c r="N505" s="7">
        <v>120</v>
      </c>
      <c r="O505" s="7">
        <v>25</v>
      </c>
      <c r="P505" s="7">
        <v>180</v>
      </c>
    </row>
    <row r="506" spans="1:16" s="10" customFormat="1">
      <c r="A506" s="7">
        <f>IF(B506="","",SUBTOTAL(103,$B$2:B506))</f>
        <v>505</v>
      </c>
      <c r="B506" s="8" t="s">
        <v>1495</v>
      </c>
      <c r="C506" s="7" t="s">
        <v>1515</v>
      </c>
      <c r="D506" s="9" t="s">
        <v>1518</v>
      </c>
      <c r="E506" s="7" t="s">
        <v>1498</v>
      </c>
      <c r="F506" s="7" t="s">
        <v>1322</v>
      </c>
      <c r="G506" s="7" t="s">
        <v>1519</v>
      </c>
      <c r="H506" s="7">
        <v>0.04</v>
      </c>
      <c r="I506" s="7">
        <v>80</v>
      </c>
      <c r="J506" s="7">
        <v>800</v>
      </c>
      <c r="K506" s="7">
        <v>600</v>
      </c>
      <c r="L506" s="7">
        <v>150</v>
      </c>
      <c r="M506" s="7">
        <v>30</v>
      </c>
      <c r="N506" s="7">
        <v>120</v>
      </c>
      <c r="O506" s="7">
        <v>25</v>
      </c>
      <c r="P506" s="7">
        <v>180</v>
      </c>
    </row>
    <row r="507" spans="1:16" s="10" customFormat="1">
      <c r="A507" s="7">
        <f>IF(B507="","",SUBTOTAL(103,$B$2:B507))</f>
        <v>506</v>
      </c>
      <c r="B507" s="8" t="s">
        <v>1495</v>
      </c>
      <c r="C507" s="7" t="s">
        <v>1515</v>
      </c>
      <c r="D507" s="9" t="s">
        <v>1520</v>
      </c>
      <c r="E507" s="7" t="s">
        <v>1429</v>
      </c>
      <c r="F507" s="7" t="s">
        <v>1322</v>
      </c>
      <c r="G507" s="7" t="str">
        <f>E507&amp;F507</f>
        <v>KI 114  KI-05 LB451/8 CF8M NPT</v>
      </c>
      <c r="H507" s="7">
        <v>0.04</v>
      </c>
      <c r="I507" s="7">
        <v>80</v>
      </c>
      <c r="J507" s="7">
        <v>800</v>
      </c>
      <c r="K507" s="7">
        <v>600</v>
      </c>
      <c r="L507" s="7">
        <v>150</v>
      </c>
      <c r="M507" s="7">
        <v>30</v>
      </c>
      <c r="N507" s="7">
        <v>120</v>
      </c>
      <c r="O507" s="7">
        <v>25</v>
      </c>
      <c r="P507" s="7">
        <v>180</v>
      </c>
    </row>
    <row r="508" spans="1:16" s="10" customFormat="1">
      <c r="A508" s="7">
        <f>IF(B508="","",SUBTOTAL(103,$B$2:B508))</f>
        <v>507</v>
      </c>
      <c r="B508" s="8" t="s">
        <v>1495</v>
      </c>
      <c r="C508" s="7" t="s">
        <v>1521</v>
      </c>
      <c r="D508" s="9" t="s">
        <v>1522</v>
      </c>
      <c r="E508" s="7" t="s">
        <v>1498</v>
      </c>
      <c r="F508" s="7" t="s">
        <v>1325</v>
      </c>
      <c r="G508" s="7" t="s">
        <v>1523</v>
      </c>
      <c r="H508" s="7">
        <v>0.95099999999999996</v>
      </c>
      <c r="I508" s="7">
        <v>8</v>
      </c>
      <c r="J508" s="7">
        <v>800</v>
      </c>
      <c r="K508" s="7">
        <v>600</v>
      </c>
      <c r="L508" s="7">
        <v>150</v>
      </c>
      <c r="M508" s="7">
        <v>30</v>
      </c>
      <c r="N508" s="7">
        <v>120</v>
      </c>
      <c r="O508" s="7">
        <v>225</v>
      </c>
      <c r="P508" s="7">
        <v>250</v>
      </c>
    </row>
    <row r="509" spans="1:16" s="10" customFormat="1">
      <c r="A509" s="7">
        <f>IF(B509="","",SUBTOTAL(103,$B$2:B509))</f>
        <v>508</v>
      </c>
      <c r="B509" s="8" t="s">
        <v>1495</v>
      </c>
      <c r="C509" s="7" t="s">
        <v>1521</v>
      </c>
      <c r="D509" s="9" t="s">
        <v>1524</v>
      </c>
      <c r="E509" s="7" t="s">
        <v>1498</v>
      </c>
      <c r="F509" s="7" t="s">
        <v>1328</v>
      </c>
      <c r="G509" s="7" t="s">
        <v>1525</v>
      </c>
      <c r="H509" s="7">
        <v>0.95099999999999996</v>
      </c>
      <c r="I509" s="7">
        <v>8</v>
      </c>
      <c r="J509" s="7">
        <v>800</v>
      </c>
      <c r="K509" s="7">
        <v>600</v>
      </c>
      <c r="L509" s="7">
        <v>150</v>
      </c>
      <c r="M509" s="7">
        <v>30</v>
      </c>
      <c r="N509" s="7">
        <v>120</v>
      </c>
      <c r="O509" s="7">
        <v>225</v>
      </c>
      <c r="P509" s="7">
        <v>250</v>
      </c>
    </row>
    <row r="510" spans="1:16" s="10" customFormat="1">
      <c r="A510" s="7">
        <f>IF(B510="","",SUBTOTAL(103,$B$2:B510))</f>
        <v>509</v>
      </c>
      <c r="B510" s="8" t="s">
        <v>1495</v>
      </c>
      <c r="C510" s="7" t="s">
        <v>1526</v>
      </c>
      <c r="D510" s="9" t="s">
        <v>1527</v>
      </c>
      <c r="E510" s="7" t="s">
        <v>1498</v>
      </c>
      <c r="F510" s="7" t="s">
        <v>1331</v>
      </c>
      <c r="G510" s="7" t="s">
        <v>1528</v>
      </c>
      <c r="H510" s="7">
        <v>0.434</v>
      </c>
      <c r="I510" s="7">
        <v>10</v>
      </c>
      <c r="J510" s="7">
        <v>800</v>
      </c>
      <c r="K510" s="7">
        <v>600</v>
      </c>
      <c r="L510" s="7">
        <v>150</v>
      </c>
      <c r="M510" s="7">
        <v>30</v>
      </c>
      <c r="N510" s="7">
        <v>120</v>
      </c>
      <c r="O510" s="7">
        <v>195</v>
      </c>
      <c r="P510" s="7">
        <v>300</v>
      </c>
    </row>
    <row r="511" spans="1:16" s="10" customFormat="1">
      <c r="A511" s="7">
        <f>IF(B511="","",SUBTOTAL(103,$B$2:B511))</f>
        <v>510</v>
      </c>
      <c r="B511" s="8" t="s">
        <v>1495</v>
      </c>
      <c r="C511" s="7" t="s">
        <v>1526</v>
      </c>
      <c r="D511" s="9" t="s">
        <v>1529</v>
      </c>
      <c r="E511" s="7" t="s">
        <v>1498</v>
      </c>
      <c r="F511" s="7" t="s">
        <v>1334</v>
      </c>
      <c r="G511" s="7" t="s">
        <v>1530</v>
      </c>
      <c r="H511" s="7">
        <v>0.434</v>
      </c>
      <c r="I511" s="7">
        <v>10</v>
      </c>
      <c r="J511" s="7">
        <v>800</v>
      </c>
      <c r="K511" s="7">
        <v>600</v>
      </c>
      <c r="L511" s="7">
        <v>150</v>
      </c>
      <c r="M511" s="7">
        <v>30</v>
      </c>
      <c r="N511" s="7">
        <v>120</v>
      </c>
      <c r="O511" s="7">
        <v>195</v>
      </c>
      <c r="P511" s="7">
        <v>300</v>
      </c>
    </row>
    <row r="512" spans="1:16" s="10" customFormat="1">
      <c r="A512" s="7">
        <f>IF(B512="","",SUBTOTAL(103,$B$2:B512))</f>
        <v>511</v>
      </c>
      <c r="B512" s="8" t="s">
        <v>1495</v>
      </c>
      <c r="C512" s="7" t="s">
        <v>1526</v>
      </c>
      <c r="D512" s="9" t="s">
        <v>1531</v>
      </c>
      <c r="E512" s="7" t="s">
        <v>1429</v>
      </c>
      <c r="F512" s="7" t="s">
        <v>1334</v>
      </c>
      <c r="G512" s="7" t="s">
        <v>1532</v>
      </c>
      <c r="H512" s="7">
        <v>0.434</v>
      </c>
      <c r="I512" s="7">
        <v>18</v>
      </c>
      <c r="J512" s="7">
        <v>800</v>
      </c>
      <c r="K512" s="7">
        <v>600</v>
      </c>
      <c r="L512" s="7">
        <v>150</v>
      </c>
      <c r="M512" s="7">
        <v>30</v>
      </c>
      <c r="N512" s="7">
        <v>120</v>
      </c>
      <c r="O512" s="7">
        <v>195</v>
      </c>
      <c r="P512" s="7">
        <v>300</v>
      </c>
    </row>
    <row r="513" spans="1:16" s="10" customFormat="1">
      <c r="A513" s="7">
        <f>IF(B513="","",SUBTOTAL(103,$B$2:B513))</f>
        <v>512</v>
      </c>
      <c r="B513" s="8" t="s">
        <v>1495</v>
      </c>
      <c r="C513" s="7" t="s">
        <v>1533</v>
      </c>
      <c r="D513" s="9" t="s">
        <v>1534</v>
      </c>
      <c r="E513" s="7" t="s">
        <v>1498</v>
      </c>
      <c r="F513" s="7" t="s">
        <v>1339</v>
      </c>
      <c r="G513" s="7" t="s">
        <v>1535</v>
      </c>
      <c r="H513" s="7">
        <v>0.97299999999999998</v>
      </c>
      <c r="I513" s="7">
        <v>4</v>
      </c>
      <c r="J513" s="7">
        <v>800</v>
      </c>
      <c r="K513" s="7">
        <v>600</v>
      </c>
      <c r="L513" s="7">
        <v>150</v>
      </c>
      <c r="M513" s="7">
        <v>30</v>
      </c>
      <c r="N513" s="7">
        <v>120</v>
      </c>
      <c r="O513" s="7">
        <v>500</v>
      </c>
      <c r="P513" s="7">
        <v>600</v>
      </c>
    </row>
    <row r="514" spans="1:16" s="10" customFormat="1">
      <c r="A514" s="7">
        <f>IF(B514="","",SUBTOTAL(103,$B$2:B514))</f>
        <v>513</v>
      </c>
      <c r="B514" s="8" t="s">
        <v>1495</v>
      </c>
      <c r="C514" s="7" t="s">
        <v>1533</v>
      </c>
      <c r="D514" s="9" t="s">
        <v>1536</v>
      </c>
      <c r="E514" s="7" t="s">
        <v>1498</v>
      </c>
      <c r="F514" s="7" t="s">
        <v>1342</v>
      </c>
      <c r="G514" s="7" t="s">
        <v>1537</v>
      </c>
      <c r="H514" s="7">
        <v>0.97299999999999998</v>
      </c>
      <c r="I514" s="7">
        <v>4</v>
      </c>
      <c r="J514" s="7">
        <v>800</v>
      </c>
      <c r="K514" s="7">
        <v>600</v>
      </c>
      <c r="L514" s="7">
        <v>150</v>
      </c>
      <c r="M514" s="7">
        <v>30</v>
      </c>
      <c r="N514" s="7">
        <v>120</v>
      </c>
      <c r="O514" s="7">
        <v>500</v>
      </c>
      <c r="P514" s="7">
        <v>600</v>
      </c>
    </row>
    <row r="515" spans="1:16" s="10" customFormat="1">
      <c r="A515" s="7">
        <f>IF(B515="","",SUBTOTAL(103,$B$2:B515))</f>
        <v>514</v>
      </c>
      <c r="B515" s="8" t="s">
        <v>1495</v>
      </c>
      <c r="C515" s="7" t="s">
        <v>1533</v>
      </c>
      <c r="D515" s="9" t="s">
        <v>1538</v>
      </c>
      <c r="E515" s="7" t="s">
        <v>1429</v>
      </c>
      <c r="F515" s="7" t="s">
        <v>1342</v>
      </c>
      <c r="G515" s="7" t="s">
        <v>1539</v>
      </c>
      <c r="H515" s="7">
        <v>0.97299999999999998</v>
      </c>
      <c r="I515" s="7">
        <v>4</v>
      </c>
      <c r="J515" s="7">
        <v>800</v>
      </c>
      <c r="K515" s="7">
        <v>600</v>
      </c>
      <c r="L515" s="7">
        <v>150</v>
      </c>
      <c r="M515" s="7">
        <v>30</v>
      </c>
      <c r="N515" s="7">
        <v>120</v>
      </c>
      <c r="O515" s="7">
        <v>500</v>
      </c>
      <c r="P515" s="7">
        <v>600</v>
      </c>
    </row>
    <row r="516" spans="1:16" s="10" customFormat="1">
      <c r="A516" s="7">
        <f>IF(B516="","",SUBTOTAL(103,$B$2:B516))</f>
        <v>515</v>
      </c>
      <c r="B516" s="8" t="s">
        <v>1495</v>
      </c>
      <c r="C516" s="7" t="s">
        <v>1540</v>
      </c>
      <c r="D516" s="9" t="s">
        <v>1541</v>
      </c>
      <c r="E516" s="7" t="s">
        <v>1498</v>
      </c>
      <c r="F516" s="7" t="s">
        <v>1345</v>
      </c>
      <c r="G516" s="7" t="s">
        <v>1542</v>
      </c>
      <c r="H516" s="7">
        <v>1.21</v>
      </c>
      <c r="I516" s="7">
        <v>4</v>
      </c>
      <c r="J516" s="7">
        <v>800</v>
      </c>
      <c r="K516" s="7">
        <v>600</v>
      </c>
      <c r="L516" s="7">
        <v>150</v>
      </c>
      <c r="M516" s="7">
        <v>30</v>
      </c>
      <c r="N516" s="7">
        <v>120</v>
      </c>
      <c r="O516" s="7">
        <v>500</v>
      </c>
      <c r="P516" s="7">
        <v>600</v>
      </c>
    </row>
    <row r="517" spans="1:16" s="10" customFormat="1">
      <c r="A517" s="7">
        <f>IF(B517="","",SUBTOTAL(103,$B$2:B517))</f>
        <v>516</v>
      </c>
      <c r="B517" s="8" t="s">
        <v>1495</v>
      </c>
      <c r="C517" s="7" t="s">
        <v>1540</v>
      </c>
      <c r="D517" s="9" t="s">
        <v>1543</v>
      </c>
      <c r="E517" s="7" t="s">
        <v>1498</v>
      </c>
      <c r="F517" s="7" t="s">
        <v>1348</v>
      </c>
      <c r="G517" s="7" t="s">
        <v>1544</v>
      </c>
      <c r="H517" s="7">
        <v>1.3360000000000001</v>
      </c>
      <c r="I517" s="7">
        <v>4</v>
      </c>
      <c r="J517" s="7">
        <v>800</v>
      </c>
      <c r="K517" s="7">
        <v>600</v>
      </c>
      <c r="L517" s="7">
        <v>150</v>
      </c>
      <c r="M517" s="7">
        <v>30</v>
      </c>
      <c r="N517" s="7">
        <v>120</v>
      </c>
      <c r="O517" s="7">
        <v>500</v>
      </c>
      <c r="P517" s="7">
        <v>600</v>
      </c>
    </row>
    <row r="518" spans="1:16" s="10" customFormat="1">
      <c r="A518" s="7">
        <f>IF(B518="","",SUBTOTAL(103,$B$2:B518))</f>
        <v>517</v>
      </c>
      <c r="B518" s="8" t="s">
        <v>1495</v>
      </c>
      <c r="C518" s="7" t="s">
        <v>1540</v>
      </c>
      <c r="D518" s="9" t="s">
        <v>1545</v>
      </c>
      <c r="E518" s="7" t="s">
        <v>1546</v>
      </c>
      <c r="F518" s="7" t="s">
        <v>1348</v>
      </c>
      <c r="G518" s="7" t="str">
        <f>E518&amp;F518</f>
        <v>KI 114 K-05 LB4521/2 CF8M NPT</v>
      </c>
      <c r="H518" s="7">
        <v>1.3360000000000001</v>
      </c>
      <c r="I518" s="7">
        <v>4</v>
      </c>
      <c r="J518" s="7">
        <v>800</v>
      </c>
      <c r="K518" s="7">
        <v>600</v>
      </c>
      <c r="L518" s="7">
        <v>150</v>
      </c>
      <c r="M518" s="7">
        <v>30</v>
      </c>
      <c r="N518" s="7">
        <v>120</v>
      </c>
      <c r="O518" s="7">
        <v>500</v>
      </c>
      <c r="P518" s="7">
        <v>600</v>
      </c>
    </row>
    <row r="519" spans="1:16" s="10" customFormat="1">
      <c r="A519" s="7">
        <f>IF(B519="","",SUBTOTAL(103,$B$2:B519))</f>
        <v>518</v>
      </c>
      <c r="B519" s="8" t="s">
        <v>1495</v>
      </c>
      <c r="C519" s="7" t="s">
        <v>1547</v>
      </c>
      <c r="D519" s="9" t="s">
        <v>1548</v>
      </c>
      <c r="E519" s="7" t="s">
        <v>1498</v>
      </c>
      <c r="F519" s="7" t="s">
        <v>1351</v>
      </c>
      <c r="G519" s="7" t="s">
        <v>1549</v>
      </c>
      <c r="H519" s="7">
        <v>1.9910000000000001</v>
      </c>
      <c r="I519" s="7">
        <v>3</v>
      </c>
      <c r="J519" s="7">
        <v>800</v>
      </c>
      <c r="K519" s="7">
        <v>600</v>
      </c>
      <c r="L519" s="7">
        <v>150</v>
      </c>
      <c r="M519" s="7">
        <v>30</v>
      </c>
      <c r="N519" s="7">
        <v>120</v>
      </c>
      <c r="O519" s="7">
        <v>650</v>
      </c>
      <c r="P519" s="7">
        <v>675</v>
      </c>
    </row>
    <row r="520" spans="1:16" s="10" customFormat="1">
      <c r="A520" s="7">
        <f>IF(B520="","",SUBTOTAL(103,$B$2:B520))</f>
        <v>519</v>
      </c>
      <c r="B520" s="8" t="s">
        <v>1495</v>
      </c>
      <c r="C520" s="7" t="s">
        <v>1547</v>
      </c>
      <c r="D520" s="9" t="s">
        <v>1550</v>
      </c>
      <c r="E520" s="7" t="s">
        <v>1498</v>
      </c>
      <c r="F520" s="7" t="s">
        <v>1354</v>
      </c>
      <c r="G520" s="7" t="s">
        <v>1551</v>
      </c>
      <c r="H520" s="7">
        <v>1.9910000000000001</v>
      </c>
      <c r="I520" s="7">
        <v>3</v>
      </c>
      <c r="J520" s="7">
        <v>800</v>
      </c>
      <c r="K520" s="7">
        <v>600</v>
      </c>
      <c r="L520" s="7">
        <v>150</v>
      </c>
      <c r="M520" s="7">
        <v>30</v>
      </c>
      <c r="N520" s="7">
        <v>120</v>
      </c>
      <c r="O520" s="7">
        <v>650</v>
      </c>
      <c r="P520" s="7">
        <v>675</v>
      </c>
    </row>
    <row r="521" spans="1:16" s="10" customFormat="1">
      <c r="A521" s="7">
        <f>IF(B521="","",SUBTOTAL(103,$B$2:B521))</f>
        <v>520</v>
      </c>
      <c r="B521" s="8" t="s">
        <v>1495</v>
      </c>
      <c r="C521" s="7" t="s">
        <v>1547</v>
      </c>
      <c r="D521" s="9" t="s">
        <v>1552</v>
      </c>
      <c r="E521" s="7" t="s">
        <v>1429</v>
      </c>
      <c r="F521" s="7" t="s">
        <v>1354</v>
      </c>
      <c r="G521" s="7" t="s">
        <v>1553</v>
      </c>
      <c r="H521" s="7">
        <v>1.9910000000000001</v>
      </c>
      <c r="I521" s="7">
        <v>3</v>
      </c>
      <c r="J521" s="7">
        <v>800</v>
      </c>
      <c r="K521" s="7">
        <v>600</v>
      </c>
      <c r="L521" s="7">
        <v>150</v>
      </c>
      <c r="M521" s="7">
        <v>30</v>
      </c>
      <c r="N521" s="7">
        <v>120</v>
      </c>
      <c r="O521" s="7">
        <v>650</v>
      </c>
      <c r="P521" s="7">
        <v>675</v>
      </c>
    </row>
    <row r="522" spans="1:16" s="10" customFormat="1">
      <c r="A522" s="7">
        <f>IF(B522="","",SUBTOTAL(103,$B$2:B522))</f>
        <v>521</v>
      </c>
      <c r="B522" s="8" t="s">
        <v>1495</v>
      </c>
      <c r="C522" s="7" t="s">
        <v>1431</v>
      </c>
      <c r="D522" s="9" t="s">
        <v>1554</v>
      </c>
      <c r="E522" s="7" t="s">
        <v>1498</v>
      </c>
      <c r="F522" s="7" t="s">
        <v>1357</v>
      </c>
      <c r="G522" s="7" t="s">
        <v>1555</v>
      </c>
      <c r="H522" s="7">
        <v>0.18</v>
      </c>
      <c r="I522" s="7">
        <v>28</v>
      </c>
      <c r="J522" s="7">
        <v>800</v>
      </c>
      <c r="K522" s="7">
        <v>600</v>
      </c>
      <c r="L522" s="7">
        <v>150</v>
      </c>
      <c r="M522" s="7">
        <v>30</v>
      </c>
      <c r="N522" s="7">
        <v>120</v>
      </c>
      <c r="O522" s="7">
        <v>70</v>
      </c>
      <c r="P522" s="7">
        <v>265</v>
      </c>
    </row>
    <row r="523" spans="1:16" s="10" customFormat="1">
      <c r="A523" s="7">
        <f>IF(B523="","",SUBTOTAL(103,$B$2:B523))</f>
        <v>522</v>
      </c>
      <c r="B523" s="8" t="s">
        <v>1495</v>
      </c>
      <c r="C523" s="7" t="s">
        <v>1431</v>
      </c>
      <c r="D523" s="9" t="s">
        <v>1556</v>
      </c>
      <c r="E523" s="7" t="s">
        <v>1429</v>
      </c>
      <c r="F523" s="7" t="s">
        <v>1357</v>
      </c>
      <c r="G523" s="7" t="str">
        <f>E523&amp;F523</f>
        <v>KI 114  KI-05 LB453/4 CF8 NPT</v>
      </c>
      <c r="H523" s="7">
        <v>0.18</v>
      </c>
      <c r="I523" s="7">
        <v>28</v>
      </c>
      <c r="J523" s="7">
        <v>800</v>
      </c>
      <c r="K523" s="7">
        <v>600</v>
      </c>
      <c r="L523" s="7">
        <v>150</v>
      </c>
      <c r="M523" s="7">
        <v>30</v>
      </c>
      <c r="N523" s="7">
        <v>120</v>
      </c>
      <c r="O523" s="7">
        <v>70</v>
      </c>
      <c r="P523" s="7">
        <v>265</v>
      </c>
    </row>
    <row r="524" spans="1:16" s="10" customFormat="1">
      <c r="A524" s="7">
        <f>IF(B524="","",SUBTOTAL(103,$B$2:B524))</f>
        <v>523</v>
      </c>
      <c r="B524" s="8" t="s">
        <v>1495</v>
      </c>
      <c r="C524" s="7" t="s">
        <v>1431</v>
      </c>
      <c r="D524" s="9" t="s">
        <v>1557</v>
      </c>
      <c r="E524" s="7" t="s">
        <v>1498</v>
      </c>
      <c r="F524" s="7" t="s">
        <v>1360</v>
      </c>
      <c r="G524" s="7" t="s">
        <v>1558</v>
      </c>
      <c r="H524" s="7">
        <v>0.18</v>
      </c>
      <c r="I524" s="7">
        <v>28</v>
      </c>
      <c r="J524" s="7">
        <v>800</v>
      </c>
      <c r="K524" s="7">
        <v>600</v>
      </c>
      <c r="L524" s="7">
        <v>150</v>
      </c>
      <c r="M524" s="7">
        <v>30</v>
      </c>
      <c r="N524" s="7">
        <v>120</v>
      </c>
      <c r="O524" s="7">
        <v>70</v>
      </c>
      <c r="P524" s="7">
        <v>265</v>
      </c>
    </row>
    <row r="525" spans="1:16" s="10" customFormat="1">
      <c r="A525" s="7">
        <f>IF(B525="","",SUBTOTAL(103,$B$2:B525))</f>
        <v>524</v>
      </c>
      <c r="B525" s="8" t="s">
        <v>1495</v>
      </c>
      <c r="C525" s="7" t="s">
        <v>1559</v>
      </c>
      <c r="D525" s="9" t="s">
        <v>1560</v>
      </c>
      <c r="E525" s="7" t="s">
        <v>1498</v>
      </c>
      <c r="F525" s="7" t="s">
        <v>1363</v>
      </c>
      <c r="G525" s="7" t="s">
        <v>1561</v>
      </c>
      <c r="H525" s="7">
        <v>8.2000000000000003E-2</v>
      </c>
      <c r="I525" s="7">
        <v>48</v>
      </c>
      <c r="J525" s="7">
        <v>800</v>
      </c>
      <c r="K525" s="7">
        <v>600</v>
      </c>
      <c r="L525" s="7">
        <v>150</v>
      </c>
      <c r="M525" s="7">
        <v>30</v>
      </c>
      <c r="N525" s="7">
        <v>120</v>
      </c>
      <c r="O525" s="7">
        <v>41</v>
      </c>
      <c r="P525" s="7">
        <v>215</v>
      </c>
    </row>
    <row r="526" spans="1:16" s="10" customFormat="1">
      <c r="A526" s="7">
        <f>IF(B526="","",SUBTOTAL(103,$B$2:B526))</f>
        <v>525</v>
      </c>
      <c r="B526" s="8" t="s">
        <v>1495</v>
      </c>
      <c r="C526" s="7" t="s">
        <v>1559</v>
      </c>
      <c r="D526" s="9" t="s">
        <v>1562</v>
      </c>
      <c r="E526" s="7" t="s">
        <v>1498</v>
      </c>
      <c r="F526" s="7" t="s">
        <v>1366</v>
      </c>
      <c r="G526" s="7" t="s">
        <v>1563</v>
      </c>
      <c r="H526" s="7">
        <v>8.2000000000000003E-2</v>
      </c>
      <c r="I526" s="7">
        <v>48</v>
      </c>
      <c r="J526" s="7">
        <v>800</v>
      </c>
      <c r="K526" s="7">
        <v>600</v>
      </c>
      <c r="L526" s="7">
        <v>150</v>
      </c>
      <c r="M526" s="7">
        <v>30</v>
      </c>
      <c r="N526" s="7">
        <v>120</v>
      </c>
      <c r="O526" s="7">
        <v>41</v>
      </c>
      <c r="P526" s="7">
        <v>215</v>
      </c>
    </row>
    <row r="527" spans="1:16" s="10" customFormat="1">
      <c r="A527" s="7">
        <f>IF(B527="","",SUBTOTAL(103,$B$2:B527))</f>
        <v>526</v>
      </c>
      <c r="B527" s="8" t="s">
        <v>1495</v>
      </c>
      <c r="C527" s="7" t="s">
        <v>1564</v>
      </c>
      <c r="D527" s="9" t="s">
        <v>1565</v>
      </c>
      <c r="E527" s="7" t="s">
        <v>1498</v>
      </c>
      <c r="F527" s="7" t="s">
        <v>1369</v>
      </c>
      <c r="G527" s="7" t="s">
        <v>1566</v>
      </c>
      <c r="H527" s="7">
        <v>3.34</v>
      </c>
      <c r="I527" s="7">
        <v>2</v>
      </c>
      <c r="J527" s="7">
        <v>800</v>
      </c>
      <c r="K527" s="7">
        <v>600</v>
      </c>
      <c r="L527" s="7">
        <v>150</v>
      </c>
      <c r="M527" s="7">
        <v>30</v>
      </c>
      <c r="N527" s="7">
        <v>120</v>
      </c>
      <c r="O527" s="7">
        <v>1000</v>
      </c>
      <c r="P527" s="7">
        <v>1100</v>
      </c>
    </row>
    <row r="528" spans="1:16" s="10" customFormat="1">
      <c r="A528" s="7">
        <f>IF(B528="","",SUBTOTAL(103,$B$2:B528))</f>
        <v>527</v>
      </c>
      <c r="B528" s="8" t="s">
        <v>1495</v>
      </c>
      <c r="C528" s="7" t="s">
        <v>1564</v>
      </c>
      <c r="D528" s="9" t="s">
        <v>1567</v>
      </c>
      <c r="E528" s="7" t="s">
        <v>1498</v>
      </c>
      <c r="F528" s="7" t="s">
        <v>1372</v>
      </c>
      <c r="G528" s="7" t="s">
        <v>1568</v>
      </c>
      <c r="H528" s="7">
        <v>3.34</v>
      </c>
      <c r="I528" s="7">
        <v>2</v>
      </c>
      <c r="J528" s="7">
        <v>800</v>
      </c>
      <c r="K528" s="7">
        <v>600</v>
      </c>
      <c r="L528" s="7">
        <v>150</v>
      </c>
      <c r="M528" s="7">
        <v>30</v>
      </c>
      <c r="N528" s="7">
        <v>120</v>
      </c>
      <c r="O528" s="7">
        <v>1000</v>
      </c>
      <c r="P528" s="7">
        <v>1100</v>
      </c>
    </row>
    <row r="529" spans="1:16" s="10" customFormat="1">
      <c r="A529" s="7">
        <f>IF(B529="","",SUBTOTAL(103,$B$2:B529))</f>
        <v>528</v>
      </c>
      <c r="B529" s="8" t="s">
        <v>1495</v>
      </c>
      <c r="C529" s="7" t="s">
        <v>1564</v>
      </c>
      <c r="D529" s="9" t="s">
        <v>1569</v>
      </c>
      <c r="E529" s="7" t="s">
        <v>1546</v>
      </c>
      <c r="F529" s="7" t="s">
        <v>1060</v>
      </c>
      <c r="G529" s="7" t="s">
        <v>1570</v>
      </c>
      <c r="H529" s="7">
        <v>0</v>
      </c>
      <c r="I529" s="7">
        <v>2</v>
      </c>
      <c r="J529" s="7">
        <v>800</v>
      </c>
      <c r="K529" s="7">
        <v>600</v>
      </c>
      <c r="L529" s="7">
        <v>150</v>
      </c>
      <c r="M529" s="7">
        <v>30</v>
      </c>
      <c r="N529" s="7">
        <v>120</v>
      </c>
      <c r="O529" s="7">
        <v>1000</v>
      </c>
      <c r="P529" s="7">
        <v>1100</v>
      </c>
    </row>
    <row r="530" spans="1:16" s="10" customFormat="1">
      <c r="A530" s="7">
        <f>IF(B530="","",SUBTOTAL(103,$B$2:B530))</f>
        <v>529</v>
      </c>
      <c r="B530" s="8" t="s">
        <v>1571</v>
      </c>
      <c r="C530" s="7" t="s">
        <v>1572</v>
      </c>
      <c r="D530" s="9" t="s">
        <v>1573</v>
      </c>
      <c r="E530" s="7" t="s">
        <v>1574</v>
      </c>
      <c r="F530" s="7" t="s">
        <v>1575</v>
      </c>
      <c r="G530" s="7" t="s">
        <v>1576</v>
      </c>
      <c r="H530" s="7">
        <v>0.159</v>
      </c>
      <c r="I530" s="7">
        <v>36</v>
      </c>
      <c r="J530" s="7">
        <v>800</v>
      </c>
      <c r="K530" s="7">
        <v>600</v>
      </c>
      <c r="L530" s="7">
        <v>150</v>
      </c>
      <c r="M530" s="7">
        <v>30</v>
      </c>
      <c r="N530" s="7">
        <v>120</v>
      </c>
      <c r="O530" s="7">
        <v>55</v>
      </c>
      <c r="P530" s="7">
        <v>160</v>
      </c>
    </row>
    <row r="531" spans="1:16" s="10" customFormat="1">
      <c r="A531" s="7">
        <f>IF(B531="","",SUBTOTAL(103,$B$2:B531))</f>
        <v>530</v>
      </c>
      <c r="B531" s="8" t="s">
        <v>1571</v>
      </c>
      <c r="C531" s="7" t="s">
        <v>1572</v>
      </c>
      <c r="D531" s="9" t="s">
        <v>1577</v>
      </c>
      <c r="E531" s="7" t="s">
        <v>1574</v>
      </c>
      <c r="F531" s="7" t="s">
        <v>1578</v>
      </c>
      <c r="G531" s="7" t="s">
        <v>1579</v>
      </c>
      <c r="H531" s="7">
        <v>0.159</v>
      </c>
      <c r="I531" s="7">
        <v>36</v>
      </c>
      <c r="J531" s="7">
        <v>800</v>
      </c>
      <c r="K531" s="7">
        <v>600</v>
      </c>
      <c r="L531" s="7">
        <v>150</v>
      </c>
      <c r="M531" s="7">
        <v>30</v>
      </c>
      <c r="N531" s="7">
        <v>120</v>
      </c>
      <c r="O531" s="7">
        <v>55</v>
      </c>
      <c r="P531" s="7">
        <v>160</v>
      </c>
    </row>
    <row r="532" spans="1:16" s="10" customFormat="1">
      <c r="A532" s="7">
        <f>IF(B532="","",SUBTOTAL(103,$B$2:B532))</f>
        <v>531</v>
      </c>
      <c r="B532" s="8" t="s">
        <v>1571</v>
      </c>
      <c r="C532" s="7" t="s">
        <v>1580</v>
      </c>
      <c r="D532" s="9" t="s">
        <v>1581</v>
      </c>
      <c r="E532" s="7" t="s">
        <v>1574</v>
      </c>
      <c r="F532" s="7" t="s">
        <v>1582</v>
      </c>
      <c r="G532" s="7" t="s">
        <v>1583</v>
      </c>
      <c r="H532" s="7">
        <v>8.7999999999999995E-2</v>
      </c>
      <c r="I532" s="7">
        <v>48</v>
      </c>
      <c r="J532" s="7">
        <v>800</v>
      </c>
      <c r="K532" s="7">
        <v>600</v>
      </c>
      <c r="L532" s="7">
        <v>150</v>
      </c>
      <c r="M532" s="7">
        <v>30</v>
      </c>
      <c r="N532" s="7">
        <v>60</v>
      </c>
      <c r="O532" s="7">
        <v>41</v>
      </c>
      <c r="P532" s="7">
        <v>140</v>
      </c>
    </row>
    <row r="533" spans="1:16" s="10" customFormat="1">
      <c r="A533" s="7">
        <f>IF(B533="","",SUBTOTAL(103,$B$2:B533))</f>
        <v>532</v>
      </c>
      <c r="B533" s="8" t="s">
        <v>1571</v>
      </c>
      <c r="C533" s="7" t="s">
        <v>1580</v>
      </c>
      <c r="D533" s="9" t="s">
        <v>1584</v>
      </c>
      <c r="E533" s="7" t="s">
        <v>1574</v>
      </c>
      <c r="F533" s="7" t="s">
        <v>1585</v>
      </c>
      <c r="G533" s="7" t="s">
        <v>1586</v>
      </c>
      <c r="H533" s="7">
        <v>8.7999999999999995E-2</v>
      </c>
      <c r="I533" s="7">
        <v>48</v>
      </c>
      <c r="J533" s="7">
        <v>800</v>
      </c>
      <c r="K533" s="7">
        <v>600</v>
      </c>
      <c r="L533" s="7">
        <v>150</v>
      </c>
      <c r="M533" s="7">
        <v>30</v>
      </c>
      <c r="N533" s="7">
        <v>60</v>
      </c>
      <c r="O533" s="7">
        <v>41</v>
      </c>
      <c r="P533" s="7">
        <v>140</v>
      </c>
    </row>
    <row r="534" spans="1:16" s="10" customFormat="1">
      <c r="A534" s="7">
        <f>IF(B534="","",SUBTOTAL(103,$B$2:B534))</f>
        <v>533</v>
      </c>
      <c r="B534" s="8" t="s">
        <v>1571</v>
      </c>
      <c r="C534" s="7" t="s">
        <v>1587</v>
      </c>
      <c r="D534" s="9" t="s">
        <v>1588</v>
      </c>
      <c r="E534" s="7" t="s">
        <v>1574</v>
      </c>
      <c r="F534" s="7" t="s">
        <v>1589</v>
      </c>
      <c r="G534" s="7" t="s">
        <v>1590</v>
      </c>
      <c r="H534" s="7">
        <v>4.5999999999999999E-2</v>
      </c>
      <c r="I534" s="7">
        <v>68</v>
      </c>
      <c r="J534" s="7">
        <v>800</v>
      </c>
      <c r="K534" s="7">
        <v>600</v>
      </c>
      <c r="L534" s="7">
        <v>150</v>
      </c>
      <c r="M534" s="7">
        <v>30</v>
      </c>
      <c r="N534" s="7">
        <v>60</v>
      </c>
      <c r="O534" s="7">
        <v>30</v>
      </c>
      <c r="P534" s="7">
        <v>120</v>
      </c>
    </row>
    <row r="535" spans="1:16" s="10" customFormat="1">
      <c r="A535" s="7">
        <f>IF(B535="","",SUBTOTAL(103,$B$2:B535))</f>
        <v>534</v>
      </c>
      <c r="B535" s="8" t="s">
        <v>1571</v>
      </c>
      <c r="C535" s="7" t="s">
        <v>1587</v>
      </c>
      <c r="D535" s="9" t="s">
        <v>1591</v>
      </c>
      <c r="E535" s="7" t="s">
        <v>1574</v>
      </c>
      <c r="F535" s="7" t="s">
        <v>1592</v>
      </c>
      <c r="G535" s="7" t="s">
        <v>1593</v>
      </c>
      <c r="H535" s="7">
        <v>4.5999999999999999E-2</v>
      </c>
      <c r="I535" s="7">
        <v>68</v>
      </c>
      <c r="J535" s="7">
        <v>800</v>
      </c>
      <c r="K535" s="7">
        <v>600</v>
      </c>
      <c r="L535" s="7">
        <v>150</v>
      </c>
      <c r="M535" s="7">
        <v>30</v>
      </c>
      <c r="N535" s="7">
        <v>60</v>
      </c>
      <c r="O535" s="7">
        <v>30</v>
      </c>
      <c r="P535" s="7">
        <v>120</v>
      </c>
    </row>
    <row r="536" spans="1:16" s="10" customFormat="1">
      <c r="A536" s="7">
        <f>IF(B536="","",SUBTOTAL(103,$B$2:B536))</f>
        <v>535</v>
      </c>
      <c r="B536" s="8" t="s">
        <v>1571</v>
      </c>
      <c r="C536" s="7" t="s">
        <v>1594</v>
      </c>
      <c r="D536" s="9" t="s">
        <v>1595</v>
      </c>
      <c r="E536" s="7" t="s">
        <v>1574</v>
      </c>
      <c r="F536" s="7" t="s">
        <v>1596</v>
      </c>
      <c r="G536" s="7" t="s">
        <v>1597</v>
      </c>
      <c r="H536" s="7">
        <v>2.5000000000000001E-2</v>
      </c>
      <c r="I536" s="7">
        <v>108</v>
      </c>
      <c r="J536" s="7">
        <v>800</v>
      </c>
      <c r="K536" s="7">
        <v>600</v>
      </c>
      <c r="L536" s="7">
        <v>150</v>
      </c>
      <c r="M536" s="7">
        <v>30</v>
      </c>
      <c r="N536" s="7">
        <v>60</v>
      </c>
      <c r="O536" s="7">
        <v>25</v>
      </c>
      <c r="P536" s="7">
        <v>110</v>
      </c>
    </row>
    <row r="537" spans="1:16" s="10" customFormat="1">
      <c r="A537" s="7">
        <f>IF(B537="","",SUBTOTAL(103,$B$2:B537))</f>
        <v>536</v>
      </c>
      <c r="B537" s="8" t="s">
        <v>1571</v>
      </c>
      <c r="C537" s="7" t="s">
        <v>1594</v>
      </c>
      <c r="D537" s="9" t="s">
        <v>1598</v>
      </c>
      <c r="E537" s="7" t="s">
        <v>1574</v>
      </c>
      <c r="F537" s="7" t="s">
        <v>1599</v>
      </c>
      <c r="G537" s="7" t="s">
        <v>1600</v>
      </c>
      <c r="H537" s="7">
        <v>2.5000000000000001E-2</v>
      </c>
      <c r="I537" s="7">
        <v>108</v>
      </c>
      <c r="J537" s="7">
        <v>800</v>
      </c>
      <c r="K537" s="7">
        <v>600</v>
      </c>
      <c r="L537" s="7">
        <v>150</v>
      </c>
      <c r="M537" s="7">
        <v>30</v>
      </c>
      <c r="N537" s="7">
        <v>60</v>
      </c>
      <c r="O537" s="7">
        <v>25</v>
      </c>
      <c r="P537" s="7">
        <v>110</v>
      </c>
    </row>
    <row r="538" spans="1:16" s="10" customFormat="1">
      <c r="A538" s="7">
        <f>IF(B538="","",SUBTOTAL(103,$B$2:B538))</f>
        <v>537</v>
      </c>
      <c r="B538" s="8" t="s">
        <v>1571</v>
      </c>
      <c r="C538" s="7" t="s">
        <v>1601</v>
      </c>
      <c r="D538" s="9" t="s">
        <v>1602</v>
      </c>
      <c r="E538" s="7" t="s">
        <v>1574</v>
      </c>
      <c r="F538" s="7" t="s">
        <v>1603</v>
      </c>
      <c r="G538" s="7" t="s">
        <v>1604</v>
      </c>
      <c r="H538" s="7">
        <v>0.35</v>
      </c>
      <c r="I538" s="7">
        <v>18</v>
      </c>
      <c r="J538" s="7">
        <v>800</v>
      </c>
      <c r="K538" s="7">
        <v>600</v>
      </c>
      <c r="L538" s="7">
        <v>150</v>
      </c>
      <c r="M538" s="7">
        <v>30</v>
      </c>
      <c r="N538" s="7">
        <v>60</v>
      </c>
      <c r="O538" s="7">
        <v>100</v>
      </c>
      <c r="P538" s="7">
        <v>220</v>
      </c>
    </row>
    <row r="539" spans="1:16" s="10" customFormat="1">
      <c r="A539" s="7">
        <f>IF(B539="","",SUBTOTAL(103,$B$2:B539))</f>
        <v>538</v>
      </c>
      <c r="B539" s="8" t="s">
        <v>1571</v>
      </c>
      <c r="C539" s="7" t="s">
        <v>1601</v>
      </c>
      <c r="D539" s="9" t="s">
        <v>1605</v>
      </c>
      <c r="E539" s="7" t="s">
        <v>1574</v>
      </c>
      <c r="F539" s="7" t="s">
        <v>1606</v>
      </c>
      <c r="G539" s="7" t="s">
        <v>1607</v>
      </c>
      <c r="H539" s="7">
        <v>0.35</v>
      </c>
      <c r="I539" s="7">
        <v>18</v>
      </c>
      <c r="J539" s="7">
        <v>800</v>
      </c>
      <c r="K539" s="7">
        <v>600</v>
      </c>
      <c r="L539" s="7">
        <v>150</v>
      </c>
      <c r="M539" s="7">
        <v>30</v>
      </c>
      <c r="N539" s="7">
        <v>60</v>
      </c>
      <c r="O539" s="7">
        <v>100</v>
      </c>
      <c r="P539" s="7">
        <v>220</v>
      </c>
    </row>
    <row r="540" spans="1:16" s="10" customFormat="1">
      <c r="A540" s="7">
        <f>IF(B540="","",SUBTOTAL(103,$B$2:B540))</f>
        <v>539</v>
      </c>
      <c r="B540" s="8" t="s">
        <v>1571</v>
      </c>
      <c r="C540" s="7" t="s">
        <v>1608</v>
      </c>
      <c r="D540" s="9" t="s">
        <v>1609</v>
      </c>
      <c r="E540" s="7" t="s">
        <v>1574</v>
      </c>
      <c r="F540" s="7" t="s">
        <v>1610</v>
      </c>
      <c r="G540" s="7" t="s">
        <v>1611</v>
      </c>
      <c r="H540" s="7">
        <v>0.30199999999999999</v>
      </c>
      <c r="I540" s="7">
        <v>18</v>
      </c>
      <c r="J540" s="7">
        <v>800</v>
      </c>
      <c r="K540" s="7">
        <v>600</v>
      </c>
      <c r="L540" s="7">
        <v>150</v>
      </c>
      <c r="M540" s="7">
        <v>30</v>
      </c>
      <c r="N540" s="7">
        <v>60</v>
      </c>
      <c r="O540" s="7">
        <v>100</v>
      </c>
      <c r="P540" s="7">
        <v>210</v>
      </c>
    </row>
    <row r="541" spans="1:16" s="10" customFormat="1">
      <c r="A541" s="7">
        <f>IF(B541="","",SUBTOTAL(103,$B$2:B541))</f>
        <v>540</v>
      </c>
      <c r="B541" s="8" t="s">
        <v>1571</v>
      </c>
      <c r="C541" s="7" t="s">
        <v>1608</v>
      </c>
      <c r="D541" s="9" t="s">
        <v>1612</v>
      </c>
      <c r="E541" s="7" t="s">
        <v>1574</v>
      </c>
      <c r="F541" s="7" t="s">
        <v>1613</v>
      </c>
      <c r="G541" s="7" t="s">
        <v>1614</v>
      </c>
      <c r="H541" s="7">
        <v>0.30199999999999999</v>
      </c>
      <c r="I541" s="7">
        <v>18</v>
      </c>
      <c r="J541" s="7">
        <v>800</v>
      </c>
      <c r="K541" s="7">
        <v>600</v>
      </c>
      <c r="L541" s="7">
        <v>150</v>
      </c>
      <c r="M541" s="7">
        <v>30</v>
      </c>
      <c r="N541" s="7">
        <v>60</v>
      </c>
      <c r="O541" s="7">
        <v>100</v>
      </c>
      <c r="P541" s="7">
        <v>210</v>
      </c>
    </row>
    <row r="542" spans="1:16" s="10" customFormat="1">
      <c r="A542" s="7">
        <f>IF(B542="","",SUBTOTAL(103,$B$2:B542))</f>
        <v>541</v>
      </c>
      <c r="B542" s="8" t="s">
        <v>1571</v>
      </c>
      <c r="C542" s="7" t="s">
        <v>1615</v>
      </c>
      <c r="D542" s="9" t="s">
        <v>1616</v>
      </c>
      <c r="E542" s="7" t="s">
        <v>1574</v>
      </c>
      <c r="F542" s="7" t="s">
        <v>1617</v>
      </c>
      <c r="G542" s="7" t="s">
        <v>1618</v>
      </c>
      <c r="H542" s="7">
        <v>0.56599999999999995</v>
      </c>
      <c r="I542" s="7">
        <v>10</v>
      </c>
      <c r="J542" s="7">
        <v>800</v>
      </c>
      <c r="K542" s="7">
        <v>600</v>
      </c>
      <c r="L542" s="7">
        <v>150</v>
      </c>
      <c r="M542" s="7">
        <v>30</v>
      </c>
      <c r="N542" s="7">
        <v>60</v>
      </c>
      <c r="O542" s="7">
        <v>195</v>
      </c>
      <c r="P542" s="7">
        <v>300</v>
      </c>
    </row>
    <row r="543" spans="1:16" s="10" customFormat="1">
      <c r="A543" s="7">
        <f>IF(B543="","",SUBTOTAL(103,$B$2:B543))</f>
        <v>542</v>
      </c>
      <c r="B543" s="8" t="s">
        <v>1571</v>
      </c>
      <c r="C543" s="7" t="s">
        <v>1615</v>
      </c>
      <c r="D543" s="9" t="s">
        <v>1619</v>
      </c>
      <c r="E543" s="7" t="s">
        <v>1574</v>
      </c>
      <c r="F543" s="7" t="s">
        <v>1620</v>
      </c>
      <c r="G543" s="7" t="s">
        <v>1621</v>
      </c>
      <c r="H543" s="7">
        <v>0.56599999999999995</v>
      </c>
      <c r="I543" s="7">
        <v>10</v>
      </c>
      <c r="J543" s="7">
        <v>800</v>
      </c>
      <c r="K543" s="7">
        <v>600</v>
      </c>
      <c r="L543" s="7">
        <v>150</v>
      </c>
      <c r="M543" s="7">
        <v>30</v>
      </c>
      <c r="N543" s="7">
        <v>60</v>
      </c>
      <c r="O543" s="7">
        <v>195</v>
      </c>
      <c r="P543" s="7">
        <v>300</v>
      </c>
    </row>
    <row r="544" spans="1:16" s="10" customFormat="1">
      <c r="A544" s="7">
        <f>IF(B544="","",SUBTOTAL(103,$B$2:B544))</f>
        <v>543</v>
      </c>
      <c r="B544" s="8" t="s">
        <v>1571</v>
      </c>
      <c r="C544" s="7" t="s">
        <v>1622</v>
      </c>
      <c r="D544" s="9" t="s">
        <v>1623</v>
      </c>
      <c r="E544" s="7" t="s">
        <v>1574</v>
      </c>
      <c r="F544" s="7" t="s">
        <v>1345</v>
      </c>
      <c r="G544" s="7" t="s">
        <v>1624</v>
      </c>
      <c r="H544" s="7">
        <v>0.89700000000000002</v>
      </c>
      <c r="I544" s="7">
        <v>6</v>
      </c>
      <c r="J544" s="7">
        <v>800</v>
      </c>
      <c r="K544" s="7">
        <v>600</v>
      </c>
      <c r="L544" s="7">
        <v>150</v>
      </c>
      <c r="M544" s="7">
        <v>30</v>
      </c>
      <c r="N544" s="7">
        <v>60</v>
      </c>
      <c r="O544" s="7">
        <v>310</v>
      </c>
      <c r="P544" s="7">
        <v>350</v>
      </c>
    </row>
    <row r="545" spans="1:16" s="10" customFormat="1">
      <c r="A545" s="7">
        <f>IF(B545="","",SUBTOTAL(103,$B$2:B545))</f>
        <v>544</v>
      </c>
      <c r="B545" s="8" t="s">
        <v>1571</v>
      </c>
      <c r="C545" s="7" t="s">
        <v>1622</v>
      </c>
      <c r="D545" s="9" t="s">
        <v>1625</v>
      </c>
      <c r="E545" s="7" t="s">
        <v>1574</v>
      </c>
      <c r="F545" s="7" t="s">
        <v>1348</v>
      </c>
      <c r="G545" s="7" t="s">
        <v>1626</v>
      </c>
      <c r="H545" s="7">
        <v>0.89700000000000002</v>
      </c>
      <c r="I545" s="7">
        <v>6</v>
      </c>
      <c r="J545" s="7">
        <v>800</v>
      </c>
      <c r="K545" s="7">
        <v>600</v>
      </c>
      <c r="L545" s="7">
        <v>150</v>
      </c>
      <c r="M545" s="7">
        <v>30</v>
      </c>
      <c r="N545" s="7">
        <v>60</v>
      </c>
      <c r="O545" s="7">
        <v>310</v>
      </c>
      <c r="P545" s="7">
        <v>350</v>
      </c>
    </row>
    <row r="546" spans="1:16" s="10" customFormat="1">
      <c r="A546" s="7">
        <f>IF(B546="","",SUBTOTAL(103,$B$2:B546))</f>
        <v>545</v>
      </c>
      <c r="B546" s="8" t="s">
        <v>1571</v>
      </c>
      <c r="C546" s="7" t="s">
        <v>1627</v>
      </c>
      <c r="D546" s="9" t="s">
        <v>1628</v>
      </c>
      <c r="E546" s="7" t="s">
        <v>1574</v>
      </c>
      <c r="F546" s="7" t="s">
        <v>1629</v>
      </c>
      <c r="G546" s="7" t="s">
        <v>1630</v>
      </c>
      <c r="H546" s="7">
        <v>1.292</v>
      </c>
      <c r="I546" s="7">
        <v>5</v>
      </c>
      <c r="J546" s="7">
        <v>800</v>
      </c>
      <c r="K546" s="7">
        <v>600</v>
      </c>
      <c r="L546" s="7">
        <v>150</v>
      </c>
      <c r="M546" s="7">
        <v>30</v>
      </c>
      <c r="N546" s="7">
        <v>60</v>
      </c>
      <c r="O546" s="7">
        <v>400</v>
      </c>
      <c r="P546" s="7">
        <v>565</v>
      </c>
    </row>
    <row r="547" spans="1:16" s="10" customFormat="1">
      <c r="A547" s="7">
        <f>IF(B547="","",SUBTOTAL(103,$B$2:B547))</f>
        <v>546</v>
      </c>
      <c r="B547" s="8" t="s">
        <v>1571</v>
      </c>
      <c r="C547" s="7" t="s">
        <v>1627</v>
      </c>
      <c r="D547" s="9" t="s">
        <v>1631</v>
      </c>
      <c r="E547" s="7" t="s">
        <v>1574</v>
      </c>
      <c r="F547" s="7" t="s">
        <v>1632</v>
      </c>
      <c r="G547" s="7" t="s">
        <v>1633</v>
      </c>
      <c r="H547" s="7">
        <v>1.292</v>
      </c>
      <c r="I547" s="7">
        <v>5</v>
      </c>
      <c r="J547" s="7">
        <v>800</v>
      </c>
      <c r="K547" s="7">
        <v>600</v>
      </c>
      <c r="L547" s="7">
        <v>150</v>
      </c>
      <c r="M547" s="7">
        <v>30</v>
      </c>
      <c r="N547" s="7">
        <v>60</v>
      </c>
      <c r="O547" s="7">
        <v>400</v>
      </c>
      <c r="P547" s="7">
        <v>565</v>
      </c>
    </row>
    <row r="548" spans="1:16" s="10" customFormat="1">
      <c r="A548" s="7">
        <f>IF(B548="","",SUBTOTAL(103,$B$2:B548))</f>
        <v>547</v>
      </c>
      <c r="B548" s="8" t="s">
        <v>1571</v>
      </c>
      <c r="C548" s="7" t="s">
        <v>1634</v>
      </c>
      <c r="D548" s="9" t="s">
        <v>1635</v>
      </c>
      <c r="E548" s="7" t="s">
        <v>1574</v>
      </c>
      <c r="F548" s="7" t="s">
        <v>1636</v>
      </c>
      <c r="G548" s="7" t="s">
        <v>1637</v>
      </c>
      <c r="H548" s="7">
        <v>0.124</v>
      </c>
      <c r="I548" s="7">
        <v>40</v>
      </c>
      <c r="J548" s="7">
        <v>800</v>
      </c>
      <c r="K548" s="7">
        <v>600</v>
      </c>
      <c r="L548" s="7">
        <v>150</v>
      </c>
      <c r="M548" s="7">
        <v>30</v>
      </c>
      <c r="N548" s="7">
        <v>60</v>
      </c>
      <c r="O548" s="7">
        <v>45</v>
      </c>
      <c r="P548" s="7">
        <v>150</v>
      </c>
    </row>
    <row r="549" spans="1:16" s="10" customFormat="1">
      <c r="A549" s="7">
        <f>IF(B549="","",SUBTOTAL(103,$B$2:B549))</f>
        <v>548</v>
      </c>
      <c r="B549" s="8" t="s">
        <v>1571</v>
      </c>
      <c r="C549" s="7" t="s">
        <v>1634</v>
      </c>
      <c r="D549" s="9" t="s">
        <v>1638</v>
      </c>
      <c r="E549" s="7" t="s">
        <v>1574</v>
      </c>
      <c r="F549" s="7" t="s">
        <v>1639</v>
      </c>
      <c r="G549" s="7" t="s">
        <v>1640</v>
      </c>
      <c r="H549" s="7">
        <v>0.124</v>
      </c>
      <c r="I549" s="7">
        <v>40</v>
      </c>
      <c r="J549" s="7">
        <v>800</v>
      </c>
      <c r="K549" s="7">
        <v>600</v>
      </c>
      <c r="L549" s="7">
        <v>150</v>
      </c>
      <c r="M549" s="7">
        <v>30</v>
      </c>
      <c r="N549" s="7">
        <v>60</v>
      </c>
      <c r="O549" s="7">
        <v>45</v>
      </c>
      <c r="P549" s="7">
        <v>150</v>
      </c>
    </row>
    <row r="550" spans="1:16" s="10" customFormat="1">
      <c r="A550" s="7">
        <f>IF(B550="","",SUBTOTAL(103,$B$2:B550))</f>
        <v>549</v>
      </c>
      <c r="B550" s="8" t="s">
        <v>1571</v>
      </c>
      <c r="C550" s="7" t="s">
        <v>1641</v>
      </c>
      <c r="D550" s="9" t="s">
        <v>1642</v>
      </c>
      <c r="E550" s="7" t="s">
        <v>1574</v>
      </c>
      <c r="F550" s="7" t="s">
        <v>1643</v>
      </c>
      <c r="G550" s="7" t="s">
        <v>1644</v>
      </c>
      <c r="H550" s="7">
        <v>5.8000000000000003E-2</v>
      </c>
      <c r="I550" s="7">
        <v>68</v>
      </c>
      <c r="J550" s="7">
        <v>800</v>
      </c>
      <c r="K550" s="7">
        <v>600</v>
      </c>
      <c r="L550" s="7">
        <v>150</v>
      </c>
      <c r="M550" s="7">
        <v>30</v>
      </c>
      <c r="N550" s="7">
        <v>60</v>
      </c>
      <c r="O550" s="7">
        <v>30</v>
      </c>
      <c r="P550" s="7">
        <v>130</v>
      </c>
    </row>
    <row r="551" spans="1:16" s="10" customFormat="1">
      <c r="A551" s="7">
        <f>IF(B551="","",SUBTOTAL(103,$B$2:B551))</f>
        <v>550</v>
      </c>
      <c r="B551" s="8" t="s">
        <v>1571</v>
      </c>
      <c r="C551" s="7" t="s">
        <v>1641</v>
      </c>
      <c r="D551" s="9" t="s">
        <v>1645</v>
      </c>
      <c r="E551" s="7" t="s">
        <v>1574</v>
      </c>
      <c r="F551" s="7" t="s">
        <v>1646</v>
      </c>
      <c r="G551" s="7" t="s">
        <v>1647</v>
      </c>
      <c r="H551" s="7">
        <v>5.8000000000000003E-2</v>
      </c>
      <c r="I551" s="7">
        <v>68</v>
      </c>
      <c r="J551" s="7">
        <v>800</v>
      </c>
      <c r="K551" s="7">
        <v>600</v>
      </c>
      <c r="L551" s="7">
        <v>150</v>
      </c>
      <c r="M551" s="7">
        <v>30</v>
      </c>
      <c r="N551" s="7">
        <v>60</v>
      </c>
      <c r="O551" s="7">
        <v>30</v>
      </c>
      <c r="P551" s="7">
        <v>130</v>
      </c>
    </row>
    <row r="552" spans="1:16" s="10" customFormat="1">
      <c r="A552" s="7">
        <f>IF(B552="","",SUBTOTAL(103,$B$2:B552))</f>
        <v>551</v>
      </c>
      <c r="B552" s="8" t="s">
        <v>1571</v>
      </c>
      <c r="C552" s="7" t="s">
        <v>1648</v>
      </c>
      <c r="D552" s="9" t="s">
        <v>1649</v>
      </c>
      <c r="E552" s="7" t="s">
        <v>1574</v>
      </c>
      <c r="F552" s="7" t="s">
        <v>1650</v>
      </c>
      <c r="G552" s="7" t="s">
        <v>1651</v>
      </c>
      <c r="H552" s="7">
        <v>2.4319999999999999</v>
      </c>
      <c r="I552" s="7">
        <v>4</v>
      </c>
      <c r="J552" s="7">
        <v>800</v>
      </c>
      <c r="K552" s="7">
        <v>600</v>
      </c>
      <c r="L552" s="7">
        <v>150</v>
      </c>
      <c r="M552" s="7">
        <v>30</v>
      </c>
      <c r="N552" s="7">
        <v>60</v>
      </c>
      <c r="O552" s="7">
        <v>500</v>
      </c>
      <c r="P552" s="7">
        <v>600</v>
      </c>
    </row>
    <row r="553" spans="1:16" s="10" customFormat="1">
      <c r="A553" s="7">
        <f>IF(B553="","",SUBTOTAL(103,$B$2:B553))</f>
        <v>552</v>
      </c>
      <c r="B553" s="8" t="s">
        <v>1571</v>
      </c>
      <c r="C553" s="7" t="s">
        <v>1648</v>
      </c>
      <c r="D553" s="9" t="s">
        <v>1652</v>
      </c>
      <c r="E553" s="7" t="s">
        <v>1653</v>
      </c>
      <c r="F553" s="7" t="s">
        <v>1654</v>
      </c>
      <c r="G553" s="7" t="s">
        <v>1655</v>
      </c>
      <c r="H553" s="7">
        <v>2.4319999999999999</v>
      </c>
      <c r="I553" s="7">
        <v>4</v>
      </c>
      <c r="J553" s="7">
        <v>800</v>
      </c>
      <c r="K553" s="7">
        <v>600</v>
      </c>
      <c r="L553" s="7">
        <v>150</v>
      </c>
      <c r="M553" s="7">
        <v>30</v>
      </c>
      <c r="N553" s="7">
        <v>60</v>
      </c>
      <c r="O553" s="7">
        <v>500</v>
      </c>
      <c r="P553" s="7">
        <v>600</v>
      </c>
    </row>
    <row r="554" spans="1:16" s="10" customFormat="1">
      <c r="A554" s="7">
        <f>IF(B554="","",SUBTOTAL(103,$B$2:B554))</f>
        <v>553</v>
      </c>
      <c r="B554" s="8" t="s">
        <v>1571</v>
      </c>
      <c r="C554" s="7" t="s">
        <v>1656</v>
      </c>
      <c r="D554" s="9" t="s">
        <v>1657</v>
      </c>
      <c r="E554" s="7" t="s">
        <v>1658</v>
      </c>
      <c r="F554" s="7" t="s">
        <v>1575</v>
      </c>
      <c r="G554" s="7" t="s">
        <v>1659</v>
      </c>
      <c r="H554" s="7">
        <v>0.129</v>
      </c>
      <c r="I554" s="7">
        <v>36</v>
      </c>
      <c r="J554" s="7">
        <v>800</v>
      </c>
      <c r="K554" s="7">
        <v>600</v>
      </c>
      <c r="L554" s="7">
        <v>150</v>
      </c>
      <c r="M554" s="7">
        <v>30</v>
      </c>
      <c r="N554" s="7">
        <v>60</v>
      </c>
      <c r="O554" s="7">
        <v>55</v>
      </c>
      <c r="P554" s="7">
        <v>160</v>
      </c>
    </row>
    <row r="555" spans="1:16" s="10" customFormat="1">
      <c r="A555" s="7">
        <f>IF(B555="","",SUBTOTAL(103,$B$2:B555))</f>
        <v>554</v>
      </c>
      <c r="B555" s="8" t="s">
        <v>1571</v>
      </c>
      <c r="C555" s="7" t="s">
        <v>1656</v>
      </c>
      <c r="D555" s="9" t="s">
        <v>1660</v>
      </c>
      <c r="E555" s="7" t="s">
        <v>1658</v>
      </c>
      <c r="F555" s="7" t="s">
        <v>1578</v>
      </c>
      <c r="G555" s="7" t="s">
        <v>1661</v>
      </c>
      <c r="H555" s="7">
        <v>0.129</v>
      </c>
      <c r="I555" s="7">
        <v>36</v>
      </c>
      <c r="J555" s="7">
        <v>800</v>
      </c>
      <c r="K555" s="7">
        <v>600</v>
      </c>
      <c r="L555" s="7">
        <v>150</v>
      </c>
      <c r="M555" s="7">
        <v>30</v>
      </c>
      <c r="N555" s="7">
        <v>60</v>
      </c>
      <c r="O555" s="7">
        <v>55</v>
      </c>
      <c r="P555" s="7">
        <v>160</v>
      </c>
    </row>
    <row r="556" spans="1:16" s="10" customFormat="1">
      <c r="A556" s="7">
        <f>IF(B556="","",SUBTOTAL(103,$B$2:B556))</f>
        <v>555</v>
      </c>
      <c r="B556" s="8" t="s">
        <v>1571</v>
      </c>
      <c r="C556" s="7" t="s">
        <v>1662</v>
      </c>
      <c r="D556" s="9" t="s">
        <v>1663</v>
      </c>
      <c r="E556" s="7" t="s">
        <v>1658</v>
      </c>
      <c r="F556" s="7" t="s">
        <v>1582</v>
      </c>
      <c r="G556" s="7" t="s">
        <v>1664</v>
      </c>
      <c r="H556" s="7">
        <v>7.9000000000000001E-2</v>
      </c>
      <c r="I556" s="7">
        <v>56</v>
      </c>
      <c r="J556" s="7">
        <v>800</v>
      </c>
      <c r="K556" s="7">
        <v>600</v>
      </c>
      <c r="L556" s="7">
        <v>150</v>
      </c>
      <c r="M556" s="7">
        <v>30</v>
      </c>
      <c r="N556" s="7">
        <v>60</v>
      </c>
      <c r="O556" s="7">
        <v>34</v>
      </c>
      <c r="P556" s="7">
        <v>140</v>
      </c>
    </row>
    <row r="557" spans="1:16" s="10" customFormat="1">
      <c r="A557" s="7">
        <f>IF(B557="","",SUBTOTAL(103,$B$2:B557))</f>
        <v>556</v>
      </c>
      <c r="B557" s="8" t="s">
        <v>1571</v>
      </c>
      <c r="C557" s="7" t="s">
        <v>1662</v>
      </c>
      <c r="D557" s="9" t="s">
        <v>1665</v>
      </c>
      <c r="E557" s="7" t="s">
        <v>1658</v>
      </c>
      <c r="F557" s="7" t="s">
        <v>1585</v>
      </c>
      <c r="G557" s="7" t="s">
        <v>1666</v>
      </c>
      <c r="H557" s="7">
        <v>7.9000000000000001E-2</v>
      </c>
      <c r="I557" s="7">
        <v>48</v>
      </c>
      <c r="J557" s="7">
        <v>800</v>
      </c>
      <c r="K557" s="7">
        <v>600</v>
      </c>
      <c r="L557" s="7">
        <v>150</v>
      </c>
      <c r="M557" s="7">
        <v>30</v>
      </c>
      <c r="N557" s="7">
        <v>60</v>
      </c>
      <c r="O557" s="7">
        <v>41</v>
      </c>
      <c r="P557" s="7">
        <v>140</v>
      </c>
    </row>
    <row r="558" spans="1:16" s="10" customFormat="1">
      <c r="A558" s="7">
        <f>IF(B558="","",SUBTOTAL(103,$B$2:B558))</f>
        <v>557</v>
      </c>
      <c r="B558" s="8" t="s">
        <v>1571</v>
      </c>
      <c r="C558" s="7" t="s">
        <v>1667</v>
      </c>
      <c r="D558" s="9" t="s">
        <v>1668</v>
      </c>
      <c r="E558" s="7" t="s">
        <v>1658</v>
      </c>
      <c r="F558" s="7" t="s">
        <v>1589</v>
      </c>
      <c r="G558" s="7" t="s">
        <v>1669</v>
      </c>
      <c r="H558" s="7">
        <v>3.4000000000000002E-2</v>
      </c>
      <c r="I558" s="7">
        <v>68</v>
      </c>
      <c r="J558" s="7">
        <v>800</v>
      </c>
      <c r="K558" s="7">
        <v>600</v>
      </c>
      <c r="L558" s="7">
        <v>150</v>
      </c>
      <c r="M558" s="7">
        <v>30</v>
      </c>
      <c r="N558" s="7">
        <v>60</v>
      </c>
      <c r="O558" s="7">
        <v>30</v>
      </c>
      <c r="P558" s="7">
        <v>120</v>
      </c>
    </row>
    <row r="559" spans="1:16" s="10" customFormat="1">
      <c r="A559" s="7">
        <f>IF(B559="","",SUBTOTAL(103,$B$2:B559))</f>
        <v>558</v>
      </c>
      <c r="B559" s="8" t="s">
        <v>1571</v>
      </c>
      <c r="C559" s="7" t="s">
        <v>1667</v>
      </c>
      <c r="D559" s="9" t="s">
        <v>1670</v>
      </c>
      <c r="E559" s="7" t="s">
        <v>1658</v>
      </c>
      <c r="F559" s="7" t="s">
        <v>1592</v>
      </c>
      <c r="G559" s="7" t="s">
        <v>1671</v>
      </c>
      <c r="H559" s="7">
        <v>3.4000000000000002E-2</v>
      </c>
      <c r="I559" s="7">
        <v>68</v>
      </c>
      <c r="J559" s="7">
        <v>800</v>
      </c>
      <c r="K559" s="7">
        <v>600</v>
      </c>
      <c r="L559" s="7">
        <v>150</v>
      </c>
      <c r="M559" s="7">
        <v>30</v>
      </c>
      <c r="N559" s="7">
        <v>60</v>
      </c>
      <c r="O559" s="7">
        <v>30</v>
      </c>
      <c r="P559" s="7">
        <v>120</v>
      </c>
    </row>
    <row r="560" spans="1:16" s="10" customFormat="1">
      <c r="A560" s="7">
        <f>IF(B560="","",SUBTOTAL(103,$B$2:B560))</f>
        <v>559</v>
      </c>
      <c r="B560" s="8" t="s">
        <v>1571</v>
      </c>
      <c r="C560" s="7" t="s">
        <v>1672</v>
      </c>
      <c r="D560" s="9" t="s">
        <v>1673</v>
      </c>
      <c r="E560" s="7" t="s">
        <v>1658</v>
      </c>
      <c r="F560" s="7" t="s">
        <v>1596</v>
      </c>
      <c r="G560" s="7" t="s">
        <v>1674</v>
      </c>
      <c r="H560" s="7">
        <v>2.4E-2</v>
      </c>
      <c r="I560" s="7">
        <v>80</v>
      </c>
      <c r="J560" s="7">
        <v>800</v>
      </c>
      <c r="K560" s="7">
        <v>600</v>
      </c>
      <c r="L560" s="7">
        <v>150</v>
      </c>
      <c r="M560" s="7">
        <v>30</v>
      </c>
      <c r="N560" s="7">
        <v>60</v>
      </c>
      <c r="O560" s="7">
        <v>25</v>
      </c>
      <c r="P560" s="7">
        <v>110</v>
      </c>
    </row>
    <row r="561" spans="1:16" s="10" customFormat="1">
      <c r="A561" s="7">
        <f>IF(B561="","",SUBTOTAL(103,$B$2:B561))</f>
        <v>560</v>
      </c>
      <c r="B561" s="8" t="s">
        <v>1571</v>
      </c>
      <c r="C561" s="7" t="s">
        <v>1672</v>
      </c>
      <c r="D561" s="9" t="s">
        <v>1675</v>
      </c>
      <c r="E561" s="7" t="s">
        <v>1658</v>
      </c>
      <c r="F561" s="7" t="s">
        <v>1599</v>
      </c>
      <c r="G561" s="7" t="s">
        <v>1676</v>
      </c>
      <c r="H561" s="7">
        <v>2.4E-2</v>
      </c>
      <c r="I561" s="7">
        <v>80</v>
      </c>
      <c r="J561" s="7">
        <v>800</v>
      </c>
      <c r="K561" s="7">
        <v>600</v>
      </c>
      <c r="L561" s="7">
        <v>150</v>
      </c>
      <c r="M561" s="7">
        <v>30</v>
      </c>
      <c r="N561" s="7">
        <v>60</v>
      </c>
      <c r="O561" s="7">
        <v>25</v>
      </c>
      <c r="P561" s="7">
        <v>110</v>
      </c>
    </row>
    <row r="562" spans="1:16" s="10" customFormat="1">
      <c r="A562" s="7">
        <f>IF(B562="","",SUBTOTAL(103,$B$2:B562))</f>
        <v>561</v>
      </c>
      <c r="B562" s="8" t="s">
        <v>1571</v>
      </c>
      <c r="C562" s="7" t="s">
        <v>1677</v>
      </c>
      <c r="D562" s="9" t="s">
        <v>1678</v>
      </c>
      <c r="E562" s="7" t="s">
        <v>1658</v>
      </c>
      <c r="F562" s="7" t="s">
        <v>1603</v>
      </c>
      <c r="G562" s="7" t="s">
        <v>1679</v>
      </c>
      <c r="H562" s="7">
        <v>0.41099999999999998</v>
      </c>
      <c r="I562" s="7">
        <v>18</v>
      </c>
      <c r="J562" s="7">
        <v>800</v>
      </c>
      <c r="K562" s="7">
        <v>600</v>
      </c>
      <c r="L562" s="7">
        <v>150</v>
      </c>
      <c r="M562" s="7">
        <v>30</v>
      </c>
      <c r="N562" s="7">
        <v>60</v>
      </c>
      <c r="O562" s="7">
        <v>100</v>
      </c>
      <c r="P562" s="7">
        <v>220</v>
      </c>
    </row>
    <row r="563" spans="1:16" s="10" customFormat="1">
      <c r="A563" s="7">
        <f>IF(B563="","",SUBTOTAL(103,$B$2:B563))</f>
        <v>562</v>
      </c>
      <c r="B563" s="8" t="s">
        <v>1571</v>
      </c>
      <c r="C563" s="7" t="s">
        <v>1677</v>
      </c>
      <c r="D563" s="9" t="s">
        <v>1680</v>
      </c>
      <c r="E563" s="7" t="s">
        <v>1658</v>
      </c>
      <c r="F563" s="7" t="s">
        <v>1606</v>
      </c>
      <c r="G563" s="7" t="s">
        <v>1681</v>
      </c>
      <c r="H563" s="7">
        <v>0.41099999999999998</v>
      </c>
      <c r="I563" s="7">
        <v>18</v>
      </c>
      <c r="J563" s="7">
        <v>800</v>
      </c>
      <c r="K563" s="7">
        <v>600</v>
      </c>
      <c r="L563" s="7">
        <v>150</v>
      </c>
      <c r="M563" s="7">
        <v>30</v>
      </c>
      <c r="N563" s="7">
        <v>60</v>
      </c>
      <c r="O563" s="7">
        <v>100</v>
      </c>
      <c r="P563" s="7">
        <v>220</v>
      </c>
    </row>
    <row r="564" spans="1:16" s="10" customFormat="1">
      <c r="A564" s="7">
        <f>IF(B564="","",SUBTOTAL(103,$B$2:B564))</f>
        <v>563</v>
      </c>
      <c r="B564" s="8" t="s">
        <v>1571</v>
      </c>
      <c r="C564" s="7" t="s">
        <v>1682</v>
      </c>
      <c r="D564" s="9" t="s">
        <v>1683</v>
      </c>
      <c r="E564" s="7" t="s">
        <v>1658</v>
      </c>
      <c r="F564" s="7" t="s">
        <v>1610</v>
      </c>
      <c r="G564" s="7" t="s">
        <v>1684</v>
      </c>
      <c r="H564" s="7">
        <v>0.26700000000000002</v>
      </c>
      <c r="I564" s="7">
        <v>18</v>
      </c>
      <c r="J564" s="7">
        <v>800</v>
      </c>
      <c r="K564" s="7">
        <v>600</v>
      </c>
      <c r="L564" s="7">
        <v>150</v>
      </c>
      <c r="M564" s="7">
        <v>30</v>
      </c>
      <c r="N564" s="7">
        <v>60</v>
      </c>
      <c r="O564" s="7">
        <v>100</v>
      </c>
      <c r="P564" s="7">
        <v>210</v>
      </c>
    </row>
    <row r="565" spans="1:16" s="10" customFormat="1">
      <c r="A565" s="7">
        <f>IF(B565="","",SUBTOTAL(103,$B$2:B565))</f>
        <v>564</v>
      </c>
      <c r="B565" s="8" t="s">
        <v>1571</v>
      </c>
      <c r="C565" s="7" t="s">
        <v>1682</v>
      </c>
      <c r="D565" s="9" t="s">
        <v>1685</v>
      </c>
      <c r="E565" s="7" t="s">
        <v>1658</v>
      </c>
      <c r="F565" s="7" t="s">
        <v>1613</v>
      </c>
      <c r="G565" s="7" t="s">
        <v>1686</v>
      </c>
      <c r="H565" s="7">
        <v>0.26700000000000002</v>
      </c>
      <c r="I565" s="7">
        <v>18</v>
      </c>
      <c r="J565" s="7">
        <v>800</v>
      </c>
      <c r="K565" s="7">
        <v>600</v>
      </c>
      <c r="L565" s="7">
        <v>150</v>
      </c>
      <c r="M565" s="7">
        <v>30</v>
      </c>
      <c r="N565" s="7">
        <v>60</v>
      </c>
      <c r="O565" s="7">
        <v>100</v>
      </c>
      <c r="P565" s="7">
        <v>210</v>
      </c>
    </row>
    <row r="566" spans="1:16" s="10" customFormat="1">
      <c r="A566" s="7">
        <f>IF(B566="","",SUBTOTAL(103,$B$2:B566))</f>
        <v>565</v>
      </c>
      <c r="B566" s="8" t="s">
        <v>1571</v>
      </c>
      <c r="C566" s="7" t="s">
        <v>1687</v>
      </c>
      <c r="D566" s="9" t="s">
        <v>1688</v>
      </c>
      <c r="E566" s="7" t="s">
        <v>1658</v>
      </c>
      <c r="F566" s="7" t="s">
        <v>1617</v>
      </c>
      <c r="G566" s="7" t="s">
        <v>1689</v>
      </c>
      <c r="H566" s="7">
        <v>0.41099999999999998</v>
      </c>
      <c r="I566" s="7">
        <v>12</v>
      </c>
      <c r="J566" s="7">
        <v>800</v>
      </c>
      <c r="K566" s="7">
        <v>600</v>
      </c>
      <c r="L566" s="7">
        <v>150</v>
      </c>
      <c r="M566" s="7">
        <v>30</v>
      </c>
      <c r="N566" s="7">
        <v>60</v>
      </c>
      <c r="O566" s="7">
        <v>150</v>
      </c>
      <c r="P566" s="7">
        <v>300</v>
      </c>
    </row>
    <row r="567" spans="1:16" s="10" customFormat="1">
      <c r="A567" s="7">
        <f>IF(B567="","",SUBTOTAL(103,$B$2:B567))</f>
        <v>566</v>
      </c>
      <c r="B567" s="8" t="s">
        <v>1571</v>
      </c>
      <c r="C567" s="7" t="s">
        <v>1687</v>
      </c>
      <c r="D567" s="9" t="s">
        <v>1690</v>
      </c>
      <c r="E567" s="7" t="s">
        <v>1658</v>
      </c>
      <c r="F567" s="7" t="s">
        <v>1620</v>
      </c>
      <c r="G567" s="7" t="s">
        <v>1691</v>
      </c>
      <c r="H567" s="7">
        <v>0.41099999999999998</v>
      </c>
      <c r="I567" s="7">
        <v>12</v>
      </c>
      <c r="J567" s="7">
        <v>800</v>
      </c>
      <c r="K567" s="7">
        <v>600</v>
      </c>
      <c r="L567" s="7">
        <v>150</v>
      </c>
      <c r="M567" s="7">
        <v>30</v>
      </c>
      <c r="N567" s="7">
        <v>60</v>
      </c>
      <c r="O567" s="7">
        <v>150</v>
      </c>
      <c r="P567" s="7">
        <v>300</v>
      </c>
    </row>
    <row r="568" spans="1:16" s="10" customFormat="1">
      <c r="A568" s="7">
        <f>IF(B568="","",SUBTOTAL(103,$B$2:B568))</f>
        <v>567</v>
      </c>
      <c r="B568" s="8" t="s">
        <v>1571</v>
      </c>
      <c r="C568" s="7" t="s">
        <v>1692</v>
      </c>
      <c r="D568" s="9" t="s">
        <v>1693</v>
      </c>
      <c r="E568" s="7" t="s">
        <v>1658</v>
      </c>
      <c r="F568" s="7" t="s">
        <v>1345</v>
      </c>
      <c r="G568" s="7" t="s">
        <v>1694</v>
      </c>
      <c r="H568" s="7">
        <v>0.89700000000000002</v>
      </c>
      <c r="I568" s="7">
        <v>6</v>
      </c>
      <c r="J568" s="7">
        <v>800</v>
      </c>
      <c r="K568" s="7">
        <v>600</v>
      </c>
      <c r="L568" s="7">
        <v>150</v>
      </c>
      <c r="M568" s="7">
        <v>30</v>
      </c>
      <c r="N568" s="7">
        <v>60</v>
      </c>
      <c r="O568" s="7">
        <v>310</v>
      </c>
      <c r="P568" s="7">
        <v>350</v>
      </c>
    </row>
    <row r="569" spans="1:16" s="10" customFormat="1">
      <c r="A569" s="7">
        <f>IF(B569="","",SUBTOTAL(103,$B$2:B569))</f>
        <v>568</v>
      </c>
      <c r="B569" s="8" t="s">
        <v>1571</v>
      </c>
      <c r="C569" s="7" t="s">
        <v>1692</v>
      </c>
      <c r="D569" s="9" t="s">
        <v>1695</v>
      </c>
      <c r="E569" s="7" t="s">
        <v>1658</v>
      </c>
      <c r="F569" s="7" t="s">
        <v>1348</v>
      </c>
      <c r="G569" s="7" t="s">
        <v>1696</v>
      </c>
      <c r="H569" s="7">
        <v>0.89700000000000002</v>
      </c>
      <c r="I569" s="7">
        <v>6</v>
      </c>
      <c r="J569" s="7">
        <v>800</v>
      </c>
      <c r="K569" s="7">
        <v>600</v>
      </c>
      <c r="L569" s="7">
        <v>150</v>
      </c>
      <c r="M569" s="7">
        <v>30</v>
      </c>
      <c r="N569" s="7">
        <v>60</v>
      </c>
      <c r="O569" s="7">
        <v>310</v>
      </c>
      <c r="P569" s="7">
        <v>350</v>
      </c>
    </row>
    <row r="570" spans="1:16" s="10" customFormat="1">
      <c r="A570" s="7">
        <f>IF(B570="","",SUBTOTAL(103,$B$2:B570))</f>
        <v>569</v>
      </c>
      <c r="B570" s="8" t="s">
        <v>1571</v>
      </c>
      <c r="C570" s="7" t="s">
        <v>1697</v>
      </c>
      <c r="D570" s="9" t="s">
        <v>1698</v>
      </c>
      <c r="E570" s="7" t="s">
        <v>1658</v>
      </c>
      <c r="F570" s="7" t="s">
        <v>1629</v>
      </c>
      <c r="G570" s="7" t="s">
        <v>1699</v>
      </c>
      <c r="H570" s="7">
        <v>0.99099999999999999</v>
      </c>
      <c r="I570" s="7">
        <v>5</v>
      </c>
      <c r="J570" s="7">
        <v>800</v>
      </c>
      <c r="K570" s="7">
        <v>600</v>
      </c>
      <c r="L570" s="7">
        <v>150</v>
      </c>
      <c r="M570" s="7">
        <v>30</v>
      </c>
      <c r="N570" s="7">
        <v>60</v>
      </c>
      <c r="O570" s="7">
        <v>400</v>
      </c>
      <c r="P570" s="7">
        <v>565</v>
      </c>
    </row>
    <row r="571" spans="1:16" s="10" customFormat="1">
      <c r="A571" s="7">
        <f>IF(B571="","",SUBTOTAL(103,$B$2:B571))</f>
        <v>570</v>
      </c>
      <c r="B571" s="8" t="s">
        <v>1571</v>
      </c>
      <c r="C571" s="7" t="s">
        <v>1697</v>
      </c>
      <c r="D571" s="9" t="s">
        <v>1700</v>
      </c>
      <c r="E571" s="7" t="s">
        <v>1658</v>
      </c>
      <c r="F571" s="7" t="s">
        <v>1632</v>
      </c>
      <c r="G571" s="7" t="s">
        <v>1701</v>
      </c>
      <c r="H571" s="7">
        <v>0.99099999999999999</v>
      </c>
      <c r="I571" s="7">
        <v>5</v>
      </c>
      <c r="J571" s="7">
        <v>800</v>
      </c>
      <c r="K571" s="7">
        <v>600</v>
      </c>
      <c r="L571" s="7">
        <v>150</v>
      </c>
      <c r="M571" s="7">
        <v>30</v>
      </c>
      <c r="N571" s="7">
        <v>60</v>
      </c>
      <c r="O571" s="7">
        <v>400</v>
      </c>
      <c r="P571" s="7">
        <v>565</v>
      </c>
    </row>
    <row r="572" spans="1:16" s="10" customFormat="1">
      <c r="A572" s="7">
        <f>IF(B572="","",SUBTOTAL(103,$B$2:B572))</f>
        <v>571</v>
      </c>
      <c r="B572" s="8" t="s">
        <v>1571</v>
      </c>
      <c r="C572" s="7" t="s">
        <v>1702</v>
      </c>
      <c r="D572" s="9" t="s">
        <v>1703</v>
      </c>
      <c r="E572" s="7" t="s">
        <v>1658</v>
      </c>
      <c r="F572" s="7" t="s">
        <v>1636</v>
      </c>
      <c r="G572" s="7" t="s">
        <v>1704</v>
      </c>
      <c r="H572" s="7">
        <v>0.114</v>
      </c>
      <c r="I572" s="7">
        <v>44</v>
      </c>
      <c r="J572" s="7">
        <v>800</v>
      </c>
      <c r="K572" s="7">
        <v>600</v>
      </c>
      <c r="L572" s="7">
        <v>150</v>
      </c>
      <c r="M572" s="7">
        <v>30</v>
      </c>
      <c r="N572" s="7">
        <v>60</v>
      </c>
      <c r="O572" s="7">
        <v>45</v>
      </c>
      <c r="P572" s="7">
        <v>150</v>
      </c>
    </row>
    <row r="573" spans="1:16" s="10" customFormat="1">
      <c r="A573" s="7">
        <f>IF(B573="","",SUBTOTAL(103,$B$2:B573))</f>
        <v>572</v>
      </c>
      <c r="B573" s="8" t="s">
        <v>1571</v>
      </c>
      <c r="C573" s="7" t="s">
        <v>1702</v>
      </c>
      <c r="D573" s="9" t="s">
        <v>1705</v>
      </c>
      <c r="E573" s="7" t="s">
        <v>1658</v>
      </c>
      <c r="F573" s="7" t="s">
        <v>1639</v>
      </c>
      <c r="G573" s="7" t="s">
        <v>1706</v>
      </c>
      <c r="H573" s="7">
        <v>0.114</v>
      </c>
      <c r="I573" s="7">
        <v>44</v>
      </c>
      <c r="J573" s="7">
        <v>800</v>
      </c>
      <c r="K573" s="7">
        <v>600</v>
      </c>
      <c r="L573" s="7">
        <v>150</v>
      </c>
      <c r="M573" s="7">
        <v>30</v>
      </c>
      <c r="N573" s="7">
        <v>60</v>
      </c>
      <c r="O573" s="7">
        <v>45</v>
      </c>
      <c r="P573" s="7">
        <v>150</v>
      </c>
    </row>
    <row r="574" spans="1:16" s="10" customFormat="1">
      <c r="A574" s="7">
        <f>IF(B574="","",SUBTOTAL(103,$B$2:B574))</f>
        <v>573</v>
      </c>
      <c r="B574" s="8" t="s">
        <v>1571</v>
      </c>
      <c r="C574" s="7" t="s">
        <v>1707</v>
      </c>
      <c r="D574" s="9" t="s">
        <v>1708</v>
      </c>
      <c r="E574" s="7" t="s">
        <v>1658</v>
      </c>
      <c r="F574" s="7" t="s">
        <v>1643</v>
      </c>
      <c r="G574" s="7" t="s">
        <v>1709</v>
      </c>
      <c r="H574" s="7">
        <v>5.1999999999999998E-2</v>
      </c>
      <c r="I574" s="7">
        <v>68</v>
      </c>
      <c r="J574" s="7">
        <v>800</v>
      </c>
      <c r="K574" s="7">
        <v>600</v>
      </c>
      <c r="L574" s="7">
        <v>150</v>
      </c>
      <c r="M574" s="7">
        <v>30</v>
      </c>
      <c r="N574" s="7">
        <v>60</v>
      </c>
      <c r="O574" s="7">
        <v>30</v>
      </c>
      <c r="P574" s="7">
        <v>130</v>
      </c>
    </row>
    <row r="575" spans="1:16" s="10" customFormat="1">
      <c r="A575" s="7">
        <f>IF(B575="","",SUBTOTAL(103,$B$2:B575))</f>
        <v>574</v>
      </c>
      <c r="B575" s="8" t="s">
        <v>1571</v>
      </c>
      <c r="C575" s="7" t="s">
        <v>1707</v>
      </c>
      <c r="D575" s="9" t="s">
        <v>1710</v>
      </c>
      <c r="E575" s="7" t="s">
        <v>1658</v>
      </c>
      <c r="F575" s="7" t="s">
        <v>1646</v>
      </c>
      <c r="G575" s="7" t="s">
        <v>1711</v>
      </c>
      <c r="H575" s="7">
        <v>5.1999999999999998E-2</v>
      </c>
      <c r="I575" s="7">
        <v>68</v>
      </c>
      <c r="J575" s="7">
        <v>800</v>
      </c>
      <c r="K575" s="7">
        <v>600</v>
      </c>
      <c r="L575" s="7">
        <v>150</v>
      </c>
      <c r="M575" s="7">
        <v>30</v>
      </c>
      <c r="N575" s="7">
        <v>60</v>
      </c>
      <c r="O575" s="7">
        <v>30</v>
      </c>
      <c r="P575" s="7">
        <v>130</v>
      </c>
    </row>
    <row r="576" spans="1:16" s="10" customFormat="1">
      <c r="A576" s="7">
        <f>IF(B576="","",SUBTOTAL(103,$B$2:B576))</f>
        <v>575</v>
      </c>
      <c r="B576" s="8" t="s">
        <v>1571</v>
      </c>
      <c r="C576" s="7" t="s">
        <v>1712</v>
      </c>
      <c r="D576" s="9" t="s">
        <v>1713</v>
      </c>
      <c r="E576" s="7" t="s">
        <v>1658</v>
      </c>
      <c r="F576" s="7" t="s">
        <v>1650</v>
      </c>
      <c r="G576" s="7" t="s">
        <v>1714</v>
      </c>
      <c r="H576" s="7">
        <v>2.0990000000000002</v>
      </c>
      <c r="I576" s="7">
        <v>4</v>
      </c>
      <c r="J576" s="7">
        <v>800</v>
      </c>
      <c r="K576" s="7">
        <v>600</v>
      </c>
      <c r="L576" s="7">
        <v>150</v>
      </c>
      <c r="M576" s="7">
        <v>30</v>
      </c>
      <c r="N576" s="7">
        <v>60</v>
      </c>
      <c r="O576" s="7">
        <v>500</v>
      </c>
      <c r="P576" s="7">
        <v>600</v>
      </c>
    </row>
    <row r="577" spans="1:16" s="10" customFormat="1">
      <c r="A577" s="7">
        <f>IF(B577="","",SUBTOTAL(103,$B$2:B577))</f>
        <v>576</v>
      </c>
      <c r="B577" s="8" t="s">
        <v>1571</v>
      </c>
      <c r="C577" s="7" t="s">
        <v>1712</v>
      </c>
      <c r="D577" s="9" t="s">
        <v>1715</v>
      </c>
      <c r="E577" s="7" t="s">
        <v>1716</v>
      </c>
      <c r="F577" s="7" t="s">
        <v>1654</v>
      </c>
      <c r="G577" s="7" t="s">
        <v>1717</v>
      </c>
      <c r="H577" s="7">
        <v>2.0990000000000002</v>
      </c>
      <c r="I577" s="7">
        <v>4</v>
      </c>
      <c r="J577" s="7">
        <v>800</v>
      </c>
      <c r="K577" s="7">
        <v>600</v>
      </c>
      <c r="L577" s="7">
        <v>150</v>
      </c>
      <c r="M577" s="7">
        <v>30</v>
      </c>
      <c r="N577" s="7">
        <v>60</v>
      </c>
      <c r="O577" s="7">
        <v>500</v>
      </c>
      <c r="P577" s="7">
        <v>600</v>
      </c>
    </row>
    <row r="578" spans="1:16" s="10" customFormat="1">
      <c r="A578" s="7">
        <f>IF(B578="","",SUBTOTAL(103,$B$2:B578))</f>
        <v>577</v>
      </c>
      <c r="B578" s="8" t="s">
        <v>1718</v>
      </c>
      <c r="C578" s="7" t="s">
        <v>1719</v>
      </c>
      <c r="D578" s="9" t="s">
        <v>1720</v>
      </c>
      <c r="E578" s="7" t="s">
        <v>1721</v>
      </c>
      <c r="F578" s="7" t="s">
        <v>1008</v>
      </c>
      <c r="G578" s="7" t="s">
        <v>1722</v>
      </c>
      <c r="H578" s="7">
        <v>0.217</v>
      </c>
      <c r="I578" s="7">
        <v>24</v>
      </c>
      <c r="J578" s="7"/>
      <c r="K578" s="7"/>
      <c r="L578" s="7"/>
      <c r="M578" s="7"/>
      <c r="N578" s="7">
        <v>60</v>
      </c>
      <c r="O578" s="7">
        <v>75</v>
      </c>
      <c r="P578" s="7">
        <v>150</v>
      </c>
    </row>
    <row r="579" spans="1:16" s="10" customFormat="1">
      <c r="A579" s="7">
        <f>IF(B579="","",SUBTOTAL(103,$B$2:B579))</f>
        <v>578</v>
      </c>
      <c r="B579" s="8" t="s">
        <v>1718</v>
      </c>
      <c r="C579" s="7" t="s">
        <v>1719</v>
      </c>
      <c r="D579" s="9" t="s">
        <v>1723</v>
      </c>
      <c r="E579" s="7" t="s">
        <v>1721</v>
      </c>
      <c r="F579" s="7" t="s">
        <v>1011</v>
      </c>
      <c r="G579" s="7" t="s">
        <v>1724</v>
      </c>
      <c r="H579" s="7">
        <v>0.22</v>
      </c>
      <c r="I579" s="7">
        <v>24</v>
      </c>
      <c r="J579" s="7"/>
      <c r="K579" s="7"/>
      <c r="L579" s="7"/>
      <c r="M579" s="7"/>
      <c r="N579" s="7">
        <v>60</v>
      </c>
      <c r="O579" s="7">
        <v>75</v>
      </c>
      <c r="P579" s="7">
        <v>150</v>
      </c>
    </row>
    <row r="580" spans="1:16" s="10" customFormat="1">
      <c r="A580" s="7">
        <f>IF(B580="","",SUBTOTAL(103,$B$2:B580))</f>
        <v>579</v>
      </c>
      <c r="B580" s="8" t="s">
        <v>1718</v>
      </c>
      <c r="C580" s="7" t="s">
        <v>1725</v>
      </c>
      <c r="D580" s="9" t="s">
        <v>1726</v>
      </c>
      <c r="E580" s="7" t="s">
        <v>1721</v>
      </c>
      <c r="F580" s="7" t="s">
        <v>1015</v>
      </c>
      <c r="G580" s="7" t="s">
        <v>1727</v>
      </c>
      <c r="H580" s="7">
        <v>0.114</v>
      </c>
      <c r="I580" s="7">
        <v>38</v>
      </c>
      <c r="J580" s="7"/>
      <c r="K580" s="7"/>
      <c r="L580" s="7"/>
      <c r="M580" s="7"/>
      <c r="N580" s="7">
        <v>60</v>
      </c>
      <c r="O580" s="7">
        <v>50</v>
      </c>
      <c r="P580" s="7">
        <v>140</v>
      </c>
    </row>
    <row r="581" spans="1:16" s="10" customFormat="1">
      <c r="A581" s="7">
        <f>IF(B581="","",SUBTOTAL(103,$B$2:B581))</f>
        <v>580</v>
      </c>
      <c r="B581" s="8" t="s">
        <v>1718</v>
      </c>
      <c r="C581" s="7" t="s">
        <v>1725</v>
      </c>
      <c r="D581" s="9" t="s">
        <v>1728</v>
      </c>
      <c r="E581" s="7" t="s">
        <v>1721</v>
      </c>
      <c r="F581" s="7" t="s">
        <v>1018</v>
      </c>
      <c r="G581" s="7" t="s">
        <v>1729</v>
      </c>
      <c r="H581" s="7">
        <v>4.7E-2</v>
      </c>
      <c r="I581" s="7">
        <v>38</v>
      </c>
      <c r="J581" s="7"/>
      <c r="K581" s="7"/>
      <c r="L581" s="7"/>
      <c r="M581" s="7"/>
      <c r="N581" s="7">
        <v>60</v>
      </c>
      <c r="O581" s="7">
        <v>50</v>
      </c>
      <c r="P581" s="7">
        <v>140</v>
      </c>
    </row>
    <row r="582" spans="1:16" s="10" customFormat="1">
      <c r="A582" s="7">
        <f>IF(B582="","",SUBTOTAL(103,$B$2:B582))</f>
        <v>581</v>
      </c>
      <c r="B582" s="8" t="s">
        <v>1718</v>
      </c>
      <c r="C582" s="7" t="s">
        <v>1730</v>
      </c>
      <c r="D582" s="9" t="s">
        <v>1731</v>
      </c>
      <c r="E582" s="7" t="s">
        <v>1721</v>
      </c>
      <c r="F582" s="7" t="s">
        <v>1732</v>
      </c>
      <c r="G582" s="7" t="s">
        <v>1733</v>
      </c>
      <c r="H582" s="7">
        <v>4.7E-2</v>
      </c>
      <c r="I582" s="7">
        <v>48</v>
      </c>
      <c r="J582" s="7">
        <v>800</v>
      </c>
      <c r="K582" s="7">
        <v>600</v>
      </c>
      <c r="L582" s="7">
        <v>150</v>
      </c>
      <c r="M582" s="7">
        <v>30</v>
      </c>
      <c r="N582" s="7">
        <v>60</v>
      </c>
      <c r="O582" s="7">
        <v>41</v>
      </c>
      <c r="P582" s="7">
        <v>140</v>
      </c>
    </row>
    <row r="583" spans="1:16" s="10" customFormat="1">
      <c r="A583" s="7">
        <f>IF(B583="","",SUBTOTAL(103,$B$2:B583))</f>
        <v>582</v>
      </c>
      <c r="B583" s="8" t="s">
        <v>1718</v>
      </c>
      <c r="C583" s="7" t="s">
        <v>1730</v>
      </c>
      <c r="D583" s="9" t="s">
        <v>1734</v>
      </c>
      <c r="E583" s="7" t="s">
        <v>1721</v>
      </c>
      <c r="F583" s="7" t="s">
        <v>1022</v>
      </c>
      <c r="G583" s="7" t="s">
        <v>1735</v>
      </c>
      <c r="H583" s="7">
        <v>4.7E-2</v>
      </c>
      <c r="I583" s="7">
        <v>48</v>
      </c>
      <c r="J583" s="7">
        <v>800</v>
      </c>
      <c r="K583" s="7">
        <v>600</v>
      </c>
      <c r="L583" s="7">
        <v>150</v>
      </c>
      <c r="M583" s="7">
        <v>30</v>
      </c>
      <c r="N583" s="7">
        <v>60</v>
      </c>
      <c r="O583" s="7">
        <v>41</v>
      </c>
      <c r="P583" s="7">
        <v>140</v>
      </c>
    </row>
    <row r="584" spans="1:16" s="10" customFormat="1">
      <c r="A584" s="7">
        <f>IF(B584="","",SUBTOTAL(103,$B$2:B584))</f>
        <v>583</v>
      </c>
      <c r="B584" s="8" t="s">
        <v>1718</v>
      </c>
      <c r="C584" s="7" t="s">
        <v>1736</v>
      </c>
      <c r="D584" s="9" t="s">
        <v>1737</v>
      </c>
      <c r="E584" s="7" t="s">
        <v>1721</v>
      </c>
      <c r="F584" s="7" t="s">
        <v>1738</v>
      </c>
      <c r="G584" s="7" t="s">
        <v>1739</v>
      </c>
      <c r="H584" s="7">
        <v>0.06</v>
      </c>
      <c r="I584" s="7">
        <v>56</v>
      </c>
      <c r="J584" s="7"/>
      <c r="K584" s="7"/>
      <c r="L584" s="7"/>
      <c r="M584" s="7"/>
      <c r="N584" s="7">
        <v>60</v>
      </c>
      <c r="O584" s="7">
        <v>34</v>
      </c>
      <c r="P584" s="7">
        <v>140</v>
      </c>
    </row>
    <row r="585" spans="1:16" s="10" customFormat="1">
      <c r="A585" s="7">
        <f>IF(B585="","",SUBTOTAL(103,$B$2:B585))</f>
        <v>584</v>
      </c>
      <c r="B585" s="8" t="s">
        <v>1718</v>
      </c>
      <c r="C585" s="7" t="s">
        <v>1740</v>
      </c>
      <c r="D585" s="9" t="s">
        <v>1741</v>
      </c>
      <c r="E585" s="7" t="s">
        <v>1721</v>
      </c>
      <c r="F585" s="7" t="s">
        <v>1026</v>
      </c>
      <c r="G585" s="7" t="s">
        <v>1742</v>
      </c>
      <c r="H585" s="7">
        <v>0.50800000000000001</v>
      </c>
      <c r="I585" s="7">
        <v>8</v>
      </c>
      <c r="J585" s="7"/>
      <c r="K585" s="7"/>
      <c r="L585" s="7"/>
      <c r="M585" s="7"/>
      <c r="N585" s="7"/>
      <c r="O585" s="7">
        <v>225</v>
      </c>
      <c r="P585" s="7">
        <v>250</v>
      </c>
    </row>
    <row r="586" spans="1:16" s="10" customFormat="1">
      <c r="A586" s="7">
        <f>IF(B586="","",SUBTOTAL(103,$B$2:B586))</f>
        <v>585</v>
      </c>
      <c r="B586" s="8" t="s">
        <v>1718</v>
      </c>
      <c r="C586" s="7" t="s">
        <v>1740</v>
      </c>
      <c r="D586" s="9" t="s">
        <v>1743</v>
      </c>
      <c r="E586" s="7" t="s">
        <v>1721</v>
      </c>
      <c r="F586" s="7" t="s">
        <v>1029</v>
      </c>
      <c r="G586" s="7" t="s">
        <v>1744</v>
      </c>
      <c r="H586" s="7">
        <v>0.50800000000000001</v>
      </c>
      <c r="I586" s="7">
        <v>8</v>
      </c>
      <c r="J586" s="7"/>
      <c r="K586" s="7"/>
      <c r="L586" s="7"/>
      <c r="M586" s="7"/>
      <c r="N586" s="7"/>
      <c r="O586" s="7">
        <v>225</v>
      </c>
      <c r="P586" s="7">
        <v>250</v>
      </c>
    </row>
    <row r="587" spans="1:16" s="10" customFormat="1">
      <c r="A587" s="7">
        <f>IF(B587="","",SUBTOTAL(103,$B$2:B587))</f>
        <v>586</v>
      </c>
      <c r="B587" s="8" t="s">
        <v>1718</v>
      </c>
      <c r="C587" s="7" t="s">
        <v>1745</v>
      </c>
      <c r="D587" s="9" t="s">
        <v>1746</v>
      </c>
      <c r="E587" s="7" t="s">
        <v>1721</v>
      </c>
      <c r="F587" s="7" t="s">
        <v>1033</v>
      </c>
      <c r="G587" s="7" t="s">
        <v>1747</v>
      </c>
      <c r="H587" s="7">
        <v>0.433</v>
      </c>
      <c r="I587" s="7">
        <v>18</v>
      </c>
      <c r="J587" s="7"/>
      <c r="K587" s="7"/>
      <c r="L587" s="7"/>
      <c r="M587" s="7"/>
      <c r="N587" s="7">
        <v>60</v>
      </c>
      <c r="O587" s="7">
        <v>100</v>
      </c>
      <c r="P587" s="7">
        <v>210</v>
      </c>
    </row>
    <row r="588" spans="1:16" s="10" customFormat="1">
      <c r="A588" s="7">
        <f>IF(B588="","",SUBTOTAL(103,$B$2:B588))</f>
        <v>587</v>
      </c>
      <c r="B588" s="8" t="s">
        <v>1718</v>
      </c>
      <c r="C588" s="7" t="s">
        <v>1745</v>
      </c>
      <c r="D588" s="9" t="s">
        <v>1748</v>
      </c>
      <c r="E588" s="7" t="s">
        <v>1749</v>
      </c>
      <c r="F588" s="7" t="s">
        <v>1337</v>
      </c>
      <c r="G588" s="7" t="str">
        <f>E588&amp;F588</f>
        <v>KI  K-06B UN 2#(热处理)11/4 CF8M</v>
      </c>
      <c r="H588" s="7">
        <v>0.433</v>
      </c>
      <c r="I588" s="7">
        <v>18</v>
      </c>
      <c r="J588" s="7"/>
      <c r="K588" s="7"/>
      <c r="L588" s="7"/>
      <c r="M588" s="7"/>
      <c r="N588" s="7">
        <v>60</v>
      </c>
      <c r="O588" s="7">
        <v>100</v>
      </c>
      <c r="P588" s="7">
        <v>210</v>
      </c>
    </row>
    <row r="589" spans="1:16" s="10" customFormat="1">
      <c r="A589" s="7">
        <f>IF(B589="","",SUBTOTAL(103,$B$2:B589))</f>
        <v>588</v>
      </c>
      <c r="B589" s="8" t="s">
        <v>1718</v>
      </c>
      <c r="C589" s="7" t="s">
        <v>1750</v>
      </c>
      <c r="D589" s="9" t="s">
        <v>1751</v>
      </c>
      <c r="E589" s="7" t="s">
        <v>1721</v>
      </c>
      <c r="F589" s="7" t="s">
        <v>1037</v>
      </c>
      <c r="G589" s="7" t="s">
        <v>1752</v>
      </c>
      <c r="H589" s="7">
        <v>0.73</v>
      </c>
      <c r="I589" s="7">
        <v>6</v>
      </c>
      <c r="J589" s="7"/>
      <c r="K589" s="7"/>
      <c r="L589" s="7"/>
      <c r="M589" s="7"/>
      <c r="N589" s="7">
        <v>60</v>
      </c>
      <c r="O589" s="7">
        <v>310</v>
      </c>
      <c r="P589" s="7">
        <v>350</v>
      </c>
    </row>
    <row r="590" spans="1:16" s="10" customFormat="1">
      <c r="A590" s="7">
        <f>IF(B590="","",SUBTOTAL(103,$B$2:B590))</f>
        <v>589</v>
      </c>
      <c r="B590" s="8" t="s">
        <v>1718</v>
      </c>
      <c r="C590" s="7" t="s">
        <v>1750</v>
      </c>
      <c r="D590" s="9" t="s">
        <v>1753</v>
      </c>
      <c r="E590" s="7" t="s">
        <v>1721</v>
      </c>
      <c r="F590" s="7" t="s">
        <v>1040</v>
      </c>
      <c r="G590" s="7" t="s">
        <v>1754</v>
      </c>
      <c r="H590" s="7">
        <v>0.61099999999999999</v>
      </c>
      <c r="I590" s="7">
        <v>8</v>
      </c>
      <c r="J590" s="7"/>
      <c r="K590" s="7"/>
      <c r="L590" s="7"/>
      <c r="M590" s="7"/>
      <c r="N590" s="7">
        <v>60</v>
      </c>
      <c r="O590" s="7">
        <v>225</v>
      </c>
      <c r="P590" s="7">
        <v>250</v>
      </c>
    </row>
    <row r="591" spans="1:16" s="10" customFormat="1">
      <c r="A591" s="7">
        <f>IF(B591="","",SUBTOTAL(103,$B$2:B591))</f>
        <v>590</v>
      </c>
      <c r="B591" s="8" t="s">
        <v>1718</v>
      </c>
      <c r="C591" s="7" t="s">
        <v>1755</v>
      </c>
      <c r="D591" s="9" t="s">
        <v>1756</v>
      </c>
      <c r="E591" s="7" t="s">
        <v>1721</v>
      </c>
      <c r="F591" s="7" t="s">
        <v>1757</v>
      </c>
      <c r="G591" s="7" t="s">
        <v>1758</v>
      </c>
      <c r="H591" s="7">
        <v>0.51</v>
      </c>
      <c r="I591" s="7">
        <v>28</v>
      </c>
      <c r="J591" s="7"/>
      <c r="K591" s="7"/>
      <c r="L591" s="7"/>
      <c r="M591" s="7"/>
      <c r="N591" s="7">
        <v>60</v>
      </c>
      <c r="O591" s="7">
        <v>70</v>
      </c>
      <c r="P591" s="7">
        <v>120</v>
      </c>
    </row>
    <row r="592" spans="1:16" s="10" customFormat="1">
      <c r="A592" s="7">
        <f>IF(B592="","",SUBTOTAL(103,$B$2:B592))</f>
        <v>591</v>
      </c>
      <c r="B592" s="8" t="s">
        <v>1718</v>
      </c>
      <c r="C592" s="7" t="s">
        <v>1755</v>
      </c>
      <c r="D592" s="9" t="s">
        <v>1759</v>
      </c>
      <c r="E592" s="7" t="s">
        <v>1721</v>
      </c>
      <c r="F592" s="7" t="s">
        <v>1052</v>
      </c>
      <c r="G592" s="7" t="s">
        <v>1760</v>
      </c>
      <c r="H592" s="7">
        <v>4.7E-2</v>
      </c>
      <c r="I592" s="7">
        <v>28</v>
      </c>
      <c r="J592" s="7"/>
      <c r="K592" s="7"/>
      <c r="L592" s="7"/>
      <c r="M592" s="7"/>
      <c r="N592" s="7">
        <v>60</v>
      </c>
      <c r="O592" s="7">
        <v>70</v>
      </c>
      <c r="P592" s="7">
        <v>120</v>
      </c>
    </row>
    <row r="593" spans="1:16" s="10" customFormat="1">
      <c r="A593" s="7">
        <f>IF(B593="","",SUBTOTAL(103,$B$2:B593))</f>
        <v>592</v>
      </c>
      <c r="B593" s="8" t="s">
        <v>1718</v>
      </c>
      <c r="C593" s="7" t="s">
        <v>1761</v>
      </c>
      <c r="D593" s="9" t="s">
        <v>1762</v>
      </c>
      <c r="E593" s="7" t="s">
        <v>1721</v>
      </c>
      <c r="F593" s="7" t="s">
        <v>1763</v>
      </c>
      <c r="G593" s="7" t="s">
        <v>1764</v>
      </c>
      <c r="H593" s="7">
        <v>5.7000000000000002E-2</v>
      </c>
      <c r="I593" s="7">
        <v>56</v>
      </c>
      <c r="J593" s="7"/>
      <c r="K593" s="7"/>
      <c r="L593" s="7"/>
      <c r="M593" s="7"/>
      <c r="N593" s="7">
        <v>60</v>
      </c>
      <c r="O593" s="7">
        <v>34</v>
      </c>
      <c r="P593" s="7">
        <v>140</v>
      </c>
    </row>
    <row r="594" spans="1:16" s="10" customFormat="1">
      <c r="A594" s="7">
        <f>IF(B594="","",SUBTOTAL(103,$B$2:B594))</f>
        <v>593</v>
      </c>
      <c r="B594" s="8" t="s">
        <v>1718</v>
      </c>
      <c r="C594" s="7" t="s">
        <v>1761</v>
      </c>
      <c r="D594" s="9" t="s">
        <v>1765</v>
      </c>
      <c r="E594" s="7" t="s">
        <v>1721</v>
      </c>
      <c r="F594" s="7" t="s">
        <v>1056</v>
      </c>
      <c r="G594" s="7" t="s">
        <v>1766</v>
      </c>
      <c r="H594" s="7">
        <v>0.371</v>
      </c>
      <c r="I594" s="7">
        <v>56</v>
      </c>
      <c r="J594" s="7"/>
      <c r="K594" s="7"/>
      <c r="L594" s="7"/>
      <c r="M594" s="7"/>
      <c r="N594" s="7">
        <v>60</v>
      </c>
      <c r="O594" s="7">
        <v>34</v>
      </c>
      <c r="P594" s="7">
        <v>140</v>
      </c>
    </row>
    <row r="595" spans="1:16" s="10" customFormat="1">
      <c r="A595" s="7">
        <f>IF(B595="","",SUBTOTAL(103,$B$2:B595))</f>
        <v>594</v>
      </c>
      <c r="B595" s="8" t="s">
        <v>1767</v>
      </c>
      <c r="C595" s="7" t="s">
        <v>1768</v>
      </c>
      <c r="D595" s="9" t="s">
        <v>1769</v>
      </c>
      <c r="E595" s="7" t="s">
        <v>1770</v>
      </c>
      <c r="F595" s="7" t="s">
        <v>1312</v>
      </c>
      <c r="G595" s="7" t="s">
        <v>1771</v>
      </c>
      <c r="H595" s="7">
        <v>7.9000000000000001E-2</v>
      </c>
      <c r="I595" s="7">
        <v>48</v>
      </c>
      <c r="J595" s="7">
        <v>800</v>
      </c>
      <c r="K595" s="7">
        <v>600</v>
      </c>
      <c r="L595" s="7">
        <v>150</v>
      </c>
      <c r="M595" s="7">
        <v>30</v>
      </c>
      <c r="N595" s="7">
        <v>120</v>
      </c>
      <c r="O595" s="7">
        <v>41</v>
      </c>
      <c r="P595" s="7">
        <v>100</v>
      </c>
    </row>
    <row r="596" spans="1:16" s="10" customFormat="1">
      <c r="A596" s="7">
        <f>IF(B596="","",SUBTOTAL(103,$B$2:B596))</f>
        <v>595</v>
      </c>
      <c r="B596" s="8" t="s">
        <v>1767</v>
      </c>
      <c r="C596" s="7" t="s">
        <v>1772</v>
      </c>
      <c r="D596" s="9" t="s">
        <v>1773</v>
      </c>
      <c r="E596" s="7" t="s">
        <v>1770</v>
      </c>
      <c r="F596" s="7" t="s">
        <v>1300</v>
      </c>
      <c r="G596" s="7" t="s">
        <v>1774</v>
      </c>
      <c r="H596" s="7">
        <v>0.36599999999999999</v>
      </c>
      <c r="I596" s="7">
        <v>18</v>
      </c>
      <c r="J596" s="7">
        <v>800</v>
      </c>
      <c r="K596" s="7">
        <v>600</v>
      </c>
      <c r="L596" s="7">
        <v>150</v>
      </c>
      <c r="M596" s="7">
        <v>30</v>
      </c>
      <c r="N596" s="7">
        <v>120</v>
      </c>
      <c r="O596" s="7">
        <v>100</v>
      </c>
      <c r="P596" s="7">
        <v>250</v>
      </c>
    </row>
    <row r="597" spans="1:16" s="10" customFormat="1">
      <c r="A597" s="7">
        <f>IF(B597="","",SUBTOTAL(103,$B$2:B597))</f>
        <v>596</v>
      </c>
      <c r="B597" s="8" t="s">
        <v>1767</v>
      </c>
      <c r="C597" s="7" t="s">
        <v>1775</v>
      </c>
      <c r="D597" s="9" t="s">
        <v>1776</v>
      </c>
      <c r="E597" s="7" t="s">
        <v>1770</v>
      </c>
      <c r="F597" s="7" t="s">
        <v>1015</v>
      </c>
      <c r="G597" s="7" t="s">
        <v>1777</v>
      </c>
      <c r="H597" s="7">
        <v>0.17499999999999999</v>
      </c>
      <c r="I597" s="7">
        <v>28</v>
      </c>
      <c r="J597" s="7">
        <v>800</v>
      </c>
      <c r="K597" s="7">
        <v>600</v>
      </c>
      <c r="L597" s="7">
        <v>150</v>
      </c>
      <c r="M597" s="7">
        <v>30</v>
      </c>
      <c r="N597" s="7">
        <v>120</v>
      </c>
      <c r="O597" s="7">
        <v>70</v>
      </c>
      <c r="P597" s="7">
        <v>125</v>
      </c>
    </row>
    <row r="598" spans="1:16" s="10" customFormat="1">
      <c r="A598" s="7">
        <f>IF(B598="","",SUBTOTAL(103,$B$2:B598))</f>
        <v>597</v>
      </c>
      <c r="B598" s="8" t="s">
        <v>1767</v>
      </c>
      <c r="C598" s="7" t="s">
        <v>1778</v>
      </c>
      <c r="D598" s="9" t="s">
        <v>1779</v>
      </c>
      <c r="E598" s="7" t="s">
        <v>1770</v>
      </c>
      <c r="F598" s="7" t="s">
        <v>1026</v>
      </c>
      <c r="G598" s="7" t="s">
        <v>1780</v>
      </c>
      <c r="H598" s="7">
        <v>0.71399999999999997</v>
      </c>
      <c r="I598" s="7">
        <v>12</v>
      </c>
      <c r="J598" s="7">
        <v>800</v>
      </c>
      <c r="K598" s="7">
        <v>600</v>
      </c>
      <c r="L598" s="7">
        <v>150</v>
      </c>
      <c r="M598" s="7">
        <v>30</v>
      </c>
      <c r="N598" s="7">
        <v>120</v>
      </c>
      <c r="O598" s="7">
        <v>150</v>
      </c>
      <c r="P598" s="7">
        <v>325</v>
      </c>
    </row>
    <row r="599" spans="1:16" s="10" customFormat="1">
      <c r="A599" s="7">
        <f>IF(B599="","",SUBTOTAL(103,$B$2:B599))</f>
        <v>598</v>
      </c>
      <c r="B599" s="8" t="s">
        <v>1767</v>
      </c>
      <c r="C599" s="7" t="s">
        <v>1781</v>
      </c>
      <c r="D599" s="9" t="s">
        <v>1782</v>
      </c>
      <c r="E599" s="7" t="s">
        <v>1770</v>
      </c>
      <c r="F599" s="7" t="s">
        <v>1033</v>
      </c>
      <c r="G599" s="7" t="s">
        <v>1783</v>
      </c>
      <c r="H599" s="7">
        <v>0.59</v>
      </c>
      <c r="I599" s="7">
        <v>10</v>
      </c>
      <c r="J599" s="7">
        <v>800</v>
      </c>
      <c r="K599" s="7">
        <v>600</v>
      </c>
      <c r="L599" s="7">
        <v>150</v>
      </c>
      <c r="M599" s="7">
        <v>30</v>
      </c>
      <c r="N599" s="7">
        <v>120</v>
      </c>
      <c r="O599" s="7">
        <v>195</v>
      </c>
      <c r="P599" s="7">
        <v>300</v>
      </c>
    </row>
    <row r="600" spans="1:16" s="10" customFormat="1">
      <c r="A600" s="7">
        <f>IF(B600="","",SUBTOTAL(103,$B$2:B600))</f>
        <v>599</v>
      </c>
      <c r="B600" s="8" t="s">
        <v>1767</v>
      </c>
      <c r="C600" s="7" t="s">
        <v>1781</v>
      </c>
      <c r="D600" s="9" t="s">
        <v>1784</v>
      </c>
      <c r="E600" s="7" t="s">
        <v>1785</v>
      </c>
      <c r="F600" s="7" t="s">
        <v>1334</v>
      </c>
      <c r="G600" s="7" t="str">
        <f>E600&amp;F600</f>
        <v>KI  K-14 LBCU 1#(热处理)11/4 CF8M NPT</v>
      </c>
      <c r="H600" s="7">
        <v>0.36599999999999999</v>
      </c>
      <c r="I600" s="7">
        <v>10</v>
      </c>
      <c r="J600" s="7">
        <v>800</v>
      </c>
      <c r="K600" s="7">
        <v>600</v>
      </c>
      <c r="L600" s="7">
        <v>150</v>
      </c>
      <c r="M600" s="7">
        <v>30</v>
      </c>
      <c r="N600" s="7">
        <v>120</v>
      </c>
      <c r="O600" s="7">
        <v>195</v>
      </c>
      <c r="P600" s="7">
        <v>300</v>
      </c>
    </row>
    <row r="601" spans="1:16" s="10" customFormat="1">
      <c r="A601" s="7">
        <f>IF(B601="","",SUBTOTAL(103,$B$2:B601))</f>
        <v>600</v>
      </c>
      <c r="B601" s="8" t="s">
        <v>1767</v>
      </c>
      <c r="C601" s="7" t="s">
        <v>1786</v>
      </c>
      <c r="D601" s="9" t="s">
        <v>1787</v>
      </c>
      <c r="E601" s="7" t="s">
        <v>1770</v>
      </c>
      <c r="F601" s="7" t="s">
        <v>1339</v>
      </c>
      <c r="G601" s="7" t="s">
        <v>1788</v>
      </c>
      <c r="H601" s="7">
        <v>1.159</v>
      </c>
      <c r="I601" s="7">
        <v>3</v>
      </c>
      <c r="J601" s="7">
        <v>800</v>
      </c>
      <c r="K601" s="7">
        <v>600</v>
      </c>
      <c r="L601" s="7">
        <v>150</v>
      </c>
      <c r="M601" s="7">
        <v>30</v>
      </c>
      <c r="N601" s="7">
        <v>120</v>
      </c>
      <c r="O601" s="7">
        <v>650</v>
      </c>
      <c r="P601" s="7">
        <v>675</v>
      </c>
    </row>
    <row r="602" spans="1:16" s="10" customFormat="1">
      <c r="A602" s="7">
        <f>IF(B602="","",SUBTOTAL(103,$B$2:B602))</f>
        <v>601</v>
      </c>
      <c r="B602" s="8" t="s">
        <v>1767</v>
      </c>
      <c r="C602" s="7" t="s">
        <v>1789</v>
      </c>
      <c r="D602" s="9" t="s">
        <v>1790</v>
      </c>
      <c r="E602" s="7" t="s">
        <v>1770</v>
      </c>
      <c r="F602" s="7" t="s">
        <v>1757</v>
      </c>
      <c r="G602" s="7" t="s">
        <v>1791</v>
      </c>
      <c r="H602" s="7">
        <v>0.253</v>
      </c>
      <c r="I602" s="7">
        <v>28</v>
      </c>
      <c r="J602" s="7">
        <v>800</v>
      </c>
      <c r="K602" s="7">
        <v>600</v>
      </c>
      <c r="L602" s="7">
        <v>150</v>
      </c>
      <c r="M602" s="7">
        <v>30</v>
      </c>
      <c r="N602" s="7">
        <v>120</v>
      </c>
      <c r="O602" s="7">
        <v>70</v>
      </c>
      <c r="P602" s="7">
        <v>200</v>
      </c>
    </row>
    <row r="603" spans="1:16" s="10" customFormat="1">
      <c r="A603" s="7">
        <f>IF(B603="","",SUBTOTAL(103,$B$2:B603))</f>
        <v>602</v>
      </c>
      <c r="B603" s="8" t="s">
        <v>1767</v>
      </c>
      <c r="C603" s="7" t="s">
        <v>1792</v>
      </c>
      <c r="D603" s="9" t="s">
        <v>1793</v>
      </c>
      <c r="E603" s="7" t="s">
        <v>1770</v>
      </c>
      <c r="F603" s="7" t="s">
        <v>1363</v>
      </c>
      <c r="G603" s="7" t="s">
        <v>1794</v>
      </c>
      <c r="H603" s="7">
        <v>0.114</v>
      </c>
      <c r="I603" s="7">
        <v>36</v>
      </c>
      <c r="J603" s="7">
        <v>800</v>
      </c>
      <c r="K603" s="7">
        <v>600</v>
      </c>
      <c r="L603" s="7">
        <v>150</v>
      </c>
      <c r="M603" s="7">
        <v>30</v>
      </c>
      <c r="N603" s="7">
        <v>120</v>
      </c>
      <c r="O603" s="7">
        <v>55</v>
      </c>
      <c r="P603" s="7">
        <v>125</v>
      </c>
    </row>
    <row r="604" spans="1:16" s="10" customFormat="1">
      <c r="A604" s="7">
        <f>IF(B604="","",SUBTOTAL(103,$B$2:B604))</f>
        <v>603</v>
      </c>
      <c r="B604" s="8" t="s">
        <v>1767</v>
      </c>
      <c r="C604" s="7" t="s">
        <v>1772</v>
      </c>
      <c r="D604" s="9" t="s">
        <v>1795</v>
      </c>
      <c r="E604" s="7" t="s">
        <v>1770</v>
      </c>
      <c r="F604" s="7" t="s">
        <v>1303</v>
      </c>
      <c r="G604" s="7" t="s">
        <v>1796</v>
      </c>
      <c r="H604" s="7">
        <v>0.36599999999999999</v>
      </c>
      <c r="I604" s="7">
        <v>4</v>
      </c>
      <c r="J604" s="7">
        <v>800</v>
      </c>
      <c r="K604" s="7">
        <v>600</v>
      </c>
      <c r="L604" s="7">
        <v>150</v>
      </c>
      <c r="M604" s="7">
        <v>30</v>
      </c>
      <c r="N604" s="7">
        <v>120</v>
      </c>
      <c r="O604" s="7">
        <v>500</v>
      </c>
      <c r="P604" s="7">
        <v>600</v>
      </c>
    </row>
    <row r="605" spans="1:16" s="10" customFormat="1">
      <c r="A605" s="7">
        <f>IF(B605="","",SUBTOTAL(103,$B$2:B605))</f>
        <v>604</v>
      </c>
      <c r="B605" s="8" t="s">
        <v>1767</v>
      </c>
      <c r="C605" s="7" t="s">
        <v>1775</v>
      </c>
      <c r="D605" s="9" t="s">
        <v>1797</v>
      </c>
      <c r="E605" s="7" t="s">
        <v>1770</v>
      </c>
      <c r="F605" s="7" t="s">
        <v>1309</v>
      </c>
      <c r="G605" s="7" t="s">
        <v>1798</v>
      </c>
      <c r="H605" s="7">
        <v>0.17499999999999999</v>
      </c>
      <c r="I605" s="7">
        <v>28</v>
      </c>
      <c r="J605" s="7">
        <v>800</v>
      </c>
      <c r="K605" s="7">
        <v>600</v>
      </c>
      <c r="L605" s="7">
        <v>150</v>
      </c>
      <c r="M605" s="7">
        <v>30</v>
      </c>
      <c r="N605" s="7">
        <v>120</v>
      </c>
      <c r="O605" s="7">
        <v>70</v>
      </c>
      <c r="P605" s="7">
        <v>125</v>
      </c>
    </row>
    <row r="606" spans="1:16" s="10" customFormat="1">
      <c r="A606" s="7">
        <f>IF(B606="","",SUBTOTAL(103,$B$2:B606))</f>
        <v>605</v>
      </c>
      <c r="B606" s="8" t="s">
        <v>1767</v>
      </c>
      <c r="C606" s="7" t="s">
        <v>1768</v>
      </c>
      <c r="D606" s="9" t="s">
        <v>1799</v>
      </c>
      <c r="E606" s="7" t="s">
        <v>1770</v>
      </c>
      <c r="F606" s="7" t="s">
        <v>1315</v>
      </c>
      <c r="G606" s="7" t="s">
        <v>1800</v>
      </c>
      <c r="H606" s="7">
        <v>7.9000000000000001E-2</v>
      </c>
      <c r="I606" s="7">
        <v>48</v>
      </c>
      <c r="J606" s="7">
        <v>800</v>
      </c>
      <c r="K606" s="7">
        <v>600</v>
      </c>
      <c r="L606" s="7">
        <v>150</v>
      </c>
      <c r="M606" s="7">
        <v>30</v>
      </c>
      <c r="N606" s="7">
        <v>120</v>
      </c>
      <c r="O606" s="7">
        <v>41</v>
      </c>
      <c r="P606" s="7">
        <v>100</v>
      </c>
    </row>
    <row r="607" spans="1:16" s="10" customFormat="1">
      <c r="A607" s="7">
        <f>IF(B607="","",SUBTOTAL(103,$B$2:B607))</f>
        <v>606</v>
      </c>
      <c r="B607" s="8" t="s">
        <v>1767</v>
      </c>
      <c r="C607" s="7" t="s">
        <v>1801</v>
      </c>
      <c r="D607" s="9" t="s">
        <v>1802</v>
      </c>
      <c r="E607" s="7" t="s">
        <v>1770</v>
      </c>
      <c r="F607" s="7" t="s">
        <v>1322</v>
      </c>
      <c r="G607" s="7" t="s">
        <v>1803</v>
      </c>
      <c r="H607" s="7">
        <v>4.2999999999999997E-2</v>
      </c>
      <c r="I607" s="7">
        <v>58</v>
      </c>
      <c r="J607" s="7">
        <v>800</v>
      </c>
      <c r="K607" s="7">
        <v>600</v>
      </c>
      <c r="L607" s="7">
        <v>150</v>
      </c>
      <c r="M607" s="7">
        <v>30</v>
      </c>
      <c r="N607" s="7">
        <v>120</v>
      </c>
      <c r="O607" s="7">
        <v>34</v>
      </c>
      <c r="P607" s="7">
        <v>100</v>
      </c>
    </row>
    <row r="608" spans="1:16" s="10" customFormat="1">
      <c r="A608" s="7">
        <f>IF(B608="","",SUBTOTAL(103,$B$2:B608))</f>
        <v>607</v>
      </c>
      <c r="B608" s="8" t="s">
        <v>1767</v>
      </c>
      <c r="C608" s="7" t="s">
        <v>1778</v>
      </c>
      <c r="D608" s="9" t="s">
        <v>1804</v>
      </c>
      <c r="E608" s="7" t="s">
        <v>1770</v>
      </c>
      <c r="F608" s="7" t="s">
        <v>1328</v>
      </c>
      <c r="G608" s="7" t="s">
        <v>1805</v>
      </c>
      <c r="H608" s="7">
        <v>0.71399999999999997</v>
      </c>
      <c r="I608" s="7">
        <v>12</v>
      </c>
      <c r="J608" s="7">
        <v>800</v>
      </c>
      <c r="K608" s="7">
        <v>600</v>
      </c>
      <c r="L608" s="7">
        <v>150</v>
      </c>
      <c r="M608" s="7">
        <v>30</v>
      </c>
      <c r="N608" s="7">
        <v>120</v>
      </c>
      <c r="O608" s="7">
        <v>150</v>
      </c>
      <c r="P608" s="7">
        <v>325</v>
      </c>
    </row>
    <row r="609" spans="1:16" s="10" customFormat="1">
      <c r="A609" s="7">
        <f>IF(B609="","",SUBTOTAL(103,$B$2:B609))</f>
        <v>608</v>
      </c>
      <c r="B609" s="8" t="s">
        <v>1767</v>
      </c>
      <c r="C609" s="7" t="s">
        <v>1786</v>
      </c>
      <c r="D609" s="9" t="s">
        <v>1806</v>
      </c>
      <c r="E609" s="7" t="s">
        <v>1770</v>
      </c>
      <c r="F609" s="7" t="s">
        <v>1342</v>
      </c>
      <c r="G609" s="7" t="s">
        <v>1807</v>
      </c>
      <c r="H609" s="7">
        <v>1.159</v>
      </c>
      <c r="I609" s="7">
        <v>3</v>
      </c>
      <c r="J609" s="7">
        <v>800</v>
      </c>
      <c r="K609" s="7">
        <v>600</v>
      </c>
      <c r="L609" s="7">
        <v>150</v>
      </c>
      <c r="M609" s="7">
        <v>30</v>
      </c>
      <c r="N609" s="7">
        <v>120</v>
      </c>
      <c r="O609" s="7">
        <v>650</v>
      </c>
      <c r="P609" s="7">
        <v>675</v>
      </c>
    </row>
    <row r="610" spans="1:16" s="10" customFormat="1">
      <c r="A610" s="7">
        <f>IF(B610="","",SUBTOTAL(103,$B$2:B610))</f>
        <v>609</v>
      </c>
      <c r="B610" s="8" t="s">
        <v>1767</v>
      </c>
      <c r="C610" s="7" t="s">
        <v>1789</v>
      </c>
      <c r="D610" s="9" t="s">
        <v>1808</v>
      </c>
      <c r="E610" s="7" t="s">
        <v>1770</v>
      </c>
      <c r="F610" s="7" t="s">
        <v>1360</v>
      </c>
      <c r="G610" s="7" t="s">
        <v>1809</v>
      </c>
      <c r="H610" s="7">
        <v>0.253</v>
      </c>
      <c r="I610" s="7">
        <v>28</v>
      </c>
      <c r="J610" s="7">
        <v>800</v>
      </c>
      <c r="K610" s="7">
        <v>600</v>
      </c>
      <c r="L610" s="7">
        <v>150</v>
      </c>
      <c r="M610" s="7">
        <v>30</v>
      </c>
      <c r="N610" s="7">
        <v>120</v>
      </c>
      <c r="O610" s="7">
        <v>70</v>
      </c>
      <c r="P610" s="7">
        <v>200</v>
      </c>
    </row>
    <row r="611" spans="1:16" s="10" customFormat="1">
      <c r="A611" s="7">
        <f>IF(B611="","",SUBTOTAL(103,$B$2:B611))</f>
        <v>610</v>
      </c>
      <c r="B611" s="8" t="s">
        <v>1767</v>
      </c>
      <c r="C611" s="7" t="s">
        <v>1792</v>
      </c>
      <c r="D611" s="9" t="s">
        <v>1810</v>
      </c>
      <c r="E611" s="7" t="s">
        <v>1770</v>
      </c>
      <c r="F611" s="7" t="s">
        <v>1366</v>
      </c>
      <c r="G611" s="7" t="s">
        <v>1811</v>
      </c>
      <c r="H611" s="7">
        <v>0.496</v>
      </c>
      <c r="I611" s="7">
        <v>36</v>
      </c>
      <c r="J611" s="7">
        <v>800</v>
      </c>
      <c r="K611" s="7">
        <v>600</v>
      </c>
      <c r="L611" s="7">
        <v>150</v>
      </c>
      <c r="M611" s="7">
        <v>30</v>
      </c>
      <c r="N611" s="7">
        <v>120</v>
      </c>
      <c r="O611" s="7">
        <v>55</v>
      </c>
      <c r="P611" s="7">
        <v>125</v>
      </c>
    </row>
    <row r="612" spans="1:16" s="10" customFormat="1">
      <c r="A612" s="7">
        <f>IF(B612="","",SUBTOTAL(103,$B$2:B612))</f>
        <v>611</v>
      </c>
      <c r="B612" s="8" t="s">
        <v>1812</v>
      </c>
      <c r="C612" s="7" t="s">
        <v>1813</v>
      </c>
      <c r="D612" s="9" t="s">
        <v>1814</v>
      </c>
      <c r="E612" s="7" t="s">
        <v>1815</v>
      </c>
      <c r="F612" s="7" t="s">
        <v>1008</v>
      </c>
      <c r="G612" s="7" t="s">
        <v>1816</v>
      </c>
      <c r="H612" s="7">
        <v>0.317</v>
      </c>
      <c r="I612" s="7">
        <v>12</v>
      </c>
      <c r="J612" s="7">
        <v>800</v>
      </c>
      <c r="K612" s="7">
        <v>600</v>
      </c>
      <c r="L612" s="7">
        <v>150</v>
      </c>
      <c r="M612" s="7">
        <v>30</v>
      </c>
      <c r="N612" s="7">
        <v>120</v>
      </c>
      <c r="O612" s="7">
        <v>150</v>
      </c>
      <c r="P612" s="7">
        <v>215</v>
      </c>
    </row>
    <row r="613" spans="1:16" s="10" customFormat="1">
      <c r="A613" s="7">
        <f>IF(B613="","",SUBTOTAL(103,$B$2:B613))</f>
        <v>612</v>
      </c>
      <c r="B613" s="8" t="s">
        <v>1812</v>
      </c>
      <c r="C613" s="7" t="s">
        <v>1813</v>
      </c>
      <c r="D613" s="9" t="s">
        <v>1817</v>
      </c>
      <c r="E613" s="7" t="s">
        <v>1815</v>
      </c>
      <c r="F613" s="7" t="s">
        <v>1011</v>
      </c>
      <c r="G613" s="7" t="s">
        <v>1818</v>
      </c>
      <c r="H613" s="7">
        <v>0.317</v>
      </c>
      <c r="I613" s="7">
        <v>12</v>
      </c>
      <c r="J613" s="7">
        <v>800</v>
      </c>
      <c r="K613" s="7">
        <v>600</v>
      </c>
      <c r="L613" s="7">
        <v>150</v>
      </c>
      <c r="M613" s="7">
        <v>30</v>
      </c>
      <c r="N613" s="7">
        <v>120</v>
      </c>
      <c r="O613" s="7">
        <v>150</v>
      </c>
      <c r="P613" s="7">
        <v>215</v>
      </c>
    </row>
    <row r="614" spans="1:16" s="10" customFormat="1">
      <c r="A614" s="7">
        <f>IF(B614="","",SUBTOTAL(103,$B$2:B614))</f>
        <v>613</v>
      </c>
      <c r="B614" s="8" t="s">
        <v>1812</v>
      </c>
      <c r="C614" s="7" t="s">
        <v>1819</v>
      </c>
      <c r="D614" s="9" t="s">
        <v>1820</v>
      </c>
      <c r="E614" s="7" t="s">
        <v>1815</v>
      </c>
      <c r="F614" s="7" t="s">
        <v>1015</v>
      </c>
      <c r="G614" s="7" t="s">
        <v>1821</v>
      </c>
      <c r="H614" s="7">
        <v>0.11600000000000001</v>
      </c>
      <c r="I614" s="7">
        <v>36</v>
      </c>
      <c r="J614" s="7">
        <v>800</v>
      </c>
      <c r="K614" s="7">
        <v>600</v>
      </c>
      <c r="L614" s="7">
        <v>150</v>
      </c>
      <c r="M614" s="7">
        <v>30</v>
      </c>
      <c r="N614" s="7">
        <v>120</v>
      </c>
      <c r="O614" s="7">
        <v>55</v>
      </c>
      <c r="P614" s="7">
        <v>140</v>
      </c>
    </row>
    <row r="615" spans="1:16" s="10" customFormat="1">
      <c r="A615" s="7">
        <f>IF(B615="","",SUBTOTAL(103,$B$2:B615))</f>
        <v>614</v>
      </c>
      <c r="B615" s="8" t="s">
        <v>1812</v>
      </c>
      <c r="C615" s="7" t="s">
        <v>1819</v>
      </c>
      <c r="D615" s="9" t="s">
        <v>1822</v>
      </c>
      <c r="E615" s="7" t="s">
        <v>1815</v>
      </c>
      <c r="F615" s="7" t="s">
        <v>1018</v>
      </c>
      <c r="G615" s="7" t="s">
        <v>1823</v>
      </c>
      <c r="H615" s="7">
        <v>0.11600000000000001</v>
      </c>
      <c r="I615" s="7">
        <v>36</v>
      </c>
      <c r="J615" s="7">
        <v>800</v>
      </c>
      <c r="K615" s="7">
        <v>600</v>
      </c>
      <c r="L615" s="7">
        <v>150</v>
      </c>
      <c r="M615" s="7">
        <v>30</v>
      </c>
      <c r="N615" s="7">
        <v>120</v>
      </c>
      <c r="O615" s="7">
        <v>55</v>
      </c>
      <c r="P615" s="7">
        <v>140</v>
      </c>
    </row>
    <row r="616" spans="1:16" s="10" customFormat="1">
      <c r="A616" s="7">
        <f>IF(B616="","",SUBTOTAL(103,$B$2:B616))</f>
        <v>615</v>
      </c>
      <c r="B616" s="8" t="s">
        <v>1812</v>
      </c>
      <c r="C616" s="7" t="s">
        <v>1824</v>
      </c>
      <c r="D616" s="9" t="s">
        <v>1825</v>
      </c>
      <c r="E616" s="7" t="s">
        <v>1815</v>
      </c>
      <c r="F616" s="7" t="s">
        <v>1022</v>
      </c>
      <c r="G616" s="7" t="s">
        <v>1826</v>
      </c>
      <c r="H616" s="7">
        <v>5.8000000000000003E-2</v>
      </c>
      <c r="I616" s="7">
        <v>58</v>
      </c>
      <c r="J616" s="7">
        <v>800</v>
      </c>
      <c r="K616" s="7">
        <v>600</v>
      </c>
      <c r="L616" s="7">
        <v>150</v>
      </c>
      <c r="M616" s="7">
        <v>30</v>
      </c>
      <c r="N616" s="7">
        <v>120</v>
      </c>
      <c r="O616" s="7">
        <v>34</v>
      </c>
      <c r="P616" s="7">
        <v>105</v>
      </c>
    </row>
    <row r="617" spans="1:16" s="10" customFormat="1">
      <c r="A617" s="7">
        <f>IF(B617="","",SUBTOTAL(103,$B$2:B617))</f>
        <v>616</v>
      </c>
      <c r="B617" s="8" t="s">
        <v>1812</v>
      </c>
      <c r="C617" s="7" t="s">
        <v>1827</v>
      </c>
      <c r="D617" s="9" t="s">
        <v>1828</v>
      </c>
      <c r="E617" s="7" t="s">
        <v>1815</v>
      </c>
      <c r="F617" s="7" t="s">
        <v>1026</v>
      </c>
      <c r="G617" s="7" t="s">
        <v>1829</v>
      </c>
      <c r="H617" s="7">
        <v>0.65200000000000002</v>
      </c>
      <c r="I617" s="7">
        <v>8</v>
      </c>
      <c r="J617" s="7">
        <v>800</v>
      </c>
      <c r="K617" s="7">
        <v>600</v>
      </c>
      <c r="L617" s="7">
        <v>150</v>
      </c>
      <c r="M617" s="7">
        <v>30</v>
      </c>
      <c r="N617" s="7">
        <v>120</v>
      </c>
      <c r="O617" s="7">
        <v>225</v>
      </c>
      <c r="P617" s="7">
        <v>250</v>
      </c>
    </row>
    <row r="618" spans="1:16" s="10" customFormat="1">
      <c r="A618" s="7">
        <f>IF(B618="","",SUBTOTAL(103,$B$2:B618))</f>
        <v>617</v>
      </c>
      <c r="B618" s="8" t="s">
        <v>1812</v>
      </c>
      <c r="C618" s="7" t="s">
        <v>1830</v>
      </c>
      <c r="D618" s="9" t="s">
        <v>1831</v>
      </c>
      <c r="E618" s="7" t="s">
        <v>1815</v>
      </c>
      <c r="F618" s="7" t="s">
        <v>1033</v>
      </c>
      <c r="G618" s="7" t="s">
        <v>1832</v>
      </c>
      <c r="H618" s="7">
        <v>0.49</v>
      </c>
      <c r="I618" s="7">
        <v>10</v>
      </c>
      <c r="J618" s="7">
        <v>800</v>
      </c>
      <c r="K618" s="7">
        <v>600</v>
      </c>
      <c r="L618" s="7">
        <v>150</v>
      </c>
      <c r="M618" s="7">
        <v>30</v>
      </c>
      <c r="N618" s="7">
        <v>120</v>
      </c>
      <c r="O618" s="7">
        <v>195</v>
      </c>
      <c r="P618" s="7">
        <v>300</v>
      </c>
    </row>
    <row r="619" spans="1:16" s="10" customFormat="1">
      <c r="A619" s="7">
        <f>IF(B619="","",SUBTOTAL(103,$B$2:B619))</f>
        <v>618</v>
      </c>
      <c r="B619" s="8" t="s">
        <v>1812</v>
      </c>
      <c r="C619" s="7" t="s">
        <v>1833</v>
      </c>
      <c r="D619" s="9" t="s">
        <v>1834</v>
      </c>
      <c r="E619" s="7" t="s">
        <v>1815</v>
      </c>
      <c r="F619" s="7" t="s">
        <v>1040</v>
      </c>
      <c r="G619" s="7" t="s">
        <v>1835</v>
      </c>
      <c r="H619" s="7">
        <v>1.0269999999999999</v>
      </c>
      <c r="I619" s="7">
        <v>4</v>
      </c>
      <c r="J619" s="7">
        <v>800</v>
      </c>
      <c r="K619" s="7">
        <v>600</v>
      </c>
      <c r="L619" s="7">
        <v>150</v>
      </c>
      <c r="M619" s="7">
        <v>30</v>
      </c>
      <c r="N619" s="7">
        <v>120</v>
      </c>
      <c r="O619" s="7">
        <v>500</v>
      </c>
      <c r="P619" s="7">
        <v>600</v>
      </c>
    </row>
    <row r="620" spans="1:16" s="10" customFormat="1">
      <c r="A620" s="7">
        <f>IF(B620="","",SUBTOTAL(103,$B$2:B620))</f>
        <v>619</v>
      </c>
      <c r="B620" s="8" t="s">
        <v>1812</v>
      </c>
      <c r="C620" s="7" t="s">
        <v>1836</v>
      </c>
      <c r="D620" s="9" t="s">
        <v>1837</v>
      </c>
      <c r="E620" s="7" t="s">
        <v>1815</v>
      </c>
      <c r="F620" s="7" t="s">
        <v>1044</v>
      </c>
      <c r="G620" s="7" t="s">
        <v>1838</v>
      </c>
      <c r="H620" s="7">
        <v>1.589</v>
      </c>
      <c r="I620" s="7">
        <v>3</v>
      </c>
      <c r="J620" s="7">
        <v>800</v>
      </c>
      <c r="K620" s="7">
        <v>600</v>
      </c>
      <c r="L620" s="7">
        <v>150</v>
      </c>
      <c r="M620" s="7">
        <v>30</v>
      </c>
      <c r="N620" s="7">
        <v>120</v>
      </c>
      <c r="O620" s="7">
        <v>650</v>
      </c>
      <c r="P620" s="7">
        <v>675</v>
      </c>
    </row>
    <row r="621" spans="1:16" s="10" customFormat="1">
      <c r="A621" s="7">
        <f>IF(B621="","",SUBTOTAL(103,$B$2:B621))</f>
        <v>620</v>
      </c>
      <c r="B621" s="8" t="s">
        <v>1812</v>
      </c>
      <c r="C621" s="7" t="s">
        <v>1839</v>
      </c>
      <c r="D621" s="9" t="s">
        <v>1840</v>
      </c>
      <c r="E621" s="7" t="s">
        <v>1815</v>
      </c>
      <c r="F621" s="7" t="s">
        <v>1052</v>
      </c>
      <c r="G621" s="7" t="s">
        <v>1841</v>
      </c>
      <c r="H621" s="7">
        <v>0.20799999999999999</v>
      </c>
      <c r="I621" s="7">
        <v>18</v>
      </c>
      <c r="J621" s="7">
        <v>800</v>
      </c>
      <c r="K621" s="7">
        <v>600</v>
      </c>
      <c r="L621" s="7">
        <v>150</v>
      </c>
      <c r="M621" s="7">
        <v>30</v>
      </c>
      <c r="N621" s="7">
        <v>120</v>
      </c>
      <c r="O621" s="7">
        <v>100</v>
      </c>
      <c r="P621" s="7">
        <v>165</v>
      </c>
    </row>
    <row r="622" spans="1:16" s="10" customFormat="1">
      <c r="A622" s="7">
        <f>IF(B622="","",SUBTOTAL(103,$B$2:B622))</f>
        <v>621</v>
      </c>
      <c r="B622" s="8" t="s">
        <v>1812</v>
      </c>
      <c r="C622" s="7" t="s">
        <v>1842</v>
      </c>
      <c r="D622" s="9" t="s">
        <v>1843</v>
      </c>
      <c r="E622" s="7" t="s">
        <v>1815</v>
      </c>
      <c r="F622" s="7" t="s">
        <v>1056</v>
      </c>
      <c r="G622" s="7" t="s">
        <v>1844</v>
      </c>
      <c r="H622" s="7">
        <v>0.08</v>
      </c>
      <c r="I622" s="7">
        <v>48</v>
      </c>
      <c r="J622" s="7">
        <v>800</v>
      </c>
      <c r="K622" s="7">
        <v>600</v>
      </c>
      <c r="L622" s="7">
        <v>150</v>
      </c>
      <c r="M622" s="7">
        <v>30</v>
      </c>
      <c r="N622" s="7">
        <v>120</v>
      </c>
      <c r="O622" s="7">
        <v>41</v>
      </c>
      <c r="P622" s="7">
        <v>125</v>
      </c>
    </row>
    <row r="623" spans="1:16" s="10" customFormat="1">
      <c r="A623" s="7">
        <f>IF(B623="","",SUBTOTAL(103,$B$2:B623))</f>
        <v>622</v>
      </c>
      <c r="B623" s="8" t="s">
        <v>1845</v>
      </c>
      <c r="C623" s="7" t="s">
        <v>1846</v>
      </c>
      <c r="D623" s="9" t="s">
        <v>1847</v>
      </c>
      <c r="E623" s="7" t="s">
        <v>1848</v>
      </c>
      <c r="F623" s="7" t="s">
        <v>1066</v>
      </c>
      <c r="G623" s="7" t="s">
        <v>1849</v>
      </c>
      <c r="H623" s="7">
        <v>0.312</v>
      </c>
      <c r="I623" s="7">
        <v>12</v>
      </c>
      <c r="J623" s="7">
        <v>800</v>
      </c>
      <c r="K623" s="7">
        <v>600</v>
      </c>
      <c r="L623" s="7">
        <v>150</v>
      </c>
      <c r="M623" s="7">
        <v>30</v>
      </c>
      <c r="N623" s="7">
        <v>120</v>
      </c>
      <c r="O623" s="7">
        <v>150</v>
      </c>
      <c r="P623" s="7">
        <v>215</v>
      </c>
    </row>
    <row r="624" spans="1:16" s="10" customFormat="1">
      <c r="A624" s="7">
        <f>IF(B624="","",SUBTOTAL(103,$B$2:B624))</f>
        <v>623</v>
      </c>
      <c r="B624" s="8" t="s">
        <v>1845</v>
      </c>
      <c r="C624" s="7" t="s">
        <v>1846</v>
      </c>
      <c r="D624" s="9" t="s">
        <v>1850</v>
      </c>
      <c r="E624" s="7" t="s">
        <v>1848</v>
      </c>
      <c r="F624" s="7" t="s">
        <v>1069</v>
      </c>
      <c r="G624" s="7" t="s">
        <v>1851</v>
      </c>
      <c r="H624" s="7">
        <v>0.312</v>
      </c>
      <c r="I624" s="7">
        <v>12</v>
      </c>
      <c r="J624" s="7">
        <v>800</v>
      </c>
      <c r="K624" s="7">
        <v>600</v>
      </c>
      <c r="L624" s="7">
        <v>150</v>
      </c>
      <c r="M624" s="7">
        <v>30</v>
      </c>
      <c r="N624" s="7">
        <v>120</v>
      </c>
      <c r="O624" s="7">
        <v>150</v>
      </c>
      <c r="P624" s="7">
        <v>215</v>
      </c>
    </row>
    <row r="625" spans="1:16" s="10" customFormat="1">
      <c r="A625" s="7">
        <f>IF(B625="","",SUBTOTAL(103,$B$2:B625))</f>
        <v>624</v>
      </c>
      <c r="B625" s="8" t="s">
        <v>1845</v>
      </c>
      <c r="C625" s="7" t="s">
        <v>1852</v>
      </c>
      <c r="D625" s="9" t="s">
        <v>1853</v>
      </c>
      <c r="E625" s="7" t="s">
        <v>1848</v>
      </c>
      <c r="F625" s="7" t="s">
        <v>1073</v>
      </c>
      <c r="G625" s="7" t="s">
        <v>1854</v>
      </c>
      <c r="H625" s="7">
        <v>0.113</v>
      </c>
      <c r="I625" s="7">
        <v>36</v>
      </c>
      <c r="J625" s="7">
        <v>800</v>
      </c>
      <c r="K625" s="7">
        <v>600</v>
      </c>
      <c r="L625" s="7">
        <v>150</v>
      </c>
      <c r="M625" s="7">
        <v>30</v>
      </c>
      <c r="N625" s="7">
        <v>120</v>
      </c>
      <c r="O625" s="7">
        <v>55</v>
      </c>
      <c r="P625" s="7">
        <v>140</v>
      </c>
    </row>
    <row r="626" spans="1:16" s="10" customFormat="1">
      <c r="A626" s="7">
        <f>IF(B626="","",SUBTOTAL(103,$B$2:B626))</f>
        <v>625</v>
      </c>
      <c r="B626" s="8" t="s">
        <v>1845</v>
      </c>
      <c r="C626" s="7" t="s">
        <v>1852</v>
      </c>
      <c r="D626" s="9" t="s">
        <v>1855</v>
      </c>
      <c r="E626" s="7" t="s">
        <v>1848</v>
      </c>
      <c r="F626" s="7" t="s">
        <v>1076</v>
      </c>
      <c r="G626" s="7" t="s">
        <v>1856</v>
      </c>
      <c r="H626" s="7">
        <v>0.113</v>
      </c>
      <c r="I626" s="7">
        <v>36</v>
      </c>
      <c r="J626" s="7">
        <v>800</v>
      </c>
      <c r="K626" s="7">
        <v>600</v>
      </c>
      <c r="L626" s="7">
        <v>150</v>
      </c>
      <c r="M626" s="7">
        <v>30</v>
      </c>
      <c r="N626" s="7">
        <v>120</v>
      </c>
      <c r="O626" s="7">
        <v>55</v>
      </c>
      <c r="P626" s="7">
        <v>140</v>
      </c>
    </row>
    <row r="627" spans="1:16" s="10" customFormat="1">
      <c r="A627" s="7">
        <f>IF(B627="","",SUBTOTAL(103,$B$2:B627))</f>
        <v>626</v>
      </c>
      <c r="B627" s="8" t="s">
        <v>1845</v>
      </c>
      <c r="C627" s="7" t="s">
        <v>1857</v>
      </c>
      <c r="D627" s="9" t="s">
        <v>1858</v>
      </c>
      <c r="E627" s="7" t="s">
        <v>1848</v>
      </c>
      <c r="F627" s="7" t="s">
        <v>998</v>
      </c>
      <c r="G627" s="7" t="s">
        <v>1859</v>
      </c>
      <c r="H627" s="7">
        <v>6.2E-2</v>
      </c>
      <c r="I627" s="7">
        <v>58</v>
      </c>
      <c r="J627" s="7">
        <v>800</v>
      </c>
      <c r="K627" s="7">
        <v>600</v>
      </c>
      <c r="L627" s="7">
        <v>150</v>
      </c>
      <c r="M627" s="7">
        <v>30</v>
      </c>
      <c r="N627" s="7">
        <v>120</v>
      </c>
      <c r="O627" s="7">
        <v>34</v>
      </c>
      <c r="P627" s="7">
        <v>105</v>
      </c>
    </row>
    <row r="628" spans="1:16" s="10" customFormat="1">
      <c r="A628" s="7">
        <f>IF(B628="","",SUBTOTAL(103,$B$2:B628))</f>
        <v>627</v>
      </c>
      <c r="B628" s="8" t="s">
        <v>1845</v>
      </c>
      <c r="C628" s="7" t="s">
        <v>1857</v>
      </c>
      <c r="D628" s="9" t="s">
        <v>1860</v>
      </c>
      <c r="E628" s="7" t="s">
        <v>1848</v>
      </c>
      <c r="F628" s="7" t="s">
        <v>1081</v>
      </c>
      <c r="G628" s="7" t="s">
        <v>1861</v>
      </c>
      <c r="H628" s="7">
        <v>6.2E-2</v>
      </c>
      <c r="I628" s="7">
        <v>58</v>
      </c>
      <c r="J628" s="7">
        <v>800</v>
      </c>
      <c r="K628" s="7">
        <v>600</v>
      </c>
      <c r="L628" s="7">
        <v>150</v>
      </c>
      <c r="M628" s="7">
        <v>30</v>
      </c>
      <c r="N628" s="7">
        <v>120</v>
      </c>
      <c r="O628" s="7">
        <v>34</v>
      </c>
      <c r="P628" s="7">
        <v>105</v>
      </c>
    </row>
    <row r="629" spans="1:16" s="10" customFormat="1">
      <c r="A629" s="7">
        <f>IF(B629="","",SUBTOTAL(103,$B$2:B629))</f>
        <v>628</v>
      </c>
      <c r="B629" s="8" t="s">
        <v>1845</v>
      </c>
      <c r="C629" s="7" t="s">
        <v>1862</v>
      </c>
      <c r="D629" s="9" t="s">
        <v>1863</v>
      </c>
      <c r="E629" s="7" t="s">
        <v>1848</v>
      </c>
      <c r="F629" s="7" t="s">
        <v>1085</v>
      </c>
      <c r="G629" s="7" t="s">
        <v>1864</v>
      </c>
      <c r="H629" s="7">
        <v>0.04</v>
      </c>
      <c r="I629" s="7">
        <v>80</v>
      </c>
      <c r="J629" s="7">
        <v>800</v>
      </c>
      <c r="K629" s="7">
        <v>600</v>
      </c>
      <c r="L629" s="7">
        <v>150</v>
      </c>
      <c r="M629" s="7">
        <v>30</v>
      </c>
      <c r="N629" s="7">
        <v>120</v>
      </c>
      <c r="O629" s="7">
        <v>25</v>
      </c>
      <c r="P629" s="7">
        <v>100</v>
      </c>
    </row>
    <row r="630" spans="1:16" s="10" customFormat="1">
      <c r="A630" s="7">
        <f>IF(B630="","",SUBTOTAL(103,$B$2:B630))</f>
        <v>629</v>
      </c>
      <c r="B630" s="8" t="s">
        <v>1845</v>
      </c>
      <c r="C630" s="7" t="s">
        <v>1862</v>
      </c>
      <c r="D630" s="9" t="s">
        <v>1865</v>
      </c>
      <c r="E630" s="7" t="s">
        <v>1848</v>
      </c>
      <c r="F630" s="7" t="s">
        <v>1088</v>
      </c>
      <c r="G630" s="7" t="s">
        <v>1866</v>
      </c>
      <c r="H630" s="7">
        <v>0.04</v>
      </c>
      <c r="I630" s="7">
        <v>80</v>
      </c>
      <c r="J630" s="7">
        <v>800</v>
      </c>
      <c r="K630" s="7">
        <v>600</v>
      </c>
      <c r="L630" s="7">
        <v>150</v>
      </c>
      <c r="M630" s="7">
        <v>30</v>
      </c>
      <c r="N630" s="7">
        <v>120</v>
      </c>
      <c r="O630" s="7">
        <v>25</v>
      </c>
      <c r="P630" s="7">
        <v>100</v>
      </c>
    </row>
    <row r="631" spans="1:16" s="10" customFormat="1">
      <c r="A631" s="7">
        <f>IF(B631="","",SUBTOTAL(103,$B$2:B631))</f>
        <v>630</v>
      </c>
      <c r="B631" s="8" t="s">
        <v>1845</v>
      </c>
      <c r="C631" s="7" t="s">
        <v>1867</v>
      </c>
      <c r="D631" s="9" t="s">
        <v>1868</v>
      </c>
      <c r="E631" s="7" t="s">
        <v>1848</v>
      </c>
      <c r="F631" s="7" t="s">
        <v>1092</v>
      </c>
      <c r="G631" s="7" t="s">
        <v>1869</v>
      </c>
      <c r="H631" s="7">
        <v>0.59399999999999997</v>
      </c>
      <c r="I631" s="7">
        <v>10</v>
      </c>
      <c r="J631" s="7">
        <v>800</v>
      </c>
      <c r="K631" s="7">
        <v>600</v>
      </c>
      <c r="L631" s="7">
        <v>150</v>
      </c>
      <c r="M631" s="7">
        <v>30</v>
      </c>
      <c r="N631" s="7">
        <v>120</v>
      </c>
      <c r="O631" s="7">
        <v>195</v>
      </c>
      <c r="P631" s="7">
        <v>300</v>
      </c>
    </row>
    <row r="632" spans="1:16" s="10" customFormat="1">
      <c r="A632" s="7">
        <f>IF(B632="","",SUBTOTAL(103,$B$2:B632))</f>
        <v>631</v>
      </c>
      <c r="B632" s="8" t="s">
        <v>1845</v>
      </c>
      <c r="C632" s="7" t="s">
        <v>1867</v>
      </c>
      <c r="D632" s="9" t="s">
        <v>1870</v>
      </c>
      <c r="E632" s="7" t="s">
        <v>1848</v>
      </c>
      <c r="F632" s="7" t="s">
        <v>1095</v>
      </c>
      <c r="G632" s="7" t="s">
        <v>1871</v>
      </c>
      <c r="H632" s="7">
        <v>0.59399999999999997</v>
      </c>
      <c r="I632" s="7">
        <v>10</v>
      </c>
      <c r="J632" s="7">
        <v>800</v>
      </c>
      <c r="K632" s="7">
        <v>600</v>
      </c>
      <c r="L632" s="7">
        <v>150</v>
      </c>
      <c r="M632" s="7">
        <v>30</v>
      </c>
      <c r="N632" s="7">
        <v>120</v>
      </c>
      <c r="O632" s="7">
        <v>195</v>
      </c>
      <c r="P632" s="7">
        <v>300</v>
      </c>
    </row>
    <row r="633" spans="1:16" s="10" customFormat="1">
      <c r="A633" s="7">
        <f>IF(B633="","",SUBTOTAL(103,$B$2:B633))</f>
        <v>632</v>
      </c>
      <c r="B633" s="8" t="s">
        <v>1845</v>
      </c>
      <c r="C633" s="7" t="s">
        <v>1872</v>
      </c>
      <c r="D633" s="9" t="s">
        <v>1873</v>
      </c>
      <c r="E633" s="7" t="s">
        <v>1848</v>
      </c>
      <c r="F633" s="7" t="s">
        <v>1099</v>
      </c>
      <c r="G633" s="7" t="s">
        <v>1874</v>
      </c>
      <c r="H633" s="7">
        <v>0.46</v>
      </c>
      <c r="I633" s="7">
        <v>10</v>
      </c>
      <c r="J633" s="7">
        <v>800</v>
      </c>
      <c r="K633" s="7">
        <v>600</v>
      </c>
      <c r="L633" s="7">
        <v>150</v>
      </c>
      <c r="M633" s="7">
        <v>30</v>
      </c>
      <c r="N633" s="7">
        <v>120</v>
      </c>
      <c r="O633" s="7">
        <v>195</v>
      </c>
      <c r="P633" s="7">
        <v>300</v>
      </c>
    </row>
    <row r="634" spans="1:16" s="10" customFormat="1">
      <c r="A634" s="7">
        <f>IF(B634="","",SUBTOTAL(103,$B$2:B634))</f>
        <v>633</v>
      </c>
      <c r="B634" s="8" t="s">
        <v>1845</v>
      </c>
      <c r="C634" s="7" t="s">
        <v>1872</v>
      </c>
      <c r="D634" s="9" t="s">
        <v>1875</v>
      </c>
      <c r="E634" s="7" t="s">
        <v>1848</v>
      </c>
      <c r="F634" s="7" t="s">
        <v>1102</v>
      </c>
      <c r="G634" s="7" t="s">
        <v>1876</v>
      </c>
      <c r="H634" s="7">
        <v>0.46</v>
      </c>
      <c r="I634" s="7">
        <v>10</v>
      </c>
      <c r="J634" s="7">
        <v>800</v>
      </c>
      <c r="K634" s="7">
        <v>600</v>
      </c>
      <c r="L634" s="7">
        <v>150</v>
      </c>
      <c r="M634" s="7">
        <v>30</v>
      </c>
      <c r="N634" s="7">
        <v>120</v>
      </c>
      <c r="O634" s="7">
        <v>195</v>
      </c>
      <c r="P634" s="7">
        <v>300</v>
      </c>
    </row>
    <row r="635" spans="1:16" s="10" customFormat="1">
      <c r="A635" s="7">
        <f>IF(B635="","",SUBTOTAL(103,$B$2:B635))</f>
        <v>634</v>
      </c>
      <c r="B635" s="8" t="s">
        <v>1845</v>
      </c>
      <c r="C635" s="7" t="s">
        <v>1877</v>
      </c>
      <c r="D635" s="9" t="s">
        <v>1878</v>
      </c>
      <c r="E635" s="7" t="s">
        <v>1848</v>
      </c>
      <c r="F635" s="7" t="s">
        <v>1106</v>
      </c>
      <c r="G635" s="7" t="s">
        <v>1879</v>
      </c>
      <c r="H635" s="7">
        <v>0.89400000000000002</v>
      </c>
      <c r="I635" s="7">
        <v>4</v>
      </c>
      <c r="J635" s="7">
        <v>800</v>
      </c>
      <c r="K635" s="7">
        <v>600</v>
      </c>
      <c r="L635" s="7">
        <v>150</v>
      </c>
      <c r="M635" s="7">
        <v>30</v>
      </c>
      <c r="N635" s="7">
        <v>120</v>
      </c>
      <c r="O635" s="7">
        <v>500</v>
      </c>
      <c r="P635" s="7">
        <v>600</v>
      </c>
    </row>
    <row r="636" spans="1:16" s="10" customFormat="1">
      <c r="A636" s="7">
        <f>IF(B636="","",SUBTOTAL(103,$B$2:B636))</f>
        <v>635</v>
      </c>
      <c r="B636" s="8" t="s">
        <v>1845</v>
      </c>
      <c r="C636" s="7" t="s">
        <v>1877</v>
      </c>
      <c r="D636" s="9" t="s">
        <v>1880</v>
      </c>
      <c r="E636" s="7" t="s">
        <v>1848</v>
      </c>
      <c r="F636" s="7" t="s">
        <v>1109</v>
      </c>
      <c r="G636" s="7" t="s">
        <v>1881</v>
      </c>
      <c r="H636" s="7">
        <v>0.89400000000000002</v>
      </c>
      <c r="I636" s="7">
        <v>4</v>
      </c>
      <c r="J636" s="7">
        <v>800</v>
      </c>
      <c r="K636" s="7">
        <v>600</v>
      </c>
      <c r="L636" s="7">
        <v>150</v>
      </c>
      <c r="M636" s="7">
        <v>30</v>
      </c>
      <c r="N636" s="7">
        <v>120</v>
      </c>
      <c r="O636" s="7">
        <v>500</v>
      </c>
      <c r="P636" s="7">
        <v>600</v>
      </c>
    </row>
    <row r="637" spans="1:16" s="10" customFormat="1">
      <c r="A637" s="7">
        <f>IF(B637="","",SUBTOTAL(103,$B$2:B637))</f>
        <v>636</v>
      </c>
      <c r="B637" s="8" t="s">
        <v>1845</v>
      </c>
      <c r="C637" s="7" t="s">
        <v>1882</v>
      </c>
      <c r="D637" s="9" t="s">
        <v>1883</v>
      </c>
      <c r="E637" s="7" t="s">
        <v>1848</v>
      </c>
      <c r="F637" s="7" t="s">
        <v>1113</v>
      </c>
      <c r="G637" s="7" t="s">
        <v>1884</v>
      </c>
      <c r="H637" s="7">
        <v>1.484</v>
      </c>
      <c r="I637" s="7">
        <v>2</v>
      </c>
      <c r="J637" s="7">
        <v>800</v>
      </c>
      <c r="K637" s="7">
        <v>600</v>
      </c>
      <c r="L637" s="7">
        <v>150</v>
      </c>
      <c r="M637" s="7">
        <v>30</v>
      </c>
      <c r="N637" s="7">
        <v>120</v>
      </c>
      <c r="O637" s="7">
        <v>1000</v>
      </c>
      <c r="P637" s="7">
        <v>1100</v>
      </c>
    </row>
    <row r="638" spans="1:16" s="10" customFormat="1">
      <c r="A638" s="7">
        <f>IF(B638="","",SUBTOTAL(103,$B$2:B638))</f>
        <v>637</v>
      </c>
      <c r="B638" s="8" t="s">
        <v>1845</v>
      </c>
      <c r="C638" s="7" t="s">
        <v>1882</v>
      </c>
      <c r="D638" s="9" t="s">
        <v>1885</v>
      </c>
      <c r="E638" s="7" t="s">
        <v>1848</v>
      </c>
      <c r="F638" s="7" t="s">
        <v>1116</v>
      </c>
      <c r="G638" s="7" t="s">
        <v>1886</v>
      </c>
      <c r="H638" s="7">
        <v>1.484</v>
      </c>
      <c r="I638" s="7">
        <v>2</v>
      </c>
      <c r="J638" s="7">
        <v>800</v>
      </c>
      <c r="K638" s="7">
        <v>600</v>
      </c>
      <c r="L638" s="7">
        <v>150</v>
      </c>
      <c r="M638" s="7">
        <v>30</v>
      </c>
      <c r="N638" s="7">
        <v>120</v>
      </c>
      <c r="O638" s="7">
        <v>1000</v>
      </c>
      <c r="P638" s="7">
        <v>1100</v>
      </c>
    </row>
    <row r="639" spans="1:16" s="10" customFormat="1">
      <c r="A639" s="7">
        <f>IF(B639="","",SUBTOTAL(103,$B$2:B639))</f>
        <v>638</v>
      </c>
      <c r="B639" s="8" t="s">
        <v>1845</v>
      </c>
      <c r="C639" s="7" t="s">
        <v>1887</v>
      </c>
      <c r="D639" s="9" t="s">
        <v>1888</v>
      </c>
      <c r="E639" s="7" t="s">
        <v>1848</v>
      </c>
      <c r="F639" s="7" t="s">
        <v>1120</v>
      </c>
      <c r="G639" s="7" t="s">
        <v>1889</v>
      </c>
      <c r="H639" s="7">
        <v>1.7350000000000001</v>
      </c>
      <c r="I639" s="7">
        <v>1</v>
      </c>
      <c r="J639" s="7">
        <v>800</v>
      </c>
      <c r="K639" s="7">
        <v>600</v>
      </c>
      <c r="L639" s="7">
        <v>150</v>
      </c>
      <c r="M639" s="7">
        <v>30</v>
      </c>
      <c r="N639" s="7">
        <v>120</v>
      </c>
      <c r="O639" s="7">
        <v>2000</v>
      </c>
      <c r="P639" s="7">
        <v>2050</v>
      </c>
    </row>
    <row r="640" spans="1:16" s="10" customFormat="1">
      <c r="A640" s="7">
        <f>IF(B640="","",SUBTOTAL(103,$B$2:B640))</f>
        <v>639</v>
      </c>
      <c r="B640" s="8" t="s">
        <v>1845</v>
      </c>
      <c r="C640" s="7" t="s">
        <v>1887</v>
      </c>
      <c r="D640" s="9" t="s">
        <v>1890</v>
      </c>
      <c r="E640" s="7" t="s">
        <v>1848</v>
      </c>
      <c r="F640" s="7" t="s">
        <v>1123</v>
      </c>
      <c r="G640" s="7" t="s">
        <v>1891</v>
      </c>
      <c r="H640" s="7">
        <v>1.7350000000000001</v>
      </c>
      <c r="I640" s="7">
        <v>1</v>
      </c>
      <c r="J640" s="7">
        <v>800</v>
      </c>
      <c r="K640" s="7">
        <v>600</v>
      </c>
      <c r="L640" s="7">
        <v>150</v>
      </c>
      <c r="M640" s="7">
        <v>30</v>
      </c>
      <c r="N640" s="7">
        <v>120</v>
      </c>
      <c r="O640" s="7">
        <v>2000</v>
      </c>
      <c r="P640" s="7">
        <v>2050</v>
      </c>
    </row>
    <row r="641" spans="1:16" s="10" customFormat="1">
      <c r="A641" s="7">
        <f>IF(B641="","",SUBTOTAL(103,$B$2:B641))</f>
        <v>640</v>
      </c>
      <c r="B641" s="8" t="s">
        <v>1845</v>
      </c>
      <c r="C641" s="7" t="s">
        <v>1892</v>
      </c>
      <c r="D641" s="9" t="s">
        <v>1893</v>
      </c>
      <c r="E641" s="7" t="s">
        <v>1848</v>
      </c>
      <c r="F641" s="7" t="s">
        <v>1127</v>
      </c>
      <c r="G641" s="7" t="s">
        <v>1894</v>
      </c>
      <c r="H641" s="7">
        <v>0.19500000000000001</v>
      </c>
      <c r="I641" s="7">
        <v>18</v>
      </c>
      <c r="J641" s="7">
        <v>800</v>
      </c>
      <c r="K641" s="7">
        <v>600</v>
      </c>
      <c r="L641" s="7">
        <v>150</v>
      </c>
      <c r="M641" s="7">
        <v>30</v>
      </c>
      <c r="N641" s="7">
        <v>120</v>
      </c>
      <c r="O641" s="7">
        <v>100</v>
      </c>
      <c r="P641" s="7">
        <v>165</v>
      </c>
    </row>
    <row r="642" spans="1:16" s="10" customFormat="1">
      <c r="A642" s="7">
        <f>IF(B642="","",SUBTOTAL(103,$B$2:B642))</f>
        <v>641</v>
      </c>
      <c r="B642" s="8" t="s">
        <v>1845</v>
      </c>
      <c r="C642" s="7" t="s">
        <v>1892</v>
      </c>
      <c r="D642" s="9" t="s">
        <v>1895</v>
      </c>
      <c r="E642" s="7" t="s">
        <v>1848</v>
      </c>
      <c r="F642" s="7" t="s">
        <v>1130</v>
      </c>
      <c r="G642" s="7" t="s">
        <v>1896</v>
      </c>
      <c r="H642" s="7">
        <v>0.19500000000000001</v>
      </c>
      <c r="I642" s="7">
        <v>18</v>
      </c>
      <c r="J642" s="7">
        <v>800</v>
      </c>
      <c r="K642" s="7">
        <v>600</v>
      </c>
      <c r="L642" s="7">
        <v>150</v>
      </c>
      <c r="M642" s="7">
        <v>30</v>
      </c>
      <c r="N642" s="7">
        <v>120</v>
      </c>
      <c r="O642" s="7">
        <v>100</v>
      </c>
      <c r="P642" s="7">
        <v>165</v>
      </c>
    </row>
    <row r="643" spans="1:16" s="10" customFormat="1">
      <c r="A643" s="7">
        <f>IF(B643="","",SUBTOTAL(103,$B$2:B643))</f>
        <v>642</v>
      </c>
      <c r="B643" s="8" t="s">
        <v>1845</v>
      </c>
      <c r="C643" s="7" t="s">
        <v>1897</v>
      </c>
      <c r="D643" s="9" t="s">
        <v>1898</v>
      </c>
      <c r="E643" s="7" t="s">
        <v>1848</v>
      </c>
      <c r="F643" s="7" t="s">
        <v>1002</v>
      </c>
      <c r="G643" s="7" t="s">
        <v>1899</v>
      </c>
      <c r="H643" s="7">
        <v>7.0999999999999994E-2</v>
      </c>
      <c r="I643" s="7">
        <v>58</v>
      </c>
      <c r="J643" s="7">
        <v>800</v>
      </c>
      <c r="K643" s="7">
        <v>600</v>
      </c>
      <c r="L643" s="7">
        <v>150</v>
      </c>
      <c r="M643" s="7">
        <v>30</v>
      </c>
      <c r="N643" s="7">
        <v>120</v>
      </c>
      <c r="O643" s="7">
        <v>34</v>
      </c>
      <c r="P643" s="7">
        <v>125</v>
      </c>
    </row>
    <row r="644" spans="1:16" s="10" customFormat="1">
      <c r="A644" s="7">
        <f>IF(B644="","",SUBTOTAL(103,$B$2:B644))</f>
        <v>643</v>
      </c>
      <c r="B644" s="8" t="s">
        <v>1845</v>
      </c>
      <c r="C644" s="7" t="s">
        <v>1897</v>
      </c>
      <c r="D644" s="9" t="s">
        <v>1900</v>
      </c>
      <c r="E644" s="7" t="s">
        <v>1848</v>
      </c>
      <c r="F644" s="7" t="s">
        <v>1135</v>
      </c>
      <c r="G644" s="7" t="s">
        <v>1901</v>
      </c>
      <c r="H644" s="7">
        <v>7.0999999999999994E-2</v>
      </c>
      <c r="I644" s="7">
        <v>58</v>
      </c>
      <c r="J644" s="7">
        <v>800</v>
      </c>
      <c r="K644" s="7">
        <v>600</v>
      </c>
      <c r="L644" s="7">
        <v>150</v>
      </c>
      <c r="M644" s="7">
        <v>30</v>
      </c>
      <c r="N644" s="7">
        <v>120</v>
      </c>
      <c r="O644" s="7">
        <v>34</v>
      </c>
      <c r="P644" s="7">
        <v>125</v>
      </c>
    </row>
    <row r="645" spans="1:16" s="10" customFormat="1">
      <c r="A645" s="7">
        <f>IF(B645="","",SUBTOTAL(103,$B$2:B645))</f>
        <v>644</v>
      </c>
      <c r="B645" s="8" t="s">
        <v>1845</v>
      </c>
      <c r="C645" s="7" t="s">
        <v>1902</v>
      </c>
      <c r="D645" s="9" t="s">
        <v>1903</v>
      </c>
      <c r="E645" s="7" t="s">
        <v>1848</v>
      </c>
      <c r="F645" s="7" t="s">
        <v>1139</v>
      </c>
      <c r="G645" s="7" t="s">
        <v>1904</v>
      </c>
      <c r="H645" s="7">
        <v>3.14</v>
      </c>
      <c r="I645" s="7">
        <v>1</v>
      </c>
      <c r="J645" s="7">
        <v>800</v>
      </c>
      <c r="K645" s="7">
        <v>600</v>
      </c>
      <c r="L645" s="7">
        <v>150</v>
      </c>
      <c r="M645" s="7">
        <v>30</v>
      </c>
      <c r="N645" s="7">
        <v>120</v>
      </c>
      <c r="O645" s="7">
        <v>2000</v>
      </c>
      <c r="P645" s="7">
        <v>2050</v>
      </c>
    </row>
    <row r="646" spans="1:16" s="10" customFormat="1">
      <c r="A646" s="7">
        <f>IF(B646="","",SUBTOTAL(103,$B$2:B646))</f>
        <v>645</v>
      </c>
      <c r="B646" s="8" t="s">
        <v>1845</v>
      </c>
      <c r="C646" s="7" t="s">
        <v>1902</v>
      </c>
      <c r="D646" s="9" t="s">
        <v>1905</v>
      </c>
      <c r="E646" s="7" t="s">
        <v>1848</v>
      </c>
      <c r="F646" s="7" t="s">
        <v>1142</v>
      </c>
      <c r="G646" s="7" t="s">
        <v>1906</v>
      </c>
      <c r="H646" s="7">
        <v>3.14</v>
      </c>
      <c r="I646" s="7">
        <v>1</v>
      </c>
      <c r="J646" s="7">
        <v>800</v>
      </c>
      <c r="K646" s="7">
        <v>600</v>
      </c>
      <c r="L646" s="7">
        <v>150</v>
      </c>
      <c r="M646" s="7">
        <v>30</v>
      </c>
      <c r="N646" s="7">
        <v>120</v>
      </c>
      <c r="O646" s="7">
        <v>2000</v>
      </c>
      <c r="P646" s="7">
        <v>2050</v>
      </c>
    </row>
    <row r="647" spans="1:16" s="10" customFormat="1">
      <c r="A647" s="7">
        <f>IF(B647="","",SUBTOTAL(103,$B$2:B647))</f>
        <v>646</v>
      </c>
      <c r="B647" s="8" t="s">
        <v>1907</v>
      </c>
      <c r="C647" s="7" t="s">
        <v>1813</v>
      </c>
      <c r="D647" s="9" t="s">
        <v>1908</v>
      </c>
      <c r="E647" s="7" t="s">
        <v>1909</v>
      </c>
      <c r="F647" s="7" t="s">
        <v>1008</v>
      </c>
      <c r="G647" s="7" t="s">
        <v>1910</v>
      </c>
      <c r="H647" s="7">
        <v>0.317</v>
      </c>
      <c r="I647" s="7">
        <v>12</v>
      </c>
      <c r="J647" s="7">
        <v>800</v>
      </c>
      <c r="K647" s="7">
        <v>600</v>
      </c>
      <c r="L647" s="7">
        <v>150</v>
      </c>
      <c r="M647" s="7">
        <v>30</v>
      </c>
      <c r="N647" s="7">
        <v>60</v>
      </c>
      <c r="O647" s="7">
        <v>150</v>
      </c>
      <c r="P647" s="7">
        <v>215</v>
      </c>
    </row>
    <row r="648" spans="1:16" s="10" customFormat="1">
      <c r="A648" s="7">
        <f>IF(B648="","",SUBTOTAL(103,$B$2:B648))</f>
        <v>647</v>
      </c>
      <c r="B648" s="8" t="s">
        <v>1907</v>
      </c>
      <c r="C648" s="7" t="s">
        <v>1813</v>
      </c>
      <c r="D648" s="9" t="s">
        <v>1911</v>
      </c>
      <c r="E648" s="7" t="s">
        <v>1909</v>
      </c>
      <c r="F648" s="7" t="s">
        <v>1011</v>
      </c>
      <c r="G648" s="7" t="s">
        <v>1912</v>
      </c>
      <c r="H648" s="7">
        <v>0.317</v>
      </c>
      <c r="I648" s="7">
        <v>12</v>
      </c>
      <c r="J648" s="7">
        <v>800</v>
      </c>
      <c r="K648" s="7">
        <v>600</v>
      </c>
      <c r="L648" s="7">
        <v>150</v>
      </c>
      <c r="M648" s="7">
        <v>30</v>
      </c>
      <c r="N648" s="7">
        <v>60</v>
      </c>
      <c r="O648" s="7">
        <v>150</v>
      </c>
      <c r="P648" s="7">
        <v>215</v>
      </c>
    </row>
    <row r="649" spans="1:16" s="10" customFormat="1">
      <c r="A649" s="7">
        <f>IF(B649="","",SUBTOTAL(103,$B$2:B649))</f>
        <v>648</v>
      </c>
      <c r="B649" s="8" t="s">
        <v>1907</v>
      </c>
      <c r="C649" s="7" t="s">
        <v>1819</v>
      </c>
      <c r="D649" s="9" t="s">
        <v>1913</v>
      </c>
      <c r="E649" s="7" t="s">
        <v>1909</v>
      </c>
      <c r="F649" s="7" t="s">
        <v>1015</v>
      </c>
      <c r="G649" s="7" t="s">
        <v>1914</v>
      </c>
      <c r="H649" s="7">
        <v>0.11600000000000001</v>
      </c>
      <c r="I649" s="7">
        <v>36</v>
      </c>
      <c r="J649" s="7">
        <v>800</v>
      </c>
      <c r="K649" s="7">
        <v>600</v>
      </c>
      <c r="L649" s="7">
        <v>150</v>
      </c>
      <c r="M649" s="7">
        <v>30</v>
      </c>
      <c r="N649" s="7">
        <v>120</v>
      </c>
      <c r="O649" s="7">
        <v>55</v>
      </c>
      <c r="P649" s="7">
        <v>140</v>
      </c>
    </row>
    <row r="650" spans="1:16" s="10" customFormat="1">
      <c r="A650" s="7">
        <f>IF(B650="","",SUBTOTAL(103,$B$2:B650))</f>
        <v>649</v>
      </c>
      <c r="B650" s="8" t="s">
        <v>1907</v>
      </c>
      <c r="C650" s="7" t="s">
        <v>1819</v>
      </c>
      <c r="D650" s="9" t="s">
        <v>1915</v>
      </c>
      <c r="E650" s="7" t="s">
        <v>1909</v>
      </c>
      <c r="F650" s="7" t="s">
        <v>1018</v>
      </c>
      <c r="G650" s="7" t="s">
        <v>1916</v>
      </c>
      <c r="H650" s="7">
        <v>0.11600000000000001</v>
      </c>
      <c r="I650" s="7">
        <v>36</v>
      </c>
      <c r="J650" s="7">
        <v>800</v>
      </c>
      <c r="K650" s="7">
        <v>600</v>
      </c>
      <c r="L650" s="7">
        <v>150</v>
      </c>
      <c r="M650" s="7">
        <v>30</v>
      </c>
      <c r="N650" s="7">
        <v>120</v>
      </c>
      <c r="O650" s="7">
        <v>55</v>
      </c>
      <c r="P650" s="7">
        <v>140</v>
      </c>
    </row>
    <row r="651" spans="1:16" s="10" customFormat="1">
      <c r="A651" s="7">
        <f>IF(B651="","",SUBTOTAL(103,$B$2:B651))</f>
        <v>650</v>
      </c>
      <c r="B651" s="8" t="s">
        <v>1907</v>
      </c>
      <c r="C651" s="7" t="s">
        <v>1824</v>
      </c>
      <c r="D651" s="9" t="s">
        <v>1917</v>
      </c>
      <c r="E651" s="7" t="s">
        <v>1909</v>
      </c>
      <c r="F651" s="7" t="s">
        <v>1732</v>
      </c>
      <c r="G651" s="7" t="s">
        <v>1918</v>
      </c>
      <c r="H651" s="7">
        <v>5.8000000000000003E-2</v>
      </c>
      <c r="I651" s="7">
        <v>58</v>
      </c>
      <c r="J651" s="7">
        <v>800</v>
      </c>
      <c r="K651" s="7">
        <v>600</v>
      </c>
      <c r="L651" s="7">
        <v>150</v>
      </c>
      <c r="M651" s="7">
        <v>30</v>
      </c>
      <c r="N651" s="7">
        <v>120</v>
      </c>
      <c r="O651" s="7">
        <v>34</v>
      </c>
      <c r="P651" s="7">
        <v>105</v>
      </c>
    </row>
    <row r="652" spans="1:16" s="10" customFormat="1">
      <c r="A652" s="7">
        <f>IF(B652="","",SUBTOTAL(103,$B$2:B652))</f>
        <v>651</v>
      </c>
      <c r="B652" s="8" t="s">
        <v>1907</v>
      </c>
      <c r="C652" s="7" t="s">
        <v>1824</v>
      </c>
      <c r="D652" s="9" t="s">
        <v>1919</v>
      </c>
      <c r="E652" s="7" t="s">
        <v>1909</v>
      </c>
      <c r="F652" s="7" t="s">
        <v>1022</v>
      </c>
      <c r="G652" s="7" t="s">
        <v>1920</v>
      </c>
      <c r="H652" s="7">
        <v>5.8000000000000003E-2</v>
      </c>
      <c r="I652" s="7">
        <v>58</v>
      </c>
      <c r="J652" s="7">
        <v>800</v>
      </c>
      <c r="K652" s="7">
        <v>600</v>
      </c>
      <c r="L652" s="7">
        <v>150</v>
      </c>
      <c r="M652" s="7">
        <v>30</v>
      </c>
      <c r="N652" s="7">
        <v>120</v>
      </c>
      <c r="O652" s="7">
        <v>34</v>
      </c>
      <c r="P652" s="7">
        <v>105</v>
      </c>
    </row>
    <row r="653" spans="1:16" s="10" customFormat="1">
      <c r="A653" s="7">
        <f>IF(B653="","",SUBTOTAL(103,$B$2:B653))</f>
        <v>652</v>
      </c>
      <c r="B653" s="8" t="s">
        <v>1907</v>
      </c>
      <c r="C653" s="7" t="s">
        <v>1921</v>
      </c>
      <c r="D653" s="9" t="s">
        <v>1922</v>
      </c>
      <c r="E653" s="7" t="s">
        <v>1909</v>
      </c>
      <c r="F653" s="7" t="s">
        <v>1923</v>
      </c>
      <c r="G653" s="7" t="s">
        <v>1924</v>
      </c>
      <c r="H653" s="7">
        <v>4.9000000000000002E-2</v>
      </c>
      <c r="I653" s="7">
        <v>68</v>
      </c>
      <c r="J653" s="7">
        <v>800</v>
      </c>
      <c r="K653" s="7">
        <v>600</v>
      </c>
      <c r="L653" s="7">
        <v>150</v>
      </c>
      <c r="M653" s="7">
        <v>30</v>
      </c>
      <c r="N653" s="7">
        <v>120</v>
      </c>
      <c r="O653" s="7">
        <v>30</v>
      </c>
      <c r="P653" s="7">
        <v>100</v>
      </c>
    </row>
    <row r="654" spans="1:16" s="10" customFormat="1">
      <c r="A654" s="7">
        <f>IF(B654="","",SUBTOTAL(103,$B$2:B654))</f>
        <v>653</v>
      </c>
      <c r="B654" s="8" t="s">
        <v>1907</v>
      </c>
      <c r="C654" s="7" t="s">
        <v>1921</v>
      </c>
      <c r="D654" s="9" t="s">
        <v>1925</v>
      </c>
      <c r="E654" s="7" t="s">
        <v>1815</v>
      </c>
      <c r="F654" s="7" t="s">
        <v>1923</v>
      </c>
      <c r="G654" s="7" t="str">
        <f>E654&amp;F654</f>
        <v>KI 114  KI-01 LB1/8 CF8</v>
      </c>
      <c r="H654" s="7">
        <v>4.2000000000000003E-2</v>
      </c>
      <c r="I654" s="7">
        <v>68</v>
      </c>
      <c r="J654" s="7">
        <v>800</v>
      </c>
      <c r="K654" s="7">
        <v>600</v>
      </c>
      <c r="L654" s="7">
        <v>150</v>
      </c>
      <c r="M654" s="7">
        <v>30</v>
      </c>
      <c r="N654" s="7">
        <v>120</v>
      </c>
      <c r="O654" s="7">
        <v>30</v>
      </c>
      <c r="P654" s="7">
        <v>100</v>
      </c>
    </row>
    <row r="655" spans="1:16" s="10" customFormat="1">
      <c r="A655" s="7">
        <f>IF(B655="","",SUBTOTAL(103,$B$2:B655))</f>
        <v>654</v>
      </c>
      <c r="B655" s="8" t="s">
        <v>1907</v>
      </c>
      <c r="C655" s="7" t="s">
        <v>1921</v>
      </c>
      <c r="D655" s="9" t="s">
        <v>1926</v>
      </c>
      <c r="E655" s="7" t="s">
        <v>1909</v>
      </c>
      <c r="F655" s="7" t="s">
        <v>1738</v>
      </c>
      <c r="G655" s="7" t="s">
        <v>1927</v>
      </c>
      <c r="H655" s="7">
        <v>4.8000000000000001E-2</v>
      </c>
      <c r="I655" s="7">
        <v>68</v>
      </c>
      <c r="J655" s="7">
        <v>800</v>
      </c>
      <c r="K655" s="7">
        <v>600</v>
      </c>
      <c r="L655" s="7">
        <v>150</v>
      </c>
      <c r="M655" s="7">
        <v>30</v>
      </c>
      <c r="N655" s="7">
        <v>120</v>
      </c>
      <c r="O655" s="7">
        <v>30</v>
      </c>
      <c r="P655" s="7">
        <v>100</v>
      </c>
    </row>
    <row r="656" spans="1:16" s="10" customFormat="1">
      <c r="A656" s="7">
        <f>IF(B656="","",SUBTOTAL(103,$B$2:B656))</f>
        <v>655</v>
      </c>
      <c r="B656" s="8" t="s">
        <v>1907</v>
      </c>
      <c r="C656" s="7" t="s">
        <v>1921</v>
      </c>
      <c r="D656" s="9" t="s">
        <v>1928</v>
      </c>
      <c r="E656" s="7" t="s">
        <v>1815</v>
      </c>
      <c r="F656" s="7" t="s">
        <v>1738</v>
      </c>
      <c r="G656" s="7" t="str">
        <f>E656&amp;F656</f>
        <v>KI 114  KI-01 LB1/8 CF8M</v>
      </c>
      <c r="H656" s="7">
        <v>4.8000000000000001E-2</v>
      </c>
      <c r="I656" s="7">
        <v>68</v>
      </c>
      <c r="J656" s="7">
        <v>800</v>
      </c>
      <c r="K656" s="7">
        <v>600</v>
      </c>
      <c r="L656" s="7">
        <v>150</v>
      </c>
      <c r="M656" s="7">
        <v>30</v>
      </c>
      <c r="N656" s="7">
        <v>120</v>
      </c>
      <c r="O656" s="7">
        <v>30</v>
      </c>
      <c r="P656" s="7">
        <v>100</v>
      </c>
    </row>
    <row r="657" spans="1:16" s="10" customFormat="1">
      <c r="A657" s="7">
        <f>IF(B657="","",SUBTOTAL(103,$B$2:B657))</f>
        <v>656</v>
      </c>
      <c r="B657" s="8" t="s">
        <v>1907</v>
      </c>
      <c r="C657" s="7" t="s">
        <v>1827</v>
      </c>
      <c r="D657" s="9" t="s">
        <v>1929</v>
      </c>
      <c r="E657" s="7" t="s">
        <v>1909</v>
      </c>
      <c r="F657" s="7" t="s">
        <v>1325</v>
      </c>
      <c r="G657" s="7" t="s">
        <v>1930</v>
      </c>
      <c r="H657" s="7">
        <v>0.65200000000000002</v>
      </c>
      <c r="I657" s="7">
        <v>8</v>
      </c>
      <c r="J657" s="7">
        <v>800</v>
      </c>
      <c r="K657" s="7">
        <v>600</v>
      </c>
      <c r="L657" s="7">
        <v>150</v>
      </c>
      <c r="M657" s="7">
        <v>30</v>
      </c>
      <c r="N657" s="7">
        <v>120</v>
      </c>
      <c r="O657" s="7">
        <v>225</v>
      </c>
      <c r="P657" s="7">
        <v>250</v>
      </c>
    </row>
    <row r="658" spans="1:16" s="10" customFormat="1">
      <c r="A658" s="7">
        <f>IF(B658="","",SUBTOTAL(103,$B$2:B658))</f>
        <v>657</v>
      </c>
      <c r="B658" s="8" t="s">
        <v>1907</v>
      </c>
      <c r="C658" s="7" t="s">
        <v>1827</v>
      </c>
      <c r="D658" s="9" t="s">
        <v>1931</v>
      </c>
      <c r="E658" s="7" t="s">
        <v>1909</v>
      </c>
      <c r="F658" s="7" t="s">
        <v>1029</v>
      </c>
      <c r="G658" s="7" t="s">
        <v>1932</v>
      </c>
      <c r="H658" s="7">
        <v>0.65200000000000002</v>
      </c>
      <c r="I658" s="7">
        <v>8</v>
      </c>
      <c r="J658" s="7">
        <v>800</v>
      </c>
      <c r="K658" s="7">
        <v>600</v>
      </c>
      <c r="L658" s="7">
        <v>150</v>
      </c>
      <c r="M658" s="7">
        <v>30</v>
      </c>
      <c r="N658" s="7">
        <v>120</v>
      </c>
      <c r="O658" s="7">
        <v>225</v>
      </c>
      <c r="P658" s="7">
        <v>250</v>
      </c>
    </row>
    <row r="659" spans="1:16" s="10" customFormat="1">
      <c r="A659" s="7">
        <f>IF(B659="","",SUBTOTAL(103,$B$2:B659))</f>
        <v>658</v>
      </c>
      <c r="B659" s="8" t="s">
        <v>1907</v>
      </c>
      <c r="C659" s="7" t="s">
        <v>1827</v>
      </c>
      <c r="D659" s="9" t="s">
        <v>1933</v>
      </c>
      <c r="E659" s="7" t="s">
        <v>1815</v>
      </c>
      <c r="F659" s="7" t="s">
        <v>1029</v>
      </c>
      <c r="G659" s="7" t="s">
        <v>1934</v>
      </c>
      <c r="H659" s="7">
        <v>0.65200000000000002</v>
      </c>
      <c r="I659" s="7">
        <v>8</v>
      </c>
      <c r="J659" s="7">
        <v>800</v>
      </c>
      <c r="K659" s="7">
        <v>600</v>
      </c>
      <c r="L659" s="7">
        <v>150</v>
      </c>
      <c r="M659" s="7">
        <v>30</v>
      </c>
      <c r="N659" s="7">
        <v>120</v>
      </c>
      <c r="O659" s="7">
        <v>225</v>
      </c>
      <c r="P659" s="7">
        <v>250</v>
      </c>
    </row>
    <row r="660" spans="1:16" s="10" customFormat="1">
      <c r="A660" s="7">
        <f>IF(B660="","",SUBTOTAL(103,$B$2:B660))</f>
        <v>659</v>
      </c>
      <c r="B660" s="8" t="s">
        <v>1907</v>
      </c>
      <c r="C660" s="7" t="s">
        <v>1830</v>
      </c>
      <c r="D660" s="9" t="s">
        <v>1935</v>
      </c>
      <c r="E660" s="7" t="s">
        <v>1909</v>
      </c>
      <c r="F660" s="7" t="s">
        <v>1033</v>
      </c>
      <c r="G660" s="7" t="s">
        <v>1936</v>
      </c>
      <c r="H660" s="7">
        <v>0.49</v>
      </c>
      <c r="I660" s="7">
        <v>10</v>
      </c>
      <c r="J660" s="7">
        <v>800</v>
      </c>
      <c r="K660" s="7">
        <v>600</v>
      </c>
      <c r="L660" s="7">
        <v>150</v>
      </c>
      <c r="M660" s="7">
        <v>30</v>
      </c>
      <c r="N660" s="7">
        <v>120</v>
      </c>
      <c r="O660" s="7">
        <v>195</v>
      </c>
      <c r="P660" s="7">
        <v>300</v>
      </c>
    </row>
    <row r="661" spans="1:16" s="10" customFormat="1">
      <c r="A661" s="7">
        <f>IF(B661="","",SUBTOTAL(103,$B$2:B661))</f>
        <v>660</v>
      </c>
      <c r="B661" s="8" t="s">
        <v>1907</v>
      </c>
      <c r="C661" s="7" t="s">
        <v>1830</v>
      </c>
      <c r="D661" s="9" t="s">
        <v>1937</v>
      </c>
      <c r="E661" s="7" t="s">
        <v>1909</v>
      </c>
      <c r="F661" s="7" t="s">
        <v>1337</v>
      </c>
      <c r="G661" s="7" t="s">
        <v>1938</v>
      </c>
      <c r="H661" s="7">
        <v>0.49</v>
      </c>
      <c r="I661" s="7">
        <v>10</v>
      </c>
      <c r="J661" s="7">
        <v>800</v>
      </c>
      <c r="K661" s="7">
        <v>600</v>
      </c>
      <c r="L661" s="7">
        <v>150</v>
      </c>
      <c r="M661" s="7">
        <v>30</v>
      </c>
      <c r="N661" s="7">
        <v>120</v>
      </c>
      <c r="O661" s="7">
        <v>195</v>
      </c>
      <c r="P661" s="7">
        <v>300</v>
      </c>
    </row>
    <row r="662" spans="1:16" s="10" customFormat="1">
      <c r="A662" s="7">
        <f>IF(B662="","",SUBTOTAL(103,$B$2:B662))</f>
        <v>661</v>
      </c>
      <c r="B662" s="8" t="s">
        <v>1907</v>
      </c>
      <c r="C662" s="7" t="s">
        <v>1833</v>
      </c>
      <c r="D662" s="9" t="s">
        <v>1939</v>
      </c>
      <c r="E662" s="7" t="s">
        <v>1909</v>
      </c>
      <c r="F662" s="7" t="s">
        <v>1037</v>
      </c>
      <c r="G662" s="7" t="s">
        <v>1940</v>
      </c>
      <c r="H662" s="7">
        <v>1.0269999999999999</v>
      </c>
      <c r="I662" s="7">
        <v>4</v>
      </c>
      <c r="J662" s="7">
        <v>800</v>
      </c>
      <c r="K662" s="7">
        <v>600</v>
      </c>
      <c r="L662" s="7">
        <v>150</v>
      </c>
      <c r="M662" s="7">
        <v>30</v>
      </c>
      <c r="N662" s="7">
        <v>120</v>
      </c>
      <c r="O662" s="7">
        <v>500</v>
      </c>
      <c r="P662" s="7">
        <v>600</v>
      </c>
    </row>
    <row r="663" spans="1:16" s="10" customFormat="1">
      <c r="A663" s="7">
        <f>IF(B663="","",SUBTOTAL(103,$B$2:B663))</f>
        <v>662</v>
      </c>
      <c r="B663" s="8" t="s">
        <v>1907</v>
      </c>
      <c r="C663" s="7" t="s">
        <v>1833</v>
      </c>
      <c r="D663" s="9" t="s">
        <v>1941</v>
      </c>
      <c r="E663" s="7" t="s">
        <v>1815</v>
      </c>
      <c r="F663" s="7" t="s">
        <v>1037</v>
      </c>
      <c r="G663" s="7" t="s">
        <v>1942</v>
      </c>
      <c r="H663" s="7">
        <v>1.0269999999999999</v>
      </c>
      <c r="I663" s="7">
        <v>4</v>
      </c>
      <c r="J663" s="7">
        <v>800</v>
      </c>
      <c r="K663" s="7">
        <v>600</v>
      </c>
      <c r="L663" s="7">
        <v>150</v>
      </c>
      <c r="M663" s="7">
        <v>30</v>
      </c>
      <c r="N663" s="7">
        <v>120</v>
      </c>
      <c r="O663" s="7">
        <v>500</v>
      </c>
      <c r="P663" s="7">
        <v>600</v>
      </c>
    </row>
    <row r="664" spans="1:16" s="10" customFormat="1">
      <c r="A664" s="7">
        <f>IF(B664="","",SUBTOTAL(103,$B$2:B664))</f>
        <v>663</v>
      </c>
      <c r="B664" s="8" t="s">
        <v>1907</v>
      </c>
      <c r="C664" s="7" t="s">
        <v>1833</v>
      </c>
      <c r="D664" s="9" t="s">
        <v>1943</v>
      </c>
      <c r="E664" s="7" t="s">
        <v>1909</v>
      </c>
      <c r="F664" s="7" t="s">
        <v>1040</v>
      </c>
      <c r="G664" s="7" t="s">
        <v>1944</v>
      </c>
      <c r="H664" s="7">
        <v>1.0269999999999999</v>
      </c>
      <c r="I664" s="7">
        <v>4</v>
      </c>
      <c r="J664" s="7">
        <v>800</v>
      </c>
      <c r="K664" s="7">
        <v>600</v>
      </c>
      <c r="L664" s="7">
        <v>150</v>
      </c>
      <c r="M664" s="7">
        <v>30</v>
      </c>
      <c r="N664" s="7">
        <v>120</v>
      </c>
      <c r="O664" s="7">
        <v>500</v>
      </c>
      <c r="P664" s="7">
        <v>600</v>
      </c>
    </row>
    <row r="665" spans="1:16" s="10" customFormat="1">
      <c r="A665" s="7">
        <f>IF(B665="","",SUBTOTAL(103,$B$2:B665))</f>
        <v>664</v>
      </c>
      <c r="B665" s="8" t="s">
        <v>1907</v>
      </c>
      <c r="C665" s="7" t="s">
        <v>1836</v>
      </c>
      <c r="D665" s="9" t="s">
        <v>1945</v>
      </c>
      <c r="E665" s="7" t="s">
        <v>1909</v>
      </c>
      <c r="F665" s="7" t="s">
        <v>1345</v>
      </c>
      <c r="G665" s="7" t="s">
        <v>1946</v>
      </c>
      <c r="H665" s="7">
        <v>1.589</v>
      </c>
      <c r="I665" s="7">
        <v>3</v>
      </c>
      <c r="J665" s="7">
        <v>800</v>
      </c>
      <c r="K665" s="7">
        <v>600</v>
      </c>
      <c r="L665" s="7">
        <v>150</v>
      </c>
      <c r="M665" s="7">
        <v>30</v>
      </c>
      <c r="N665" s="7">
        <v>120</v>
      </c>
      <c r="O665" s="7">
        <v>650</v>
      </c>
      <c r="P665" s="7">
        <v>675</v>
      </c>
    </row>
    <row r="666" spans="1:16" s="10" customFormat="1">
      <c r="A666" s="7">
        <f>IF(B666="","",SUBTOTAL(103,$B$2:B666))</f>
        <v>665</v>
      </c>
      <c r="B666" s="8" t="s">
        <v>1907</v>
      </c>
      <c r="C666" s="7" t="s">
        <v>1836</v>
      </c>
      <c r="D666" s="9" t="s">
        <v>1947</v>
      </c>
      <c r="E666" s="7" t="s">
        <v>1815</v>
      </c>
      <c r="F666" s="7" t="s">
        <v>1948</v>
      </c>
      <c r="G666" s="7" t="str">
        <f>E666&amp;F666</f>
        <v>KI 114  KI-01 LB21/2 CF8</v>
      </c>
      <c r="H666" s="7">
        <v>1.589</v>
      </c>
      <c r="I666" s="7">
        <v>4</v>
      </c>
      <c r="J666" s="7">
        <v>800</v>
      </c>
      <c r="K666" s="7">
        <v>600</v>
      </c>
      <c r="L666" s="7">
        <v>150</v>
      </c>
      <c r="M666" s="7">
        <v>30</v>
      </c>
      <c r="N666" s="7">
        <v>120</v>
      </c>
      <c r="O666" s="7">
        <v>650</v>
      </c>
      <c r="P666" s="7">
        <v>675</v>
      </c>
    </row>
    <row r="667" spans="1:16" s="10" customFormat="1">
      <c r="A667" s="7">
        <f>IF(B667="","",SUBTOTAL(103,$B$2:B667))</f>
        <v>666</v>
      </c>
      <c r="B667" s="8" t="s">
        <v>1907</v>
      </c>
      <c r="C667" s="7" t="s">
        <v>1836</v>
      </c>
      <c r="D667" s="9" t="s">
        <v>1949</v>
      </c>
      <c r="E667" s="7" t="s">
        <v>1909</v>
      </c>
      <c r="F667" s="7" t="s">
        <v>1348</v>
      </c>
      <c r="G667" s="7" t="s">
        <v>1950</v>
      </c>
      <c r="H667" s="7">
        <v>1.589</v>
      </c>
      <c r="I667" s="7">
        <v>3</v>
      </c>
      <c r="J667" s="7">
        <v>800</v>
      </c>
      <c r="K667" s="7">
        <v>600</v>
      </c>
      <c r="L667" s="7">
        <v>150</v>
      </c>
      <c r="M667" s="7">
        <v>30</v>
      </c>
      <c r="N667" s="7">
        <v>120</v>
      </c>
      <c r="O667" s="7">
        <v>650</v>
      </c>
      <c r="P667" s="7">
        <v>675</v>
      </c>
    </row>
    <row r="668" spans="1:16" s="10" customFormat="1">
      <c r="A668" s="7">
        <f>IF(B668="","",SUBTOTAL(103,$B$2:B668))</f>
        <v>667</v>
      </c>
      <c r="B668" s="8" t="s">
        <v>1907</v>
      </c>
      <c r="C668" s="7" t="s">
        <v>1951</v>
      </c>
      <c r="D668" s="9" t="s">
        <v>1952</v>
      </c>
      <c r="E668" s="7" t="s">
        <v>1909</v>
      </c>
      <c r="F668" s="7" t="s">
        <v>1953</v>
      </c>
      <c r="G668" s="7" t="s">
        <v>1954</v>
      </c>
      <c r="H668" s="7">
        <v>2.4489999999999998</v>
      </c>
      <c r="I668" s="7">
        <v>1</v>
      </c>
      <c r="J668" s="7">
        <v>800</v>
      </c>
      <c r="K668" s="7">
        <v>600</v>
      </c>
      <c r="L668" s="7">
        <v>150</v>
      </c>
      <c r="M668" s="7">
        <v>30</v>
      </c>
      <c r="N668" s="7">
        <v>120</v>
      </c>
      <c r="O668" s="7">
        <v>2000</v>
      </c>
      <c r="P668" s="7">
        <v>2050</v>
      </c>
    </row>
    <row r="669" spans="1:16" s="10" customFormat="1">
      <c r="A669" s="7">
        <f>IF(B669="","",SUBTOTAL(103,$B$2:B669))</f>
        <v>668</v>
      </c>
      <c r="B669" s="8" t="s">
        <v>1907</v>
      </c>
      <c r="C669" s="7" t="s">
        <v>1951</v>
      </c>
      <c r="D669" s="9" t="s">
        <v>1955</v>
      </c>
      <c r="E669" s="7" t="s">
        <v>1815</v>
      </c>
      <c r="F669" s="7" t="s">
        <v>1953</v>
      </c>
      <c r="G669" s="7" t="str">
        <f>E669&amp;F669</f>
        <v>KI 114  KI-01 LB3 CF8</v>
      </c>
      <c r="H669" s="7">
        <v>2.4489999999999998</v>
      </c>
      <c r="I669" s="7">
        <v>2</v>
      </c>
      <c r="J669" s="7">
        <v>800</v>
      </c>
      <c r="K669" s="7">
        <v>600</v>
      </c>
      <c r="L669" s="7">
        <v>150</v>
      </c>
      <c r="M669" s="7">
        <v>30</v>
      </c>
      <c r="N669" s="7">
        <v>120</v>
      </c>
      <c r="O669" s="7">
        <v>2000</v>
      </c>
      <c r="P669" s="7">
        <v>2050</v>
      </c>
    </row>
    <row r="670" spans="1:16" s="10" customFormat="1">
      <c r="A670" s="7">
        <f>IF(B670="","",SUBTOTAL(103,$B$2:B670))</f>
        <v>669</v>
      </c>
      <c r="B670" s="8" t="s">
        <v>1907</v>
      </c>
      <c r="C670" s="7" t="s">
        <v>1951</v>
      </c>
      <c r="D670" s="9" t="s">
        <v>1956</v>
      </c>
      <c r="E670" s="7" t="s">
        <v>1909</v>
      </c>
      <c r="F670" s="7" t="s">
        <v>1048</v>
      </c>
      <c r="G670" s="7" t="s">
        <v>1957</v>
      </c>
      <c r="H670" s="7">
        <v>2.4489999999999998</v>
      </c>
      <c r="I670" s="7">
        <v>1</v>
      </c>
      <c r="J670" s="7">
        <v>800</v>
      </c>
      <c r="K670" s="7">
        <v>600</v>
      </c>
      <c r="L670" s="7">
        <v>150</v>
      </c>
      <c r="M670" s="7">
        <v>30</v>
      </c>
      <c r="N670" s="7">
        <v>120</v>
      </c>
      <c r="O670" s="7">
        <v>2000</v>
      </c>
      <c r="P670" s="7">
        <v>2050</v>
      </c>
    </row>
    <row r="671" spans="1:16" s="10" customFormat="1">
      <c r="A671" s="7">
        <f>IF(B671="","",SUBTOTAL(103,$B$2:B671))</f>
        <v>670</v>
      </c>
      <c r="B671" s="8" t="s">
        <v>1907</v>
      </c>
      <c r="C671" s="7" t="s">
        <v>1951</v>
      </c>
      <c r="D671" s="9" t="s">
        <v>1958</v>
      </c>
      <c r="E671" s="7" t="s">
        <v>1815</v>
      </c>
      <c r="F671" s="7" t="s">
        <v>1048</v>
      </c>
      <c r="G671" s="7" t="s">
        <v>1959</v>
      </c>
      <c r="H671" s="7">
        <v>2.4489999999999998</v>
      </c>
      <c r="I671" s="7">
        <v>1</v>
      </c>
      <c r="J671" s="7">
        <v>800</v>
      </c>
      <c r="K671" s="7">
        <v>600</v>
      </c>
      <c r="L671" s="7">
        <v>150</v>
      </c>
      <c r="M671" s="7">
        <v>30</v>
      </c>
      <c r="N671" s="7">
        <v>120</v>
      </c>
      <c r="O671" s="7">
        <v>2000</v>
      </c>
      <c r="P671" s="7">
        <v>2050</v>
      </c>
    </row>
    <row r="672" spans="1:16" s="10" customFormat="1">
      <c r="A672" s="7">
        <f>IF(B672="","",SUBTOTAL(103,$B$2:B672))</f>
        <v>671</v>
      </c>
      <c r="B672" s="8" t="s">
        <v>1907</v>
      </c>
      <c r="C672" s="7" t="s">
        <v>1839</v>
      </c>
      <c r="D672" s="9" t="s">
        <v>1960</v>
      </c>
      <c r="E672" s="7" t="s">
        <v>1909</v>
      </c>
      <c r="F672" s="7" t="s">
        <v>1757</v>
      </c>
      <c r="G672" s="7" t="s">
        <v>1961</v>
      </c>
      <c r="H672" s="7">
        <v>0.20799999999999999</v>
      </c>
      <c r="I672" s="7">
        <v>18</v>
      </c>
      <c r="J672" s="7">
        <v>800</v>
      </c>
      <c r="K672" s="7">
        <v>600</v>
      </c>
      <c r="L672" s="7">
        <v>150</v>
      </c>
      <c r="M672" s="7">
        <v>30</v>
      </c>
      <c r="N672" s="7">
        <v>120</v>
      </c>
      <c r="O672" s="7">
        <v>100</v>
      </c>
      <c r="P672" s="7">
        <v>165</v>
      </c>
    </row>
    <row r="673" spans="1:16" s="10" customFormat="1">
      <c r="A673" s="7">
        <f>IF(B673="","",SUBTOTAL(103,$B$2:B673))</f>
        <v>672</v>
      </c>
      <c r="B673" s="8" t="s">
        <v>1907</v>
      </c>
      <c r="C673" s="7" t="s">
        <v>1839</v>
      </c>
      <c r="D673" s="9" t="s">
        <v>1962</v>
      </c>
      <c r="E673" s="7" t="s">
        <v>1909</v>
      </c>
      <c r="F673" s="7" t="s">
        <v>1052</v>
      </c>
      <c r="G673" s="7" t="s">
        <v>1963</v>
      </c>
      <c r="H673" s="7">
        <v>0.20799999999999999</v>
      </c>
      <c r="I673" s="7">
        <v>18</v>
      </c>
      <c r="J673" s="7">
        <v>800</v>
      </c>
      <c r="K673" s="7">
        <v>600</v>
      </c>
      <c r="L673" s="7">
        <v>150</v>
      </c>
      <c r="M673" s="7">
        <v>30</v>
      </c>
      <c r="N673" s="7">
        <v>120</v>
      </c>
      <c r="O673" s="7">
        <v>100</v>
      </c>
      <c r="P673" s="7">
        <v>165</v>
      </c>
    </row>
    <row r="674" spans="1:16" s="10" customFormat="1">
      <c r="A674" s="7">
        <f>IF(B674="","",SUBTOTAL(103,$B$2:B674))</f>
        <v>673</v>
      </c>
      <c r="B674" s="8" t="s">
        <v>1907</v>
      </c>
      <c r="C674" s="7" t="s">
        <v>1842</v>
      </c>
      <c r="D674" s="9" t="s">
        <v>1964</v>
      </c>
      <c r="E674" s="7" t="s">
        <v>1909</v>
      </c>
      <c r="F674" s="7" t="s">
        <v>1763</v>
      </c>
      <c r="G674" s="7" t="s">
        <v>1965</v>
      </c>
      <c r="H674" s="7">
        <v>0.08</v>
      </c>
      <c r="I674" s="7">
        <v>48</v>
      </c>
      <c r="J674" s="7">
        <v>800</v>
      </c>
      <c r="K674" s="7">
        <v>600</v>
      </c>
      <c r="L674" s="7">
        <v>150</v>
      </c>
      <c r="M674" s="7">
        <v>30</v>
      </c>
      <c r="N674" s="7">
        <v>120</v>
      </c>
      <c r="O674" s="7">
        <v>41</v>
      </c>
      <c r="P674" s="7">
        <v>125</v>
      </c>
    </row>
    <row r="675" spans="1:16" s="10" customFormat="1">
      <c r="A675" s="7">
        <f>IF(B675="","",SUBTOTAL(103,$B$2:B675))</f>
        <v>674</v>
      </c>
      <c r="B675" s="8" t="s">
        <v>1907</v>
      </c>
      <c r="C675" s="7" t="s">
        <v>1842</v>
      </c>
      <c r="D675" s="9" t="s">
        <v>1966</v>
      </c>
      <c r="E675" s="7" t="s">
        <v>1909</v>
      </c>
      <c r="F675" s="7" t="s">
        <v>1056</v>
      </c>
      <c r="G675" s="7" t="s">
        <v>1967</v>
      </c>
      <c r="H675" s="7">
        <v>0.08</v>
      </c>
      <c r="I675" s="7">
        <v>48</v>
      </c>
      <c r="J675" s="7">
        <v>800</v>
      </c>
      <c r="K675" s="7">
        <v>600</v>
      </c>
      <c r="L675" s="7">
        <v>150</v>
      </c>
      <c r="M675" s="7">
        <v>30</v>
      </c>
      <c r="N675" s="7">
        <v>120</v>
      </c>
      <c r="O675" s="7">
        <v>41</v>
      </c>
      <c r="P675" s="7">
        <v>125</v>
      </c>
    </row>
    <row r="676" spans="1:16" s="10" customFormat="1">
      <c r="A676" s="7">
        <f>IF(B676="","",SUBTOTAL(103,$B$2:B676))</f>
        <v>675</v>
      </c>
      <c r="B676" s="8" t="s">
        <v>1907</v>
      </c>
      <c r="C676" s="7" t="s">
        <v>1968</v>
      </c>
      <c r="D676" s="9" t="s">
        <v>1969</v>
      </c>
      <c r="E676" s="7" t="s">
        <v>1909</v>
      </c>
      <c r="F676" s="7" t="s">
        <v>1970</v>
      </c>
      <c r="G676" s="7" t="s">
        <v>1971</v>
      </c>
      <c r="H676" s="7">
        <v>4.21</v>
      </c>
      <c r="I676" s="7">
        <v>1</v>
      </c>
      <c r="J676" s="7">
        <v>800</v>
      </c>
      <c r="K676" s="7">
        <v>600</v>
      </c>
      <c r="L676" s="7">
        <v>150</v>
      </c>
      <c r="M676" s="7">
        <v>30</v>
      </c>
      <c r="N676" s="7">
        <v>120</v>
      </c>
      <c r="O676" s="7">
        <v>2000</v>
      </c>
      <c r="P676" s="7">
        <v>2050</v>
      </c>
    </row>
    <row r="677" spans="1:16" s="10" customFormat="1">
      <c r="A677" s="7">
        <f>IF(B677="","",SUBTOTAL(103,$B$2:B677))</f>
        <v>676</v>
      </c>
      <c r="B677" s="8" t="s">
        <v>1907</v>
      </c>
      <c r="C677" s="7" t="s">
        <v>1968</v>
      </c>
      <c r="D677" s="9" t="s">
        <v>1972</v>
      </c>
      <c r="E677" s="7" t="s">
        <v>1909</v>
      </c>
      <c r="F677" s="7" t="s">
        <v>1060</v>
      </c>
      <c r="G677" s="7" t="s">
        <v>1973</v>
      </c>
      <c r="H677" s="7">
        <v>4.21</v>
      </c>
      <c r="I677" s="7">
        <v>1</v>
      </c>
      <c r="J677" s="7">
        <v>800</v>
      </c>
      <c r="K677" s="7">
        <v>600</v>
      </c>
      <c r="L677" s="7">
        <v>150</v>
      </c>
      <c r="M677" s="7">
        <v>30</v>
      </c>
      <c r="N677" s="7">
        <v>120</v>
      </c>
      <c r="O677" s="7">
        <v>2000</v>
      </c>
      <c r="P677" s="7">
        <v>2050</v>
      </c>
    </row>
    <row r="678" spans="1:16" s="10" customFormat="1">
      <c r="A678" s="7">
        <f>IF(B678="","",SUBTOTAL(103,$B$2:B678))</f>
        <v>677</v>
      </c>
      <c r="B678" s="8" t="s">
        <v>1907</v>
      </c>
      <c r="C678" s="7" t="s">
        <v>1968</v>
      </c>
      <c r="D678" s="9" t="s">
        <v>1974</v>
      </c>
      <c r="E678" s="7" t="s">
        <v>1975</v>
      </c>
      <c r="F678" s="7" t="s">
        <v>1060</v>
      </c>
      <c r="G678" s="7" t="s">
        <v>1976</v>
      </c>
      <c r="H678" s="7">
        <v>4.21</v>
      </c>
      <c r="I678" s="7">
        <v>1</v>
      </c>
      <c r="J678" s="7">
        <v>800</v>
      </c>
      <c r="K678" s="7">
        <v>600</v>
      </c>
      <c r="L678" s="7">
        <v>150</v>
      </c>
      <c r="M678" s="7">
        <v>30</v>
      </c>
      <c r="N678" s="7">
        <v>120</v>
      </c>
      <c r="O678" s="7">
        <v>2000</v>
      </c>
      <c r="P678" s="7">
        <v>2050</v>
      </c>
    </row>
    <row r="679" spans="1:16" s="10" customFormat="1">
      <c r="A679" s="7">
        <f>IF(B679="","",SUBTOTAL(103,$B$2:B679))</f>
        <v>678</v>
      </c>
      <c r="B679" s="8" t="s">
        <v>1977</v>
      </c>
      <c r="C679" s="7" t="s">
        <v>1978</v>
      </c>
      <c r="D679" s="9" t="s">
        <v>1979</v>
      </c>
      <c r="E679" s="7" t="s">
        <v>1980</v>
      </c>
      <c r="F679" s="7" t="s">
        <v>1148</v>
      </c>
      <c r="G679" s="7" t="s">
        <v>1981</v>
      </c>
      <c r="H679" s="7">
        <v>0.214</v>
      </c>
      <c r="I679" s="7">
        <v>24</v>
      </c>
      <c r="J679" s="7">
        <v>800</v>
      </c>
      <c r="K679" s="7">
        <v>600</v>
      </c>
      <c r="L679" s="7">
        <v>150</v>
      </c>
      <c r="M679" s="7">
        <v>30</v>
      </c>
      <c r="N679" s="7">
        <v>120</v>
      </c>
      <c r="O679" s="7">
        <v>75</v>
      </c>
      <c r="P679" s="7">
        <v>130</v>
      </c>
    </row>
    <row r="680" spans="1:16" s="10" customFormat="1">
      <c r="A680" s="7">
        <f>IF(B680="","",SUBTOTAL(103,$B$2:B680))</f>
        <v>679</v>
      </c>
      <c r="B680" s="8" t="s">
        <v>1977</v>
      </c>
      <c r="C680" s="7" t="s">
        <v>1978</v>
      </c>
      <c r="D680" s="9" t="s">
        <v>1982</v>
      </c>
      <c r="E680" s="7" t="s">
        <v>1980</v>
      </c>
      <c r="F680" s="7" t="s">
        <v>1151</v>
      </c>
      <c r="G680" s="7" t="s">
        <v>1983</v>
      </c>
      <c r="H680" s="7">
        <v>0.214</v>
      </c>
      <c r="I680" s="7">
        <v>24</v>
      </c>
      <c r="J680" s="7">
        <v>800</v>
      </c>
      <c r="K680" s="7">
        <v>600</v>
      </c>
      <c r="L680" s="7">
        <v>150</v>
      </c>
      <c r="M680" s="7">
        <v>30</v>
      </c>
      <c r="N680" s="7">
        <v>120</v>
      </c>
      <c r="O680" s="7">
        <v>75</v>
      </c>
      <c r="P680" s="7">
        <v>130</v>
      </c>
    </row>
    <row r="681" spans="1:16" s="10" customFormat="1">
      <c r="A681" s="7">
        <f>IF(B681="","",SUBTOTAL(103,$B$2:B681))</f>
        <v>680</v>
      </c>
      <c r="B681" s="8" t="s">
        <v>1977</v>
      </c>
      <c r="C681" s="7" t="s">
        <v>1984</v>
      </c>
      <c r="D681" s="9" t="s">
        <v>1985</v>
      </c>
      <c r="E681" s="7" t="s">
        <v>1980</v>
      </c>
      <c r="F681" s="7" t="s">
        <v>1162</v>
      </c>
      <c r="G681" s="7" t="s">
        <v>1986</v>
      </c>
      <c r="H681" s="7">
        <v>0.32500000000000001</v>
      </c>
      <c r="I681" s="7">
        <v>24</v>
      </c>
      <c r="J681" s="7">
        <v>800</v>
      </c>
      <c r="K681" s="7">
        <v>600</v>
      </c>
      <c r="L681" s="7">
        <v>150</v>
      </c>
      <c r="M681" s="7">
        <v>30</v>
      </c>
      <c r="N681" s="7">
        <v>120</v>
      </c>
      <c r="O681" s="7">
        <v>75</v>
      </c>
      <c r="P681" s="7">
        <v>130</v>
      </c>
    </row>
    <row r="682" spans="1:16" s="10" customFormat="1">
      <c r="A682" s="7">
        <f>IF(B682="","",SUBTOTAL(103,$B$2:B682))</f>
        <v>681</v>
      </c>
      <c r="B682" s="8" t="s">
        <v>1977</v>
      </c>
      <c r="C682" s="7" t="s">
        <v>1984</v>
      </c>
      <c r="D682" s="9" t="s">
        <v>1987</v>
      </c>
      <c r="E682" s="7" t="s">
        <v>1980</v>
      </c>
      <c r="F682" s="7" t="s">
        <v>1165</v>
      </c>
      <c r="G682" s="7" t="s">
        <v>1988</v>
      </c>
      <c r="H682" s="7">
        <v>0.309</v>
      </c>
      <c r="I682" s="7">
        <v>24</v>
      </c>
      <c r="J682" s="7">
        <v>800</v>
      </c>
      <c r="K682" s="7">
        <v>600</v>
      </c>
      <c r="L682" s="7">
        <v>150</v>
      </c>
      <c r="M682" s="7">
        <v>30</v>
      </c>
      <c r="N682" s="7">
        <v>120</v>
      </c>
      <c r="O682" s="7">
        <v>75</v>
      </c>
      <c r="P682" s="7">
        <v>130</v>
      </c>
    </row>
    <row r="683" spans="1:16" s="10" customFormat="1">
      <c r="A683" s="7">
        <f>IF(B683="","",SUBTOTAL(103,$B$2:B683))</f>
        <v>682</v>
      </c>
      <c r="B683" s="8" t="s">
        <v>1977</v>
      </c>
      <c r="C683" s="7" t="s">
        <v>1989</v>
      </c>
      <c r="D683" s="9" t="s">
        <v>1990</v>
      </c>
      <c r="E683" s="7" t="s">
        <v>1980</v>
      </c>
      <c r="F683" s="7" t="s">
        <v>1176</v>
      </c>
      <c r="G683" s="7" t="s">
        <v>1991</v>
      </c>
      <c r="H683" s="7">
        <v>9.8000000000000004E-2</v>
      </c>
      <c r="I683" s="7">
        <v>32</v>
      </c>
      <c r="J683" s="7">
        <v>800</v>
      </c>
      <c r="K683" s="7">
        <v>600</v>
      </c>
      <c r="L683" s="7">
        <v>150</v>
      </c>
      <c r="M683" s="7">
        <v>30</v>
      </c>
      <c r="N683" s="7">
        <v>120</v>
      </c>
      <c r="O683" s="7">
        <v>54</v>
      </c>
      <c r="P683" s="7">
        <v>120</v>
      </c>
    </row>
    <row r="684" spans="1:16" s="10" customFormat="1">
      <c r="A684" s="7">
        <f>IF(B684="","",SUBTOTAL(103,$B$2:B684))</f>
        <v>683</v>
      </c>
      <c r="B684" s="8" t="s">
        <v>1977</v>
      </c>
      <c r="C684" s="7" t="s">
        <v>1989</v>
      </c>
      <c r="D684" s="9" t="s">
        <v>1992</v>
      </c>
      <c r="E684" s="7" t="s">
        <v>1980</v>
      </c>
      <c r="F684" s="7" t="s">
        <v>1179</v>
      </c>
      <c r="G684" s="7" t="s">
        <v>1993</v>
      </c>
      <c r="H684" s="7">
        <v>9.8000000000000004E-2</v>
      </c>
      <c r="I684" s="7">
        <v>32</v>
      </c>
      <c r="J684" s="7">
        <v>800</v>
      </c>
      <c r="K684" s="7">
        <v>600</v>
      </c>
      <c r="L684" s="7">
        <v>150</v>
      </c>
      <c r="M684" s="7">
        <v>30</v>
      </c>
      <c r="N684" s="7">
        <v>120</v>
      </c>
      <c r="O684" s="7">
        <v>54</v>
      </c>
      <c r="P684" s="7">
        <v>120</v>
      </c>
    </row>
    <row r="685" spans="1:16" s="10" customFormat="1">
      <c r="A685" s="7">
        <f>IF(B685="","",SUBTOTAL(103,$B$2:B685))</f>
        <v>684</v>
      </c>
      <c r="B685" s="8" t="s">
        <v>1977</v>
      </c>
      <c r="C685" s="7" t="s">
        <v>1994</v>
      </c>
      <c r="D685" s="9" t="s">
        <v>1995</v>
      </c>
      <c r="E685" s="7" t="s">
        <v>1980</v>
      </c>
      <c r="F685" s="7" t="s">
        <v>1190</v>
      </c>
      <c r="G685" s="7" t="s">
        <v>1996</v>
      </c>
      <c r="H685" s="7">
        <v>0.111</v>
      </c>
      <c r="I685" s="7">
        <v>32</v>
      </c>
      <c r="J685" s="7">
        <v>800</v>
      </c>
      <c r="K685" s="7">
        <v>600</v>
      </c>
      <c r="L685" s="7">
        <v>150</v>
      </c>
      <c r="M685" s="7">
        <v>30</v>
      </c>
      <c r="N685" s="7">
        <v>120</v>
      </c>
      <c r="O685" s="7">
        <v>54</v>
      </c>
      <c r="P685" s="7">
        <v>120</v>
      </c>
    </row>
    <row r="686" spans="1:16" s="10" customFormat="1">
      <c r="A686" s="7">
        <f>IF(B686="","",SUBTOTAL(103,$B$2:B686))</f>
        <v>685</v>
      </c>
      <c r="B686" s="8" t="s">
        <v>1977</v>
      </c>
      <c r="C686" s="7" t="s">
        <v>1994</v>
      </c>
      <c r="D686" s="9" t="s">
        <v>1997</v>
      </c>
      <c r="E686" s="7" t="s">
        <v>1980</v>
      </c>
      <c r="F686" s="7" t="s">
        <v>1193</v>
      </c>
      <c r="G686" s="7" t="s">
        <v>1998</v>
      </c>
      <c r="H686" s="7">
        <v>0.111</v>
      </c>
      <c r="I686" s="7">
        <v>32</v>
      </c>
      <c r="J686" s="7">
        <v>800</v>
      </c>
      <c r="K686" s="7">
        <v>600</v>
      </c>
      <c r="L686" s="7">
        <v>150</v>
      </c>
      <c r="M686" s="7">
        <v>30</v>
      </c>
      <c r="N686" s="7">
        <v>120</v>
      </c>
      <c r="O686" s="7">
        <v>54</v>
      </c>
      <c r="P686" s="7">
        <v>120</v>
      </c>
    </row>
    <row r="687" spans="1:16" s="10" customFormat="1">
      <c r="A687" s="7">
        <f>IF(B687="","",SUBTOTAL(103,$B$2:B687))</f>
        <v>686</v>
      </c>
      <c r="B687" s="8" t="s">
        <v>1977</v>
      </c>
      <c r="C687" s="7" t="s">
        <v>1999</v>
      </c>
      <c r="D687" s="9" t="s">
        <v>2000</v>
      </c>
      <c r="E687" s="7" t="s">
        <v>1980</v>
      </c>
      <c r="F687" s="7" t="s">
        <v>1197</v>
      </c>
      <c r="G687" s="7" t="s">
        <v>2001</v>
      </c>
      <c r="H687" s="7">
        <v>6.8000000000000005E-2</v>
      </c>
      <c r="I687" s="7">
        <v>58</v>
      </c>
      <c r="J687" s="7">
        <v>800</v>
      </c>
      <c r="K687" s="7">
        <v>600</v>
      </c>
      <c r="L687" s="7">
        <v>150</v>
      </c>
      <c r="M687" s="7">
        <v>30</v>
      </c>
      <c r="N687" s="7">
        <v>120</v>
      </c>
      <c r="O687" s="7">
        <v>34</v>
      </c>
      <c r="P687" s="7">
        <v>150</v>
      </c>
    </row>
    <row r="688" spans="1:16" s="10" customFormat="1">
      <c r="A688" s="7">
        <f>IF(B688="","",SUBTOTAL(103,$B$2:B688))</f>
        <v>687</v>
      </c>
      <c r="B688" s="8" t="s">
        <v>1977</v>
      </c>
      <c r="C688" s="7" t="s">
        <v>1999</v>
      </c>
      <c r="D688" s="9" t="s">
        <v>2002</v>
      </c>
      <c r="E688" s="7" t="s">
        <v>1980</v>
      </c>
      <c r="F688" s="7" t="s">
        <v>1200</v>
      </c>
      <c r="G688" s="7" t="s">
        <v>2003</v>
      </c>
      <c r="H688" s="7">
        <v>6.8000000000000005E-2</v>
      </c>
      <c r="I688" s="7">
        <v>58</v>
      </c>
      <c r="J688" s="7">
        <v>800</v>
      </c>
      <c r="K688" s="7">
        <v>600</v>
      </c>
      <c r="L688" s="7">
        <v>150</v>
      </c>
      <c r="M688" s="7">
        <v>30</v>
      </c>
      <c r="N688" s="7">
        <v>120</v>
      </c>
      <c r="O688" s="7">
        <v>34</v>
      </c>
      <c r="P688" s="7">
        <v>150</v>
      </c>
    </row>
    <row r="689" spans="1:16" s="10" customFormat="1">
      <c r="A689" s="7">
        <f>IF(B689="","",SUBTOTAL(103,$B$2:B689))</f>
        <v>688</v>
      </c>
      <c r="B689" s="8" t="s">
        <v>1977</v>
      </c>
      <c r="C689" s="7" t="s">
        <v>2004</v>
      </c>
      <c r="D689" s="9" t="s">
        <v>2005</v>
      </c>
      <c r="E689" s="7" t="s">
        <v>1980</v>
      </c>
      <c r="F689" s="7" t="s">
        <v>1204</v>
      </c>
      <c r="G689" s="7" t="s">
        <v>2006</v>
      </c>
      <c r="H689" s="7">
        <v>0.47</v>
      </c>
      <c r="I689" s="7">
        <v>18</v>
      </c>
      <c r="J689" s="7">
        <v>800</v>
      </c>
      <c r="K689" s="7">
        <v>600</v>
      </c>
      <c r="L689" s="7">
        <v>150</v>
      </c>
      <c r="M689" s="7">
        <v>30</v>
      </c>
      <c r="N689" s="7">
        <v>120</v>
      </c>
      <c r="O689" s="7">
        <v>100</v>
      </c>
      <c r="P689" s="7">
        <v>150</v>
      </c>
    </row>
    <row r="690" spans="1:16" s="10" customFormat="1">
      <c r="A690" s="7">
        <f>IF(B690="","",SUBTOTAL(103,$B$2:B690))</f>
        <v>689</v>
      </c>
      <c r="B690" s="8" t="s">
        <v>1977</v>
      </c>
      <c r="C690" s="7" t="s">
        <v>2004</v>
      </c>
      <c r="D690" s="9" t="s">
        <v>2007</v>
      </c>
      <c r="E690" s="7" t="s">
        <v>1980</v>
      </c>
      <c r="F690" s="7" t="s">
        <v>1207</v>
      </c>
      <c r="G690" s="7" t="s">
        <v>2008</v>
      </c>
      <c r="H690" s="7">
        <v>0.47</v>
      </c>
      <c r="I690" s="7">
        <v>18</v>
      </c>
      <c r="J690" s="7">
        <v>800</v>
      </c>
      <c r="K690" s="7">
        <v>600</v>
      </c>
      <c r="L690" s="7">
        <v>150</v>
      </c>
      <c r="M690" s="7">
        <v>30</v>
      </c>
      <c r="N690" s="7">
        <v>120</v>
      </c>
      <c r="O690" s="7">
        <v>100</v>
      </c>
      <c r="P690" s="7">
        <v>150</v>
      </c>
    </row>
    <row r="691" spans="1:16" s="10" customFormat="1">
      <c r="A691" s="7">
        <f>IF(B691="","",SUBTOTAL(103,$B$2:B691))</f>
        <v>690</v>
      </c>
      <c r="B691" s="8" t="s">
        <v>1977</v>
      </c>
      <c r="C691" s="7" t="s">
        <v>2009</v>
      </c>
      <c r="D691" s="9" t="s">
        <v>2010</v>
      </c>
      <c r="E691" s="7" t="s">
        <v>1980</v>
      </c>
      <c r="F691" s="7" t="s">
        <v>1211</v>
      </c>
      <c r="G691" s="7" t="s">
        <v>2011</v>
      </c>
      <c r="H691" s="7">
        <v>0.53600000000000003</v>
      </c>
      <c r="I691" s="7">
        <v>8</v>
      </c>
      <c r="J691" s="7">
        <v>800</v>
      </c>
      <c r="K691" s="7">
        <v>600</v>
      </c>
      <c r="L691" s="7">
        <v>150</v>
      </c>
      <c r="M691" s="7">
        <v>30</v>
      </c>
      <c r="N691" s="7"/>
      <c r="O691" s="7">
        <v>225</v>
      </c>
      <c r="P691" s="7">
        <v>250</v>
      </c>
    </row>
    <row r="692" spans="1:16" s="10" customFormat="1">
      <c r="A692" s="7">
        <f>IF(B692="","",SUBTOTAL(103,$B$2:B692))</f>
        <v>691</v>
      </c>
      <c r="B692" s="8" t="s">
        <v>1977</v>
      </c>
      <c r="C692" s="7" t="s">
        <v>2009</v>
      </c>
      <c r="D692" s="9" t="s">
        <v>2012</v>
      </c>
      <c r="E692" s="7" t="s">
        <v>1980</v>
      </c>
      <c r="F692" s="7" t="s">
        <v>1214</v>
      </c>
      <c r="G692" s="7" t="s">
        <v>2013</v>
      </c>
      <c r="H692" s="7">
        <v>0.53600000000000003</v>
      </c>
      <c r="I692" s="7">
        <v>8</v>
      </c>
      <c r="J692" s="7">
        <v>800</v>
      </c>
      <c r="K692" s="7">
        <v>600</v>
      </c>
      <c r="L692" s="7">
        <v>150</v>
      </c>
      <c r="M692" s="7">
        <v>30</v>
      </c>
      <c r="N692" s="7"/>
      <c r="O692" s="7">
        <v>225</v>
      </c>
      <c r="P692" s="7">
        <v>250</v>
      </c>
    </row>
    <row r="693" spans="1:16" s="10" customFormat="1">
      <c r="A693" s="7">
        <f>IF(B693="","",SUBTOTAL(103,$B$2:B693))</f>
        <v>692</v>
      </c>
      <c r="B693" s="8" t="s">
        <v>1977</v>
      </c>
      <c r="C693" s="7" t="s">
        <v>2014</v>
      </c>
      <c r="D693" s="9" t="s">
        <v>2015</v>
      </c>
      <c r="E693" s="7" t="s">
        <v>1980</v>
      </c>
      <c r="F693" s="7" t="s">
        <v>1225</v>
      </c>
      <c r="G693" s="7" t="s">
        <v>2016</v>
      </c>
      <c r="H693" s="7">
        <v>0.40300000000000002</v>
      </c>
      <c r="I693" s="7">
        <v>18</v>
      </c>
      <c r="J693" s="7">
        <v>800</v>
      </c>
      <c r="K693" s="7">
        <v>600</v>
      </c>
      <c r="L693" s="7">
        <v>150</v>
      </c>
      <c r="M693" s="7">
        <v>30</v>
      </c>
      <c r="N693" s="7">
        <v>120</v>
      </c>
      <c r="O693" s="7">
        <v>100</v>
      </c>
      <c r="P693" s="7">
        <v>130</v>
      </c>
    </row>
    <row r="694" spans="1:16" s="10" customFormat="1">
      <c r="A694" s="7">
        <f>IF(B694="","",SUBTOTAL(103,$B$2:B694))</f>
        <v>693</v>
      </c>
      <c r="B694" s="8" t="s">
        <v>1977</v>
      </c>
      <c r="C694" s="7" t="s">
        <v>2014</v>
      </c>
      <c r="D694" s="9" t="s">
        <v>2017</v>
      </c>
      <c r="E694" s="7" t="s">
        <v>1980</v>
      </c>
      <c r="F694" s="7" t="s">
        <v>1228</v>
      </c>
      <c r="G694" s="7" t="s">
        <v>2018</v>
      </c>
      <c r="H694" s="7">
        <v>0.40300000000000002</v>
      </c>
      <c r="I694" s="7">
        <v>18</v>
      </c>
      <c r="J694" s="7">
        <v>800</v>
      </c>
      <c r="K694" s="7">
        <v>600</v>
      </c>
      <c r="L694" s="7">
        <v>150</v>
      </c>
      <c r="M694" s="7">
        <v>30</v>
      </c>
      <c r="N694" s="7">
        <v>120</v>
      </c>
      <c r="O694" s="7">
        <v>100</v>
      </c>
      <c r="P694" s="7">
        <v>130</v>
      </c>
    </row>
    <row r="695" spans="1:16" s="10" customFormat="1">
      <c r="A695" s="7">
        <f>IF(B695="","",SUBTOTAL(103,$B$2:B695))</f>
        <v>694</v>
      </c>
      <c r="B695" s="8" t="s">
        <v>1977</v>
      </c>
      <c r="C695" s="7" t="s">
        <v>2019</v>
      </c>
      <c r="D695" s="9" t="s">
        <v>2020</v>
      </c>
      <c r="E695" s="7" t="s">
        <v>1980</v>
      </c>
      <c r="F695" s="7" t="s">
        <v>1232</v>
      </c>
      <c r="G695" s="7" t="s">
        <v>2021</v>
      </c>
      <c r="H695" s="7">
        <v>0.32500000000000001</v>
      </c>
      <c r="I695" s="7">
        <v>10</v>
      </c>
      <c r="J695" s="7">
        <v>800</v>
      </c>
      <c r="K695" s="7">
        <v>600</v>
      </c>
      <c r="L695" s="7">
        <v>150</v>
      </c>
      <c r="M695" s="7">
        <v>30</v>
      </c>
      <c r="N695" s="7">
        <v>120</v>
      </c>
      <c r="O695" s="7">
        <v>195</v>
      </c>
      <c r="P695" s="7">
        <v>300</v>
      </c>
    </row>
    <row r="696" spans="1:16" s="10" customFormat="1">
      <c r="A696" s="7">
        <f>IF(B696="","",SUBTOTAL(103,$B$2:B696))</f>
        <v>695</v>
      </c>
      <c r="B696" s="8" t="s">
        <v>1977</v>
      </c>
      <c r="C696" s="7" t="s">
        <v>2019</v>
      </c>
      <c r="D696" s="9" t="s">
        <v>2022</v>
      </c>
      <c r="E696" s="7" t="s">
        <v>1980</v>
      </c>
      <c r="F696" s="7" t="s">
        <v>1235</v>
      </c>
      <c r="G696" s="7" t="s">
        <v>2023</v>
      </c>
      <c r="H696" s="7">
        <v>0.32500000000000001</v>
      </c>
      <c r="I696" s="7">
        <v>10</v>
      </c>
      <c r="J696" s="7">
        <v>800</v>
      </c>
      <c r="K696" s="7">
        <v>600</v>
      </c>
      <c r="L696" s="7">
        <v>150</v>
      </c>
      <c r="M696" s="7">
        <v>30</v>
      </c>
      <c r="N696" s="7">
        <v>120</v>
      </c>
      <c r="O696" s="7">
        <v>195</v>
      </c>
      <c r="P696" s="7">
        <v>300</v>
      </c>
    </row>
    <row r="697" spans="1:16" s="10" customFormat="1">
      <c r="A697" s="7">
        <f>IF(B697="","",SUBTOTAL(103,$B$2:B697))</f>
        <v>696</v>
      </c>
      <c r="B697" s="8" t="s">
        <v>1977</v>
      </c>
      <c r="C697" s="7" t="s">
        <v>2024</v>
      </c>
      <c r="D697" s="9" t="s">
        <v>2025</v>
      </c>
      <c r="E697" s="7" t="s">
        <v>1980</v>
      </c>
      <c r="F697" s="7" t="s">
        <v>1246</v>
      </c>
      <c r="G697" s="7" t="s">
        <v>2026</v>
      </c>
      <c r="H697" s="7">
        <v>0.76900000000000002</v>
      </c>
      <c r="I697" s="7">
        <v>6</v>
      </c>
      <c r="J697" s="7">
        <v>800</v>
      </c>
      <c r="K697" s="7">
        <v>600</v>
      </c>
      <c r="L697" s="7">
        <v>150</v>
      </c>
      <c r="M697" s="7">
        <v>30</v>
      </c>
      <c r="N697" s="7">
        <v>120</v>
      </c>
      <c r="O697" s="7">
        <v>310</v>
      </c>
      <c r="P697" s="7">
        <v>350</v>
      </c>
    </row>
    <row r="698" spans="1:16" s="10" customFormat="1">
      <c r="A698" s="7">
        <f>IF(B698="","",SUBTOTAL(103,$B$2:B698))</f>
        <v>697</v>
      </c>
      <c r="B698" s="8" t="s">
        <v>1977</v>
      </c>
      <c r="C698" s="7" t="s">
        <v>2024</v>
      </c>
      <c r="D698" s="9" t="s">
        <v>2027</v>
      </c>
      <c r="E698" s="7" t="s">
        <v>1980</v>
      </c>
      <c r="F698" s="7" t="s">
        <v>1249</v>
      </c>
      <c r="G698" s="7" t="s">
        <v>2028</v>
      </c>
      <c r="H698" s="7">
        <v>0.76900000000000002</v>
      </c>
      <c r="I698" s="7">
        <v>6</v>
      </c>
      <c r="J698" s="7">
        <v>800</v>
      </c>
      <c r="K698" s="7">
        <v>600</v>
      </c>
      <c r="L698" s="7">
        <v>150</v>
      </c>
      <c r="M698" s="7">
        <v>30</v>
      </c>
      <c r="N698" s="7">
        <v>120</v>
      </c>
      <c r="O698" s="7">
        <v>310</v>
      </c>
      <c r="P698" s="7">
        <v>350</v>
      </c>
    </row>
    <row r="699" spans="1:16" s="10" customFormat="1">
      <c r="A699" s="7">
        <f>IF(B699="","",SUBTOTAL(103,$B$2:B699))</f>
        <v>698</v>
      </c>
      <c r="B699" s="8" t="s">
        <v>1977</v>
      </c>
      <c r="C699" s="7" t="s">
        <v>2029</v>
      </c>
      <c r="D699" s="9" t="s">
        <v>2030</v>
      </c>
      <c r="E699" s="7" t="s">
        <v>1980</v>
      </c>
      <c r="F699" s="7" t="s">
        <v>1253</v>
      </c>
      <c r="G699" s="7" t="s">
        <v>2031</v>
      </c>
      <c r="H699" s="7">
        <v>0.71799999999999997</v>
      </c>
      <c r="I699" s="7">
        <v>3</v>
      </c>
      <c r="J699" s="7">
        <v>800</v>
      </c>
      <c r="K699" s="7">
        <v>600</v>
      </c>
      <c r="L699" s="7">
        <v>150</v>
      </c>
      <c r="M699" s="7">
        <v>30</v>
      </c>
      <c r="N699" s="7">
        <v>120</v>
      </c>
      <c r="O699" s="7">
        <v>650</v>
      </c>
      <c r="P699" s="7">
        <v>675</v>
      </c>
    </row>
    <row r="700" spans="1:16" s="10" customFormat="1">
      <c r="A700" s="7">
        <f>IF(B700="","",SUBTOTAL(103,$B$2:B700))</f>
        <v>699</v>
      </c>
      <c r="B700" s="8" t="s">
        <v>1977</v>
      </c>
      <c r="C700" s="7" t="s">
        <v>2029</v>
      </c>
      <c r="D700" s="9" t="s">
        <v>2032</v>
      </c>
      <c r="E700" s="7" t="s">
        <v>1980</v>
      </c>
      <c r="F700" s="7" t="s">
        <v>1256</v>
      </c>
      <c r="G700" s="7" t="s">
        <v>2033</v>
      </c>
      <c r="H700" s="7">
        <v>0.71799999999999997</v>
      </c>
      <c r="I700" s="7">
        <v>3</v>
      </c>
      <c r="J700" s="7">
        <v>800</v>
      </c>
      <c r="K700" s="7">
        <v>600</v>
      </c>
      <c r="L700" s="7">
        <v>150</v>
      </c>
      <c r="M700" s="7">
        <v>30</v>
      </c>
      <c r="N700" s="7">
        <v>120</v>
      </c>
      <c r="O700" s="7">
        <v>650</v>
      </c>
      <c r="P700" s="7">
        <v>675</v>
      </c>
    </row>
    <row r="701" spans="1:16" s="10" customFormat="1">
      <c r="A701" s="7">
        <f>IF(B701="","",SUBTOTAL(103,$B$2:B701))</f>
        <v>700</v>
      </c>
      <c r="B701" s="8" t="s">
        <v>1977</v>
      </c>
      <c r="C701" s="7" t="s">
        <v>2034</v>
      </c>
      <c r="D701" s="9" t="s">
        <v>2035</v>
      </c>
      <c r="E701" s="7" t="s">
        <v>1980</v>
      </c>
      <c r="F701" s="7" t="s">
        <v>1260</v>
      </c>
      <c r="G701" s="7" t="s">
        <v>2036</v>
      </c>
      <c r="H701" s="7">
        <v>0.186</v>
      </c>
      <c r="I701" s="7">
        <v>18</v>
      </c>
      <c r="J701" s="7">
        <v>800</v>
      </c>
      <c r="K701" s="7">
        <v>600</v>
      </c>
      <c r="L701" s="7">
        <v>150</v>
      </c>
      <c r="M701" s="7">
        <v>30</v>
      </c>
      <c r="N701" s="7">
        <v>120</v>
      </c>
      <c r="O701" s="7">
        <v>100</v>
      </c>
      <c r="P701" s="7">
        <v>130</v>
      </c>
    </row>
    <row r="702" spans="1:16" s="10" customFormat="1">
      <c r="A702" s="7">
        <f>IF(B702="","",SUBTOTAL(103,$B$2:B702))</f>
        <v>701</v>
      </c>
      <c r="B702" s="8" t="s">
        <v>1977</v>
      </c>
      <c r="C702" s="7" t="s">
        <v>2034</v>
      </c>
      <c r="D702" s="9" t="s">
        <v>2037</v>
      </c>
      <c r="E702" s="7" t="s">
        <v>1980</v>
      </c>
      <c r="F702" s="7" t="s">
        <v>1263</v>
      </c>
      <c r="G702" s="7" t="s">
        <v>2038</v>
      </c>
      <c r="H702" s="7">
        <v>0.186</v>
      </c>
      <c r="I702" s="7">
        <v>18</v>
      </c>
      <c r="J702" s="7">
        <v>800</v>
      </c>
      <c r="K702" s="7">
        <v>600</v>
      </c>
      <c r="L702" s="7">
        <v>150</v>
      </c>
      <c r="M702" s="7">
        <v>30</v>
      </c>
      <c r="N702" s="7">
        <v>120</v>
      </c>
      <c r="O702" s="7">
        <v>100</v>
      </c>
      <c r="P702" s="7">
        <v>130</v>
      </c>
    </row>
    <row r="703" spans="1:16" s="10" customFormat="1">
      <c r="A703" s="7">
        <f>IF(B703="","",SUBTOTAL(103,$B$2:B703))</f>
        <v>702</v>
      </c>
      <c r="B703" s="8" t="s">
        <v>1977</v>
      </c>
      <c r="C703" s="7" t="s">
        <v>2039</v>
      </c>
      <c r="D703" s="9" t="s">
        <v>2040</v>
      </c>
      <c r="E703" s="7" t="s">
        <v>1980</v>
      </c>
      <c r="F703" s="7" t="s">
        <v>1274</v>
      </c>
      <c r="G703" s="7" t="s">
        <v>2041</v>
      </c>
      <c r="H703" s="7">
        <v>0.14299999999999999</v>
      </c>
      <c r="I703" s="7">
        <v>18</v>
      </c>
      <c r="J703" s="7">
        <v>800</v>
      </c>
      <c r="K703" s="7">
        <v>600</v>
      </c>
      <c r="L703" s="7">
        <v>150</v>
      </c>
      <c r="M703" s="7">
        <v>30</v>
      </c>
      <c r="N703" s="7">
        <v>120</v>
      </c>
      <c r="O703" s="7">
        <v>100</v>
      </c>
      <c r="P703" s="7">
        <v>130</v>
      </c>
    </row>
    <row r="704" spans="1:16" s="10" customFormat="1">
      <c r="A704" s="7">
        <f>IF(B704="","",SUBTOTAL(103,$B$2:B704))</f>
        <v>703</v>
      </c>
      <c r="B704" s="8" t="s">
        <v>1977</v>
      </c>
      <c r="C704" s="7" t="s">
        <v>2042</v>
      </c>
      <c r="D704" s="9" t="s">
        <v>2043</v>
      </c>
      <c r="E704" s="7" t="s">
        <v>1980</v>
      </c>
      <c r="F704" s="7" t="s">
        <v>1281</v>
      </c>
      <c r="G704" s="7" t="s">
        <v>2044</v>
      </c>
      <c r="H704" s="7">
        <v>8.1000000000000003E-2</v>
      </c>
      <c r="I704" s="7">
        <v>58</v>
      </c>
      <c r="J704" s="7">
        <v>800</v>
      </c>
      <c r="K704" s="7">
        <v>600</v>
      </c>
      <c r="L704" s="7">
        <v>150</v>
      </c>
      <c r="M704" s="7">
        <v>30</v>
      </c>
      <c r="N704" s="7">
        <v>120</v>
      </c>
      <c r="O704" s="7">
        <v>34</v>
      </c>
      <c r="P704" s="7">
        <v>100</v>
      </c>
    </row>
    <row r="705" spans="1:16" s="10" customFormat="1">
      <c r="A705" s="7">
        <f>IF(B705="","",SUBTOTAL(103,$B$2:B705))</f>
        <v>704</v>
      </c>
      <c r="B705" s="8" t="s">
        <v>1977</v>
      </c>
      <c r="C705" s="7" t="s">
        <v>2042</v>
      </c>
      <c r="D705" s="9" t="s">
        <v>2045</v>
      </c>
      <c r="E705" s="7" t="s">
        <v>1980</v>
      </c>
      <c r="F705" s="7" t="s">
        <v>1284</v>
      </c>
      <c r="G705" s="7" t="s">
        <v>2046</v>
      </c>
      <c r="H705" s="7">
        <v>8.1000000000000003E-2</v>
      </c>
      <c r="I705" s="7">
        <v>58</v>
      </c>
      <c r="J705" s="7">
        <v>800</v>
      </c>
      <c r="K705" s="7">
        <v>600</v>
      </c>
      <c r="L705" s="7">
        <v>150</v>
      </c>
      <c r="M705" s="7">
        <v>30</v>
      </c>
      <c r="N705" s="7">
        <v>120</v>
      </c>
      <c r="O705" s="7">
        <v>34</v>
      </c>
      <c r="P705" s="7">
        <v>100</v>
      </c>
    </row>
    <row r="706" spans="1:16">
      <c r="A706" s="7">
        <f>IF(B706="","",SUBTOTAL(103,$B$2:B706))</f>
        <v>705</v>
      </c>
      <c r="B706" s="8" t="s">
        <v>1977</v>
      </c>
      <c r="C706" s="7" t="s">
        <v>2039</v>
      </c>
      <c r="D706" s="9" t="s">
        <v>2047</v>
      </c>
      <c r="E706" s="7" t="s">
        <v>1980</v>
      </c>
      <c r="F706" s="7" t="s">
        <v>1277</v>
      </c>
      <c r="G706" s="7" t="s">
        <v>2048</v>
      </c>
      <c r="H706" s="7">
        <v>0.14299999999999999</v>
      </c>
      <c r="I706" s="7">
        <v>18</v>
      </c>
      <c r="J706" s="7">
        <v>800</v>
      </c>
      <c r="K706" s="7">
        <v>600</v>
      </c>
      <c r="L706" s="7">
        <v>150</v>
      </c>
      <c r="M706" s="7">
        <v>30</v>
      </c>
      <c r="N706" s="7">
        <v>120</v>
      </c>
      <c r="O706" s="7">
        <v>100</v>
      </c>
      <c r="P706" s="7">
        <v>130</v>
      </c>
    </row>
    <row r="707" spans="1:16" s="10" customFormat="1">
      <c r="A707" s="7">
        <f>IF(B707="","",SUBTOTAL(103,$B$2:B707))</f>
        <v>706</v>
      </c>
      <c r="B707" s="8" t="s">
        <v>2049</v>
      </c>
      <c r="C707" s="7" t="s">
        <v>2050</v>
      </c>
      <c r="D707" s="9" t="s">
        <v>2051</v>
      </c>
      <c r="E707" s="7" t="s">
        <v>2052</v>
      </c>
      <c r="F707" s="7" t="s">
        <v>1303</v>
      </c>
      <c r="G707" s="7" t="s">
        <v>2053</v>
      </c>
      <c r="H707" s="7">
        <v>0.31</v>
      </c>
      <c r="I707" s="7">
        <v>12</v>
      </c>
      <c r="J707" s="7">
        <v>800</v>
      </c>
      <c r="K707" s="7">
        <v>600</v>
      </c>
      <c r="L707" s="7">
        <v>150</v>
      </c>
      <c r="M707" s="7">
        <v>30</v>
      </c>
      <c r="N707" s="7">
        <v>120</v>
      </c>
      <c r="O707" s="7">
        <v>150</v>
      </c>
      <c r="P707" s="7">
        <v>315</v>
      </c>
    </row>
    <row r="708" spans="1:16" s="10" customFormat="1">
      <c r="A708" s="7">
        <f>IF(B708="","",SUBTOTAL(103,$B$2:B708))</f>
        <v>707</v>
      </c>
      <c r="B708" s="8" t="s">
        <v>2049</v>
      </c>
      <c r="C708" s="7" t="s">
        <v>2054</v>
      </c>
      <c r="D708" s="9" t="s">
        <v>2055</v>
      </c>
      <c r="E708" s="7" t="s">
        <v>2052</v>
      </c>
      <c r="F708" s="7" t="s">
        <v>1309</v>
      </c>
      <c r="G708" s="7" t="s">
        <v>2056</v>
      </c>
      <c r="H708" s="7">
        <v>0.122</v>
      </c>
      <c r="I708" s="7">
        <v>32</v>
      </c>
      <c r="J708" s="7">
        <v>800</v>
      </c>
      <c r="K708" s="7">
        <v>600</v>
      </c>
      <c r="L708" s="7">
        <v>150</v>
      </c>
      <c r="M708" s="7">
        <v>30</v>
      </c>
      <c r="N708" s="7">
        <v>120</v>
      </c>
      <c r="O708" s="7">
        <v>54</v>
      </c>
      <c r="P708" s="7">
        <v>235</v>
      </c>
    </row>
    <row r="709" spans="1:16" s="10" customFormat="1">
      <c r="A709" s="7">
        <f>IF(B709="","",SUBTOTAL(103,$B$2:B709))</f>
        <v>708</v>
      </c>
      <c r="B709" s="8" t="s">
        <v>2049</v>
      </c>
      <c r="C709" s="7" t="s">
        <v>1827</v>
      </c>
      <c r="D709" s="9" t="s">
        <v>2057</v>
      </c>
      <c r="E709" s="7" t="s">
        <v>2052</v>
      </c>
      <c r="F709" s="7" t="s">
        <v>1325</v>
      </c>
      <c r="G709" s="7" t="s">
        <v>2058</v>
      </c>
      <c r="H709" s="7">
        <v>0.65100000000000002</v>
      </c>
      <c r="I709" s="7">
        <v>4</v>
      </c>
      <c r="J709" s="7">
        <v>800</v>
      </c>
      <c r="K709" s="7">
        <v>600</v>
      </c>
      <c r="L709" s="7">
        <v>150</v>
      </c>
      <c r="M709" s="7">
        <v>30</v>
      </c>
      <c r="N709" s="7">
        <v>120</v>
      </c>
      <c r="O709" s="7">
        <v>500</v>
      </c>
      <c r="P709" s="7">
        <v>600</v>
      </c>
    </row>
    <row r="710" spans="1:16" s="10" customFormat="1">
      <c r="A710" s="7">
        <f>IF(B710="","",SUBTOTAL(103,$B$2:B710))</f>
        <v>709</v>
      </c>
      <c r="B710" s="8" t="s">
        <v>2049</v>
      </c>
      <c r="C710" s="7" t="s">
        <v>2059</v>
      </c>
      <c r="D710" s="9" t="s">
        <v>2060</v>
      </c>
      <c r="E710" s="7" t="s">
        <v>2052</v>
      </c>
      <c r="F710" s="7" t="s">
        <v>1342</v>
      </c>
      <c r="G710" s="7" t="s">
        <v>2061</v>
      </c>
      <c r="H710" s="7">
        <v>1.0069999999999999</v>
      </c>
      <c r="I710" s="7">
        <v>4</v>
      </c>
      <c r="J710" s="7">
        <v>800</v>
      </c>
      <c r="K710" s="7">
        <v>600</v>
      </c>
      <c r="L710" s="7">
        <v>150</v>
      </c>
      <c r="M710" s="7">
        <v>30</v>
      </c>
      <c r="N710" s="7">
        <v>120</v>
      </c>
      <c r="O710" s="7">
        <v>500</v>
      </c>
      <c r="P710" s="7">
        <v>600</v>
      </c>
    </row>
    <row r="711" spans="1:16" s="10" customFormat="1">
      <c r="A711" s="7">
        <f>IF(B711="","",SUBTOTAL(103,$B$2:B711))</f>
        <v>710</v>
      </c>
      <c r="B711" s="8" t="s">
        <v>2049</v>
      </c>
      <c r="C711" s="7" t="s">
        <v>2062</v>
      </c>
      <c r="D711" s="9" t="s">
        <v>2063</v>
      </c>
      <c r="E711" s="7" t="s">
        <v>2052</v>
      </c>
      <c r="F711" s="7" t="s">
        <v>1348</v>
      </c>
      <c r="G711" s="7" t="s">
        <v>2064</v>
      </c>
      <c r="H711" s="7">
        <v>1.7729999999999999</v>
      </c>
      <c r="I711" s="7">
        <v>2</v>
      </c>
      <c r="J711" s="7">
        <v>800</v>
      </c>
      <c r="K711" s="7">
        <v>600</v>
      </c>
      <c r="L711" s="7">
        <v>150</v>
      </c>
      <c r="M711" s="7">
        <v>30</v>
      </c>
      <c r="N711" s="7">
        <v>120</v>
      </c>
      <c r="O711" s="7">
        <v>1000</v>
      </c>
      <c r="P711" s="7">
        <v>1100</v>
      </c>
    </row>
    <row r="712" spans="1:16" s="10" customFormat="1">
      <c r="A712" s="7">
        <f>IF(B712="","",SUBTOTAL(103,$B$2:B712))</f>
        <v>711</v>
      </c>
      <c r="B712" s="8" t="s">
        <v>2049</v>
      </c>
      <c r="C712" s="7" t="s">
        <v>2065</v>
      </c>
      <c r="D712" s="9" t="s">
        <v>2066</v>
      </c>
      <c r="E712" s="7" t="s">
        <v>2052</v>
      </c>
      <c r="F712" s="7" t="s">
        <v>1360</v>
      </c>
      <c r="G712" s="7" t="s">
        <v>2067</v>
      </c>
      <c r="H712" s="7">
        <v>0.19600000000000001</v>
      </c>
      <c r="I712" s="7">
        <v>12</v>
      </c>
      <c r="J712" s="7">
        <v>800</v>
      </c>
      <c r="K712" s="7">
        <v>600</v>
      </c>
      <c r="L712" s="7">
        <v>150</v>
      </c>
      <c r="M712" s="7">
        <v>30</v>
      </c>
      <c r="N712" s="7">
        <v>120</v>
      </c>
      <c r="O712" s="7">
        <v>150</v>
      </c>
      <c r="P712" s="7">
        <v>265</v>
      </c>
    </row>
    <row r="713" spans="1:16" s="10" customFormat="1">
      <c r="A713" s="7">
        <f>IF(B713="","",SUBTOTAL(103,$B$2:B713))</f>
        <v>712</v>
      </c>
      <c r="B713" s="8" t="s">
        <v>2068</v>
      </c>
      <c r="C713" s="7" t="s">
        <v>2069</v>
      </c>
      <c r="D713" s="9" t="s">
        <v>2070</v>
      </c>
      <c r="E713" s="7" t="s">
        <v>2071</v>
      </c>
      <c r="F713" s="7" t="s">
        <v>1066</v>
      </c>
      <c r="G713" s="7" t="s">
        <v>2072</v>
      </c>
      <c r="H713" s="7">
        <v>0.26500000000000001</v>
      </c>
      <c r="I713" s="7">
        <v>12</v>
      </c>
      <c r="J713" s="7">
        <v>800</v>
      </c>
      <c r="K713" s="7">
        <v>600</v>
      </c>
      <c r="L713" s="7">
        <v>150</v>
      </c>
      <c r="M713" s="7">
        <v>30</v>
      </c>
      <c r="N713" s="7">
        <v>120</v>
      </c>
      <c r="O713" s="7">
        <v>150</v>
      </c>
      <c r="P713" s="7">
        <v>315</v>
      </c>
    </row>
    <row r="714" spans="1:16" s="10" customFormat="1">
      <c r="A714" s="7">
        <f>IF(B714="","",SUBTOTAL(103,$B$2:B714))</f>
        <v>713</v>
      </c>
      <c r="B714" s="8" t="s">
        <v>2068</v>
      </c>
      <c r="C714" s="7" t="s">
        <v>2069</v>
      </c>
      <c r="D714" s="9" t="s">
        <v>2073</v>
      </c>
      <c r="E714" s="7" t="s">
        <v>2071</v>
      </c>
      <c r="F714" s="7" t="s">
        <v>1069</v>
      </c>
      <c r="G714" s="7" t="s">
        <v>2074</v>
      </c>
      <c r="H714" s="7">
        <v>0.26500000000000001</v>
      </c>
      <c r="I714" s="7">
        <v>12</v>
      </c>
      <c r="J714" s="7">
        <v>800</v>
      </c>
      <c r="K714" s="7">
        <v>600</v>
      </c>
      <c r="L714" s="7">
        <v>150</v>
      </c>
      <c r="M714" s="7">
        <v>30</v>
      </c>
      <c r="N714" s="7">
        <v>120</v>
      </c>
      <c r="O714" s="7">
        <v>150</v>
      </c>
      <c r="P714" s="7">
        <v>315</v>
      </c>
    </row>
    <row r="715" spans="1:16" s="10" customFormat="1">
      <c r="A715" s="7">
        <f>IF(B715="","",SUBTOTAL(103,$B$2:B715))</f>
        <v>714</v>
      </c>
      <c r="B715" s="8" t="s">
        <v>2068</v>
      </c>
      <c r="C715" s="7" t="s">
        <v>2075</v>
      </c>
      <c r="D715" s="9" t="s">
        <v>2076</v>
      </c>
      <c r="E715" s="7" t="s">
        <v>2071</v>
      </c>
      <c r="F715" s="7" t="s">
        <v>1073</v>
      </c>
      <c r="G715" s="7" t="s">
        <v>2077</v>
      </c>
      <c r="H715" s="7">
        <v>0.124</v>
      </c>
      <c r="I715" s="7">
        <v>28</v>
      </c>
      <c r="J715" s="7">
        <v>800</v>
      </c>
      <c r="K715" s="7">
        <v>600</v>
      </c>
      <c r="L715" s="7">
        <v>150</v>
      </c>
      <c r="M715" s="7">
        <v>30</v>
      </c>
      <c r="N715" s="7">
        <v>120</v>
      </c>
      <c r="O715" s="7">
        <v>70</v>
      </c>
      <c r="P715" s="7">
        <v>235</v>
      </c>
    </row>
    <row r="716" spans="1:16" s="10" customFormat="1">
      <c r="A716" s="7">
        <f>IF(B716="","",SUBTOTAL(103,$B$2:B716))</f>
        <v>715</v>
      </c>
      <c r="B716" s="8" t="s">
        <v>2068</v>
      </c>
      <c r="C716" s="7" t="s">
        <v>2075</v>
      </c>
      <c r="D716" s="9" t="s">
        <v>2078</v>
      </c>
      <c r="E716" s="7" t="s">
        <v>2071</v>
      </c>
      <c r="F716" s="7" t="s">
        <v>1076</v>
      </c>
      <c r="G716" s="7" t="s">
        <v>2079</v>
      </c>
      <c r="H716" s="7">
        <v>0.124</v>
      </c>
      <c r="I716" s="7">
        <v>28</v>
      </c>
      <c r="J716" s="7">
        <v>800</v>
      </c>
      <c r="K716" s="7">
        <v>600</v>
      </c>
      <c r="L716" s="7">
        <v>150</v>
      </c>
      <c r="M716" s="7">
        <v>30</v>
      </c>
      <c r="N716" s="7">
        <v>120</v>
      </c>
      <c r="O716" s="7">
        <v>70</v>
      </c>
      <c r="P716" s="7">
        <v>235</v>
      </c>
    </row>
    <row r="717" spans="1:16" s="10" customFormat="1">
      <c r="A717" s="7">
        <f>IF(B717="","",SUBTOTAL(103,$B$2:B717))</f>
        <v>716</v>
      </c>
      <c r="B717" s="8" t="s">
        <v>2068</v>
      </c>
      <c r="C717" s="7" t="s">
        <v>2080</v>
      </c>
      <c r="D717" s="9" t="s">
        <v>2081</v>
      </c>
      <c r="E717" s="7" t="s">
        <v>2071</v>
      </c>
      <c r="F717" s="7" t="s">
        <v>998</v>
      </c>
      <c r="G717" s="7" t="s">
        <v>2082</v>
      </c>
      <c r="H717" s="7">
        <v>5.0999999999999997E-2</v>
      </c>
      <c r="I717" s="7">
        <v>58</v>
      </c>
      <c r="J717" s="7">
        <v>800</v>
      </c>
      <c r="K717" s="7">
        <v>600</v>
      </c>
      <c r="L717" s="7">
        <v>150</v>
      </c>
      <c r="M717" s="7">
        <v>30</v>
      </c>
      <c r="N717" s="7">
        <v>120</v>
      </c>
      <c r="O717" s="7">
        <v>34</v>
      </c>
      <c r="P717" s="7">
        <v>200</v>
      </c>
    </row>
    <row r="718" spans="1:16" s="10" customFormat="1">
      <c r="A718" s="7">
        <f>IF(B718="","",SUBTOTAL(103,$B$2:B718))</f>
        <v>717</v>
      </c>
      <c r="B718" s="8" t="s">
        <v>2068</v>
      </c>
      <c r="C718" s="7" t="s">
        <v>2080</v>
      </c>
      <c r="D718" s="9" t="s">
        <v>2083</v>
      </c>
      <c r="E718" s="7" t="s">
        <v>2071</v>
      </c>
      <c r="F718" s="7" t="s">
        <v>1081</v>
      </c>
      <c r="G718" s="7" t="s">
        <v>2084</v>
      </c>
      <c r="H718" s="7">
        <v>5.0999999999999997E-2</v>
      </c>
      <c r="I718" s="7">
        <v>58</v>
      </c>
      <c r="J718" s="7">
        <v>800</v>
      </c>
      <c r="K718" s="7">
        <v>600</v>
      </c>
      <c r="L718" s="7">
        <v>150</v>
      </c>
      <c r="M718" s="7">
        <v>30</v>
      </c>
      <c r="N718" s="7">
        <v>120</v>
      </c>
      <c r="O718" s="7">
        <v>34</v>
      </c>
      <c r="P718" s="7">
        <v>200</v>
      </c>
    </row>
    <row r="719" spans="1:16" s="10" customFormat="1">
      <c r="A719" s="7">
        <f>IF(B719="","",SUBTOTAL(103,$B$2:B719))</f>
        <v>718</v>
      </c>
      <c r="B719" s="8" t="s">
        <v>2068</v>
      </c>
      <c r="C719" s="7" t="s">
        <v>2085</v>
      </c>
      <c r="D719" s="9" t="s">
        <v>2086</v>
      </c>
      <c r="E719" s="7" t="s">
        <v>2071</v>
      </c>
      <c r="F719" s="7" t="s">
        <v>1085</v>
      </c>
      <c r="G719" s="7" t="s">
        <v>2087</v>
      </c>
      <c r="H719" s="7">
        <v>2.7E-2</v>
      </c>
      <c r="I719" s="7">
        <v>78</v>
      </c>
      <c r="J719" s="7">
        <v>800</v>
      </c>
      <c r="K719" s="7">
        <v>600</v>
      </c>
      <c r="L719" s="7">
        <v>150</v>
      </c>
      <c r="M719" s="7">
        <v>30</v>
      </c>
      <c r="N719" s="7">
        <v>120</v>
      </c>
      <c r="O719" s="7">
        <v>33</v>
      </c>
      <c r="P719" s="7">
        <v>180</v>
      </c>
    </row>
    <row r="720" spans="1:16" s="10" customFormat="1">
      <c r="A720" s="7">
        <f>IF(B720="","",SUBTOTAL(103,$B$2:B720))</f>
        <v>719</v>
      </c>
      <c r="B720" s="8" t="s">
        <v>2068</v>
      </c>
      <c r="C720" s="7" t="s">
        <v>2085</v>
      </c>
      <c r="D720" s="9" t="s">
        <v>2088</v>
      </c>
      <c r="E720" s="7" t="s">
        <v>2071</v>
      </c>
      <c r="F720" s="7" t="s">
        <v>1088</v>
      </c>
      <c r="G720" s="7" t="s">
        <v>2089</v>
      </c>
      <c r="H720" s="7">
        <v>2.7E-2</v>
      </c>
      <c r="I720" s="7">
        <v>78</v>
      </c>
      <c r="J720" s="7">
        <v>800</v>
      </c>
      <c r="K720" s="7">
        <v>600</v>
      </c>
      <c r="L720" s="7">
        <v>150</v>
      </c>
      <c r="M720" s="7">
        <v>30</v>
      </c>
      <c r="N720" s="7">
        <v>120</v>
      </c>
      <c r="O720" s="7">
        <v>33</v>
      </c>
      <c r="P720" s="7">
        <v>180</v>
      </c>
    </row>
    <row r="721" spans="1:16" s="10" customFormat="1">
      <c r="A721" s="7">
        <f>IF(B721="","",SUBTOTAL(103,$B$2:B721))</f>
        <v>720</v>
      </c>
      <c r="B721" s="8" t="s">
        <v>2068</v>
      </c>
      <c r="C721" s="7" t="s">
        <v>2090</v>
      </c>
      <c r="D721" s="9" t="s">
        <v>2091</v>
      </c>
      <c r="E721" s="7" t="s">
        <v>2071</v>
      </c>
      <c r="F721" s="7" t="s">
        <v>1092</v>
      </c>
      <c r="G721" s="7" t="s">
        <v>2092</v>
      </c>
      <c r="H721" s="7">
        <v>0.54800000000000004</v>
      </c>
      <c r="I721" s="7">
        <v>8</v>
      </c>
      <c r="J721" s="7">
        <v>800</v>
      </c>
      <c r="K721" s="7">
        <v>600</v>
      </c>
      <c r="L721" s="7">
        <v>150</v>
      </c>
      <c r="M721" s="7">
        <v>30</v>
      </c>
      <c r="N721" s="7">
        <v>120</v>
      </c>
      <c r="O721" s="7">
        <v>225</v>
      </c>
      <c r="P721" s="7">
        <v>250</v>
      </c>
    </row>
    <row r="722" spans="1:16" s="10" customFormat="1">
      <c r="A722" s="7">
        <f>IF(B722="","",SUBTOTAL(103,$B$2:B722))</f>
        <v>721</v>
      </c>
      <c r="B722" s="8" t="s">
        <v>2068</v>
      </c>
      <c r="C722" s="7" t="s">
        <v>2090</v>
      </c>
      <c r="D722" s="9" t="s">
        <v>2093</v>
      </c>
      <c r="E722" s="7" t="s">
        <v>2071</v>
      </c>
      <c r="F722" s="7" t="s">
        <v>1095</v>
      </c>
      <c r="G722" s="7" t="s">
        <v>2094</v>
      </c>
      <c r="H722" s="7">
        <v>0.54800000000000004</v>
      </c>
      <c r="I722" s="7">
        <v>8</v>
      </c>
      <c r="J722" s="7">
        <v>800</v>
      </c>
      <c r="K722" s="7">
        <v>600</v>
      </c>
      <c r="L722" s="7">
        <v>150</v>
      </c>
      <c r="M722" s="7">
        <v>30</v>
      </c>
      <c r="N722" s="7">
        <v>120</v>
      </c>
      <c r="O722" s="7">
        <v>225</v>
      </c>
      <c r="P722" s="7">
        <v>250</v>
      </c>
    </row>
    <row r="723" spans="1:16" s="10" customFormat="1">
      <c r="A723" s="7">
        <f>IF(B723="","",SUBTOTAL(103,$B$2:B723))</f>
        <v>722</v>
      </c>
      <c r="B723" s="8" t="s">
        <v>2068</v>
      </c>
      <c r="C723" s="7" t="s">
        <v>2095</v>
      </c>
      <c r="D723" s="9" t="s">
        <v>2096</v>
      </c>
      <c r="E723" s="7" t="s">
        <v>2071</v>
      </c>
      <c r="F723" s="7" t="s">
        <v>1099</v>
      </c>
      <c r="G723" s="7" t="s">
        <v>2097</v>
      </c>
      <c r="H723" s="7">
        <v>0.435</v>
      </c>
      <c r="I723" s="7">
        <v>10</v>
      </c>
      <c r="J723" s="7">
        <v>800</v>
      </c>
      <c r="K723" s="7">
        <v>600</v>
      </c>
      <c r="L723" s="7">
        <v>150</v>
      </c>
      <c r="M723" s="7">
        <v>30</v>
      </c>
      <c r="N723" s="7">
        <v>120</v>
      </c>
      <c r="O723" s="7">
        <v>195</v>
      </c>
      <c r="P723" s="7">
        <v>300</v>
      </c>
    </row>
    <row r="724" spans="1:16" s="10" customFormat="1">
      <c r="A724" s="7">
        <f>IF(B724="","",SUBTOTAL(103,$B$2:B724))</f>
        <v>723</v>
      </c>
      <c r="B724" s="8" t="s">
        <v>2068</v>
      </c>
      <c r="C724" s="7" t="s">
        <v>2095</v>
      </c>
      <c r="D724" s="9" t="s">
        <v>2098</v>
      </c>
      <c r="E724" s="7" t="s">
        <v>2071</v>
      </c>
      <c r="F724" s="7" t="s">
        <v>1102</v>
      </c>
      <c r="G724" s="7" t="s">
        <v>2099</v>
      </c>
      <c r="H724" s="7">
        <v>0.435</v>
      </c>
      <c r="I724" s="7">
        <v>10</v>
      </c>
      <c r="J724" s="7">
        <v>800</v>
      </c>
      <c r="K724" s="7">
        <v>600</v>
      </c>
      <c r="L724" s="7">
        <v>150</v>
      </c>
      <c r="M724" s="7">
        <v>30</v>
      </c>
      <c r="N724" s="7">
        <v>120</v>
      </c>
      <c r="O724" s="7">
        <v>195</v>
      </c>
      <c r="P724" s="7">
        <v>300</v>
      </c>
    </row>
    <row r="725" spans="1:16" s="10" customFormat="1">
      <c r="A725" s="7">
        <f>IF(B725="","",SUBTOTAL(103,$B$2:B725))</f>
        <v>724</v>
      </c>
      <c r="B725" s="8" t="s">
        <v>2068</v>
      </c>
      <c r="C725" s="7" t="s">
        <v>2100</v>
      </c>
      <c r="D725" s="9" t="s">
        <v>2101</v>
      </c>
      <c r="E725" s="7" t="s">
        <v>2071</v>
      </c>
      <c r="F725" s="7" t="s">
        <v>1106</v>
      </c>
      <c r="G725" s="7" t="s">
        <v>2102</v>
      </c>
      <c r="H725" s="7">
        <v>0.89200000000000002</v>
      </c>
      <c r="I725" s="7">
        <v>4</v>
      </c>
      <c r="J725" s="7">
        <v>800</v>
      </c>
      <c r="K725" s="7">
        <v>600</v>
      </c>
      <c r="L725" s="7">
        <v>150</v>
      </c>
      <c r="M725" s="7">
        <v>30</v>
      </c>
      <c r="N725" s="7">
        <v>120</v>
      </c>
      <c r="O725" s="7">
        <v>500</v>
      </c>
      <c r="P725" s="7">
        <v>600</v>
      </c>
    </row>
    <row r="726" spans="1:16" s="10" customFormat="1">
      <c r="A726" s="7">
        <f>IF(B726="","",SUBTOTAL(103,$B$2:B726))</f>
        <v>725</v>
      </c>
      <c r="B726" s="8" t="s">
        <v>2068</v>
      </c>
      <c r="C726" s="7" t="s">
        <v>2100</v>
      </c>
      <c r="D726" s="9" t="s">
        <v>2103</v>
      </c>
      <c r="E726" s="7" t="s">
        <v>2071</v>
      </c>
      <c r="F726" s="7" t="s">
        <v>1109</v>
      </c>
      <c r="G726" s="7" t="s">
        <v>2104</v>
      </c>
      <c r="H726" s="7">
        <v>0.89200000000000002</v>
      </c>
      <c r="I726" s="7">
        <v>4</v>
      </c>
      <c r="J726" s="7">
        <v>800</v>
      </c>
      <c r="K726" s="7">
        <v>600</v>
      </c>
      <c r="L726" s="7">
        <v>150</v>
      </c>
      <c r="M726" s="7">
        <v>30</v>
      </c>
      <c r="N726" s="7">
        <v>120</v>
      </c>
      <c r="O726" s="7">
        <v>500</v>
      </c>
      <c r="P726" s="7">
        <v>600</v>
      </c>
    </row>
    <row r="727" spans="1:16" s="10" customFormat="1">
      <c r="A727" s="7">
        <f>IF(B727="","",SUBTOTAL(103,$B$2:B727))</f>
        <v>726</v>
      </c>
      <c r="B727" s="8" t="s">
        <v>2068</v>
      </c>
      <c r="C727" s="7" t="s">
        <v>2105</v>
      </c>
      <c r="D727" s="9" t="s">
        <v>2106</v>
      </c>
      <c r="E727" s="7" t="s">
        <v>2071</v>
      </c>
      <c r="F727" s="7" t="s">
        <v>1113</v>
      </c>
      <c r="G727" s="7" t="s">
        <v>2107</v>
      </c>
      <c r="H727" s="7">
        <v>1.462</v>
      </c>
      <c r="I727" s="7">
        <v>2</v>
      </c>
      <c r="J727" s="7">
        <v>800</v>
      </c>
      <c r="K727" s="7">
        <v>600</v>
      </c>
      <c r="L727" s="7">
        <v>150</v>
      </c>
      <c r="M727" s="7">
        <v>30</v>
      </c>
      <c r="N727" s="7">
        <v>120</v>
      </c>
      <c r="O727" s="7">
        <v>1000</v>
      </c>
      <c r="P727" s="7">
        <v>1100</v>
      </c>
    </row>
    <row r="728" spans="1:16" s="10" customFormat="1">
      <c r="A728" s="7">
        <f>IF(B728="","",SUBTOTAL(103,$B$2:B728))</f>
        <v>727</v>
      </c>
      <c r="B728" s="8" t="s">
        <v>2068</v>
      </c>
      <c r="C728" s="7" t="s">
        <v>2105</v>
      </c>
      <c r="D728" s="9" t="s">
        <v>2108</v>
      </c>
      <c r="E728" s="7" t="s">
        <v>2071</v>
      </c>
      <c r="F728" s="7" t="s">
        <v>1116</v>
      </c>
      <c r="G728" s="7" t="str">
        <f>E728&amp;F728</f>
        <v>MB  K-04 SLB21/2 316 NPT</v>
      </c>
      <c r="H728" s="7">
        <v>1.462</v>
      </c>
      <c r="I728" s="7">
        <v>4</v>
      </c>
      <c r="J728" s="7">
        <v>800</v>
      </c>
      <c r="K728" s="7">
        <v>600</v>
      </c>
      <c r="L728" s="7">
        <v>150</v>
      </c>
      <c r="M728" s="7">
        <v>30</v>
      </c>
      <c r="N728" s="7">
        <v>120</v>
      </c>
      <c r="O728" s="7">
        <v>1000</v>
      </c>
      <c r="P728" s="7">
        <v>1100</v>
      </c>
    </row>
    <row r="729" spans="1:16" s="10" customFormat="1">
      <c r="A729" s="7">
        <f>IF(B729="","",SUBTOTAL(103,$B$2:B729))</f>
        <v>728</v>
      </c>
      <c r="B729" s="8" t="s">
        <v>2068</v>
      </c>
      <c r="C729" s="7" t="s">
        <v>2109</v>
      </c>
      <c r="D729" s="9" t="s">
        <v>2110</v>
      </c>
      <c r="E729" s="7" t="s">
        <v>2071</v>
      </c>
      <c r="F729" s="7" t="s">
        <v>1120</v>
      </c>
      <c r="G729" s="7" t="s">
        <v>2111</v>
      </c>
      <c r="H729" s="7">
        <v>2.1720000000000002</v>
      </c>
      <c r="I729" s="7">
        <v>1</v>
      </c>
      <c r="J729" s="7">
        <v>800</v>
      </c>
      <c r="K729" s="7">
        <v>600</v>
      </c>
      <c r="L729" s="7">
        <v>150</v>
      </c>
      <c r="M729" s="7">
        <v>30</v>
      </c>
      <c r="N729" s="7">
        <v>120</v>
      </c>
      <c r="O729" s="7">
        <v>2000</v>
      </c>
      <c r="P729" s="7">
        <v>2050</v>
      </c>
    </row>
    <row r="730" spans="1:16" s="10" customFormat="1">
      <c r="A730" s="7">
        <f>IF(B730="","",SUBTOTAL(103,$B$2:B730))</f>
        <v>729</v>
      </c>
      <c r="B730" s="8" t="s">
        <v>2068</v>
      </c>
      <c r="C730" s="7" t="s">
        <v>2109</v>
      </c>
      <c r="D730" s="9" t="s">
        <v>2112</v>
      </c>
      <c r="E730" s="7" t="s">
        <v>2071</v>
      </c>
      <c r="F730" s="7" t="s">
        <v>1123</v>
      </c>
      <c r="G730" s="7" t="s">
        <v>2113</v>
      </c>
      <c r="H730" s="7">
        <v>2.1720000000000002</v>
      </c>
      <c r="I730" s="7">
        <v>1</v>
      </c>
      <c r="J730" s="7">
        <v>800</v>
      </c>
      <c r="K730" s="7">
        <v>600</v>
      </c>
      <c r="L730" s="7">
        <v>150</v>
      </c>
      <c r="M730" s="7">
        <v>30</v>
      </c>
      <c r="N730" s="7">
        <v>120</v>
      </c>
      <c r="O730" s="7">
        <v>2000</v>
      </c>
      <c r="P730" s="7">
        <v>2050</v>
      </c>
    </row>
    <row r="731" spans="1:16" s="10" customFormat="1">
      <c r="A731" s="7">
        <f>IF(B731="","",SUBTOTAL(103,$B$2:B731))</f>
        <v>730</v>
      </c>
      <c r="B731" s="8" t="s">
        <v>2068</v>
      </c>
      <c r="C731" s="7" t="s">
        <v>2114</v>
      </c>
      <c r="D731" s="9" t="s">
        <v>2115</v>
      </c>
      <c r="E731" s="7" t="s">
        <v>2071</v>
      </c>
      <c r="F731" s="7" t="s">
        <v>1127</v>
      </c>
      <c r="G731" s="7" t="s">
        <v>2116</v>
      </c>
      <c r="H731" s="7">
        <v>0.191</v>
      </c>
      <c r="I731" s="7">
        <v>18</v>
      </c>
      <c r="J731" s="7">
        <v>800</v>
      </c>
      <c r="K731" s="7">
        <v>600</v>
      </c>
      <c r="L731" s="7">
        <v>150</v>
      </c>
      <c r="M731" s="7">
        <v>30</v>
      </c>
      <c r="N731" s="7">
        <v>120</v>
      </c>
      <c r="O731" s="7">
        <v>100</v>
      </c>
      <c r="P731" s="7">
        <v>265</v>
      </c>
    </row>
    <row r="732" spans="1:16" s="10" customFormat="1">
      <c r="A732" s="7">
        <f>IF(B732="","",SUBTOTAL(103,$B$2:B732))</f>
        <v>731</v>
      </c>
      <c r="B732" s="8" t="s">
        <v>2068</v>
      </c>
      <c r="C732" s="7" t="s">
        <v>2114</v>
      </c>
      <c r="D732" s="9" t="s">
        <v>2117</v>
      </c>
      <c r="E732" s="7" t="s">
        <v>2071</v>
      </c>
      <c r="F732" s="7" t="s">
        <v>1130</v>
      </c>
      <c r="G732" s="7" t="s">
        <v>2118</v>
      </c>
      <c r="H732" s="7">
        <v>0.191</v>
      </c>
      <c r="I732" s="7">
        <v>18</v>
      </c>
      <c r="J732" s="7">
        <v>800</v>
      </c>
      <c r="K732" s="7">
        <v>600</v>
      </c>
      <c r="L732" s="7">
        <v>150</v>
      </c>
      <c r="M732" s="7">
        <v>30</v>
      </c>
      <c r="N732" s="7">
        <v>120</v>
      </c>
      <c r="O732" s="7">
        <v>100</v>
      </c>
      <c r="P732" s="7">
        <v>265</v>
      </c>
    </row>
    <row r="733" spans="1:16" s="10" customFormat="1">
      <c r="A733" s="7">
        <f>IF(B733="","",SUBTOTAL(103,$B$2:B733))</f>
        <v>732</v>
      </c>
      <c r="B733" s="8" t="s">
        <v>2068</v>
      </c>
      <c r="C733" s="7" t="s">
        <v>2119</v>
      </c>
      <c r="D733" s="9" t="s">
        <v>2120</v>
      </c>
      <c r="E733" s="7" t="s">
        <v>2071</v>
      </c>
      <c r="F733" s="7" t="s">
        <v>1002</v>
      </c>
      <c r="G733" s="7" t="s">
        <v>2121</v>
      </c>
      <c r="H733" s="7">
        <v>0.08</v>
      </c>
      <c r="I733" s="7">
        <v>40</v>
      </c>
      <c r="J733" s="7">
        <v>800</v>
      </c>
      <c r="K733" s="7">
        <v>600</v>
      </c>
      <c r="L733" s="7">
        <v>150</v>
      </c>
      <c r="M733" s="7">
        <v>30</v>
      </c>
      <c r="N733" s="7">
        <v>120</v>
      </c>
      <c r="O733" s="7">
        <v>45</v>
      </c>
      <c r="P733" s="7">
        <v>215</v>
      </c>
    </row>
    <row r="734" spans="1:16" s="10" customFormat="1">
      <c r="A734" s="7">
        <f>IF(B734="","",SUBTOTAL(103,$B$2:B734))</f>
        <v>733</v>
      </c>
      <c r="B734" s="8" t="s">
        <v>2068</v>
      </c>
      <c r="C734" s="7" t="s">
        <v>2119</v>
      </c>
      <c r="D734" s="9" t="s">
        <v>2122</v>
      </c>
      <c r="E734" s="7" t="s">
        <v>2071</v>
      </c>
      <c r="F734" s="7" t="s">
        <v>1135</v>
      </c>
      <c r="G734" s="7" t="s">
        <v>2123</v>
      </c>
      <c r="H734" s="7">
        <v>0.08</v>
      </c>
      <c r="I734" s="7">
        <v>40</v>
      </c>
      <c r="J734" s="7">
        <v>800</v>
      </c>
      <c r="K734" s="7">
        <v>600</v>
      </c>
      <c r="L734" s="7">
        <v>150</v>
      </c>
      <c r="M734" s="7">
        <v>30</v>
      </c>
      <c r="N734" s="7">
        <v>120</v>
      </c>
      <c r="O734" s="7">
        <v>45</v>
      </c>
      <c r="P734" s="7">
        <v>215</v>
      </c>
    </row>
    <row r="735" spans="1:16" s="10" customFormat="1">
      <c r="A735" s="7">
        <f>IF(B735="","",SUBTOTAL(103,$B$2:B735))</f>
        <v>734</v>
      </c>
      <c r="B735" s="8" t="s">
        <v>2068</v>
      </c>
      <c r="C735" s="7" t="s">
        <v>2124</v>
      </c>
      <c r="D735" s="9" t="s">
        <v>2125</v>
      </c>
      <c r="E735" s="7" t="s">
        <v>2071</v>
      </c>
      <c r="F735" s="7" t="s">
        <v>1139</v>
      </c>
      <c r="G735" s="7" t="s">
        <v>2126</v>
      </c>
      <c r="H735" s="7">
        <v>3.4449999999999998</v>
      </c>
      <c r="I735" s="7">
        <v>1</v>
      </c>
      <c r="J735" s="7">
        <v>800</v>
      </c>
      <c r="K735" s="7">
        <v>600</v>
      </c>
      <c r="L735" s="7">
        <v>150</v>
      </c>
      <c r="M735" s="7">
        <v>30</v>
      </c>
      <c r="N735" s="7">
        <v>120</v>
      </c>
      <c r="O735" s="7">
        <v>2000</v>
      </c>
      <c r="P735" s="7">
        <v>2050</v>
      </c>
    </row>
    <row r="736" spans="1:16" s="10" customFormat="1">
      <c r="A736" s="7">
        <f>IF(B736="","",SUBTOTAL(103,$B$2:B736))</f>
        <v>735</v>
      </c>
      <c r="B736" s="8" t="s">
        <v>2068</v>
      </c>
      <c r="C736" s="7" t="s">
        <v>2124</v>
      </c>
      <c r="D736" s="9" t="s">
        <v>2127</v>
      </c>
      <c r="E736" s="7" t="s">
        <v>2071</v>
      </c>
      <c r="F736" s="7" t="s">
        <v>1142</v>
      </c>
      <c r="G736" s="7" t="s">
        <v>2128</v>
      </c>
      <c r="H736" s="7">
        <v>3.45</v>
      </c>
      <c r="I736" s="7">
        <v>1</v>
      </c>
      <c r="J736" s="7">
        <v>800</v>
      </c>
      <c r="K736" s="7">
        <v>600</v>
      </c>
      <c r="L736" s="7">
        <v>150</v>
      </c>
      <c r="M736" s="7">
        <v>30</v>
      </c>
      <c r="N736" s="7">
        <v>120</v>
      </c>
      <c r="O736" s="7">
        <v>2000</v>
      </c>
      <c r="P736" s="7">
        <v>2050</v>
      </c>
    </row>
    <row r="737" spans="1:16" s="10" customFormat="1">
      <c r="A737" s="7">
        <f>IF(B737="","",SUBTOTAL(103,$B$2:B737))</f>
        <v>736</v>
      </c>
      <c r="B737" s="8" t="s">
        <v>2129</v>
      </c>
      <c r="C737" s="7" t="s">
        <v>1813</v>
      </c>
      <c r="D737" s="9" t="s">
        <v>2130</v>
      </c>
      <c r="E737" s="7" t="s">
        <v>2131</v>
      </c>
      <c r="F737" s="7" t="s">
        <v>1300</v>
      </c>
      <c r="G737" s="7" t="s">
        <v>2132</v>
      </c>
      <c r="H737" s="7">
        <v>0.31</v>
      </c>
      <c r="I737" s="7">
        <v>12</v>
      </c>
      <c r="J737" s="7">
        <v>800</v>
      </c>
      <c r="K737" s="7">
        <v>600</v>
      </c>
      <c r="L737" s="7">
        <v>150</v>
      </c>
      <c r="M737" s="7">
        <v>30</v>
      </c>
      <c r="N737" s="7">
        <v>120</v>
      </c>
      <c r="O737" s="7">
        <v>150</v>
      </c>
      <c r="P737" s="7">
        <v>215</v>
      </c>
    </row>
    <row r="738" spans="1:16" s="10" customFormat="1">
      <c r="A738" s="7">
        <f>IF(B738="","",SUBTOTAL(103,$B$2:B738))</f>
        <v>737</v>
      </c>
      <c r="B738" s="8" t="s">
        <v>2129</v>
      </c>
      <c r="C738" s="7" t="s">
        <v>2050</v>
      </c>
      <c r="D738" s="9" t="s">
        <v>2133</v>
      </c>
      <c r="E738" s="7" t="s">
        <v>2131</v>
      </c>
      <c r="F738" s="7" t="s">
        <v>1303</v>
      </c>
      <c r="G738" s="7" t="s">
        <v>2134</v>
      </c>
      <c r="H738" s="7">
        <v>0.31</v>
      </c>
      <c r="I738" s="7">
        <v>12</v>
      </c>
      <c r="J738" s="7">
        <v>800</v>
      </c>
      <c r="K738" s="7">
        <v>600</v>
      </c>
      <c r="L738" s="7">
        <v>150</v>
      </c>
      <c r="M738" s="7">
        <v>30</v>
      </c>
      <c r="N738" s="7">
        <v>120</v>
      </c>
      <c r="O738" s="7">
        <v>150</v>
      </c>
      <c r="P738" s="7">
        <v>315</v>
      </c>
    </row>
    <row r="739" spans="1:16" s="10" customFormat="1">
      <c r="A739" s="7">
        <f>IF(B739="","",SUBTOTAL(103,$B$2:B739))</f>
        <v>738</v>
      </c>
      <c r="B739" s="8" t="s">
        <v>2129</v>
      </c>
      <c r="C739" s="7" t="s">
        <v>1819</v>
      </c>
      <c r="D739" s="9" t="s">
        <v>2135</v>
      </c>
      <c r="E739" s="7" t="s">
        <v>2131</v>
      </c>
      <c r="F739" s="7" t="s">
        <v>1306</v>
      </c>
      <c r="G739" s="7" t="s">
        <v>2136</v>
      </c>
      <c r="H739" s="7">
        <v>0.122</v>
      </c>
      <c r="I739" s="7">
        <v>32</v>
      </c>
      <c r="J739" s="7">
        <v>800</v>
      </c>
      <c r="K739" s="7">
        <v>600</v>
      </c>
      <c r="L739" s="7">
        <v>150</v>
      </c>
      <c r="M739" s="7">
        <v>30</v>
      </c>
      <c r="N739" s="7">
        <v>120</v>
      </c>
      <c r="O739" s="7">
        <v>54</v>
      </c>
      <c r="P739" s="7">
        <v>140</v>
      </c>
    </row>
    <row r="740" spans="1:16" s="10" customFormat="1">
      <c r="A740" s="7">
        <f>IF(B740="","",SUBTOTAL(103,$B$2:B740))</f>
        <v>739</v>
      </c>
      <c r="B740" s="8" t="s">
        <v>2129</v>
      </c>
      <c r="C740" s="7" t="s">
        <v>1819</v>
      </c>
      <c r="D740" s="9" t="s">
        <v>2137</v>
      </c>
      <c r="E740" s="7" t="s">
        <v>2052</v>
      </c>
      <c r="F740" s="7" t="s">
        <v>1306</v>
      </c>
      <c r="G740" s="7" t="str">
        <f>E740&amp;F740</f>
        <v>KI 114  KI-04 SLB1/2 CF8 NPT</v>
      </c>
      <c r="H740" s="7">
        <v>0.122</v>
      </c>
      <c r="I740" s="7">
        <v>32</v>
      </c>
      <c r="J740" s="7">
        <v>800</v>
      </c>
      <c r="K740" s="7">
        <v>600</v>
      </c>
      <c r="L740" s="7">
        <v>150</v>
      </c>
      <c r="M740" s="7">
        <v>30</v>
      </c>
      <c r="N740" s="7">
        <v>120</v>
      </c>
      <c r="O740" s="7">
        <v>54</v>
      </c>
      <c r="P740" s="7">
        <v>140</v>
      </c>
    </row>
    <row r="741" spans="1:16" s="10" customFormat="1">
      <c r="A741" s="7">
        <f>IF(B741="","",SUBTOTAL(103,$B$2:B741))</f>
        <v>740</v>
      </c>
      <c r="B741" s="8" t="s">
        <v>2129</v>
      </c>
      <c r="C741" s="7" t="s">
        <v>2054</v>
      </c>
      <c r="D741" s="9" t="s">
        <v>2138</v>
      </c>
      <c r="E741" s="7" t="s">
        <v>2131</v>
      </c>
      <c r="F741" s="7" t="s">
        <v>1309</v>
      </c>
      <c r="G741" s="7" t="s">
        <v>2139</v>
      </c>
      <c r="H741" s="7">
        <v>0.122</v>
      </c>
      <c r="I741" s="7">
        <v>32</v>
      </c>
      <c r="J741" s="7">
        <v>800</v>
      </c>
      <c r="K741" s="7">
        <v>600</v>
      </c>
      <c r="L741" s="7">
        <v>150</v>
      </c>
      <c r="M741" s="7">
        <v>30</v>
      </c>
      <c r="N741" s="7">
        <v>120</v>
      </c>
      <c r="O741" s="7">
        <v>54</v>
      </c>
      <c r="P741" s="7">
        <v>235</v>
      </c>
    </row>
    <row r="742" spans="1:16" s="10" customFormat="1">
      <c r="A742" s="7">
        <f>IF(B742="","",SUBTOTAL(103,$B$2:B742))</f>
        <v>741</v>
      </c>
      <c r="B742" s="8" t="s">
        <v>2129</v>
      </c>
      <c r="C742" s="7" t="s">
        <v>1824</v>
      </c>
      <c r="D742" s="9" t="s">
        <v>2140</v>
      </c>
      <c r="E742" s="7" t="s">
        <v>2131</v>
      </c>
      <c r="F742" s="7" t="s">
        <v>1312</v>
      </c>
      <c r="G742" s="7" t="s">
        <v>2141</v>
      </c>
      <c r="H742" s="7">
        <v>4.9000000000000002E-2</v>
      </c>
      <c r="I742" s="7">
        <v>58</v>
      </c>
      <c r="J742" s="7">
        <v>800</v>
      </c>
      <c r="K742" s="7">
        <v>600</v>
      </c>
      <c r="L742" s="7">
        <v>150</v>
      </c>
      <c r="M742" s="7">
        <v>30</v>
      </c>
      <c r="N742" s="7">
        <v>120</v>
      </c>
      <c r="O742" s="7">
        <v>34</v>
      </c>
      <c r="P742" s="7">
        <v>105</v>
      </c>
    </row>
    <row r="743" spans="1:16" s="10" customFormat="1">
      <c r="A743" s="7">
        <f>IF(B743="","",SUBTOTAL(103,$B$2:B743))</f>
        <v>742</v>
      </c>
      <c r="B743" s="8" t="s">
        <v>2129</v>
      </c>
      <c r="C743" s="7" t="s">
        <v>2142</v>
      </c>
      <c r="D743" s="9" t="s">
        <v>2143</v>
      </c>
      <c r="E743" s="7" t="s">
        <v>2131</v>
      </c>
      <c r="F743" s="7" t="s">
        <v>1315</v>
      </c>
      <c r="G743" s="7" t="s">
        <v>2144</v>
      </c>
      <c r="H743" s="7">
        <v>4.9000000000000002E-2</v>
      </c>
      <c r="I743" s="7">
        <v>58</v>
      </c>
      <c r="J743" s="7">
        <v>800</v>
      </c>
      <c r="K743" s="7">
        <v>600</v>
      </c>
      <c r="L743" s="7">
        <v>150</v>
      </c>
      <c r="M743" s="7">
        <v>30</v>
      </c>
      <c r="N743" s="7">
        <v>120</v>
      </c>
      <c r="O743" s="7">
        <v>34</v>
      </c>
      <c r="P743" s="7">
        <v>200</v>
      </c>
    </row>
    <row r="744" spans="1:16" s="10" customFormat="1">
      <c r="A744" s="7">
        <f>IF(B744="","",SUBTOTAL(103,$B$2:B744))</f>
        <v>743</v>
      </c>
      <c r="B744" s="8" t="s">
        <v>2129</v>
      </c>
      <c r="C744" s="7" t="s">
        <v>2142</v>
      </c>
      <c r="D744" s="9" t="s">
        <v>2145</v>
      </c>
      <c r="E744" s="7" t="s">
        <v>2052</v>
      </c>
      <c r="F744" s="7" t="s">
        <v>1315</v>
      </c>
      <c r="G744" s="7" t="s">
        <v>2146</v>
      </c>
      <c r="H744" s="7">
        <v>4.9000000000000002E-2</v>
      </c>
      <c r="I744" s="7">
        <v>58</v>
      </c>
      <c r="J744" s="7">
        <v>800</v>
      </c>
      <c r="K744" s="7">
        <v>600</v>
      </c>
      <c r="L744" s="7">
        <v>150</v>
      </c>
      <c r="M744" s="7">
        <v>30</v>
      </c>
      <c r="N744" s="7">
        <v>120</v>
      </c>
      <c r="O744" s="7">
        <v>34</v>
      </c>
      <c r="P744" s="7">
        <v>200</v>
      </c>
    </row>
    <row r="745" spans="1:16" s="10" customFormat="1">
      <c r="A745" s="7">
        <f>IF(B745="","",SUBTOTAL(103,$B$2:B745))</f>
        <v>744</v>
      </c>
      <c r="B745" s="8" t="s">
        <v>2129</v>
      </c>
      <c r="C745" s="7" t="s">
        <v>1921</v>
      </c>
      <c r="D745" s="9" t="s">
        <v>2147</v>
      </c>
      <c r="E745" s="7" t="s">
        <v>2131</v>
      </c>
      <c r="F745" s="7" t="s">
        <v>1318</v>
      </c>
      <c r="G745" s="7" t="s">
        <v>2148</v>
      </c>
      <c r="H745" s="7">
        <v>3.5000000000000003E-2</v>
      </c>
      <c r="I745" s="7">
        <v>68</v>
      </c>
      <c r="J745" s="7">
        <v>800</v>
      </c>
      <c r="K745" s="7">
        <v>600</v>
      </c>
      <c r="L745" s="7">
        <v>150</v>
      </c>
      <c r="M745" s="7">
        <v>30</v>
      </c>
      <c r="N745" s="7">
        <v>120</v>
      </c>
      <c r="O745" s="7">
        <v>30</v>
      </c>
      <c r="P745" s="7">
        <v>100</v>
      </c>
    </row>
    <row r="746" spans="1:16" s="10" customFormat="1">
      <c r="A746" s="7">
        <f>IF(B746="","",SUBTOTAL(103,$B$2:B746))</f>
        <v>745</v>
      </c>
      <c r="B746" s="8" t="s">
        <v>2129</v>
      </c>
      <c r="C746" s="7" t="s">
        <v>2149</v>
      </c>
      <c r="D746" s="9" t="s">
        <v>2150</v>
      </c>
      <c r="E746" s="7" t="s">
        <v>2131</v>
      </c>
      <c r="F746" s="7" t="s">
        <v>1322</v>
      </c>
      <c r="G746" s="7" t="s">
        <v>2151</v>
      </c>
      <c r="H746" s="7">
        <v>3.5000000000000003E-2</v>
      </c>
      <c r="I746" s="7">
        <v>68</v>
      </c>
      <c r="J746" s="7">
        <v>800</v>
      </c>
      <c r="K746" s="7">
        <v>600</v>
      </c>
      <c r="L746" s="7">
        <v>150</v>
      </c>
      <c r="M746" s="7">
        <v>30</v>
      </c>
      <c r="N746" s="7">
        <v>120</v>
      </c>
      <c r="O746" s="7">
        <v>30</v>
      </c>
      <c r="P746" s="7">
        <v>195</v>
      </c>
    </row>
    <row r="747" spans="1:16" s="10" customFormat="1">
      <c r="A747" s="7">
        <f>IF(B747="","",SUBTOTAL(103,$B$2:B747))</f>
        <v>746</v>
      </c>
      <c r="B747" s="8" t="s">
        <v>2129</v>
      </c>
      <c r="C747" s="7" t="s">
        <v>2149</v>
      </c>
      <c r="D747" s="9" t="s">
        <v>2152</v>
      </c>
      <c r="E747" s="7" t="s">
        <v>2052</v>
      </c>
      <c r="F747" s="7" t="s">
        <v>1322</v>
      </c>
      <c r="G747" s="7" t="s">
        <v>2153</v>
      </c>
      <c r="H747" s="7">
        <v>3.5000000000000003E-2</v>
      </c>
      <c r="I747" s="7">
        <v>68</v>
      </c>
      <c r="J747" s="7">
        <v>800</v>
      </c>
      <c r="K747" s="7">
        <v>600</v>
      </c>
      <c r="L747" s="7">
        <v>150</v>
      </c>
      <c r="M747" s="7">
        <v>30</v>
      </c>
      <c r="N747" s="7">
        <v>120</v>
      </c>
      <c r="O747" s="7">
        <v>30</v>
      </c>
      <c r="P747" s="7">
        <v>195</v>
      </c>
    </row>
    <row r="748" spans="1:16" s="10" customFormat="1">
      <c r="A748" s="7">
        <f>IF(B748="","",SUBTOTAL(103,$B$2:B748))</f>
        <v>747</v>
      </c>
      <c r="B748" s="8" t="s">
        <v>2129</v>
      </c>
      <c r="C748" s="7" t="s">
        <v>1827</v>
      </c>
      <c r="D748" s="9" t="s">
        <v>2154</v>
      </c>
      <c r="E748" s="7" t="s">
        <v>2131</v>
      </c>
      <c r="F748" s="7" t="s">
        <v>1325</v>
      </c>
      <c r="G748" s="7" t="s">
        <v>2155</v>
      </c>
      <c r="H748" s="7">
        <v>0.65100000000000002</v>
      </c>
      <c r="I748" s="7">
        <v>4</v>
      </c>
      <c r="J748" s="7">
        <v>800</v>
      </c>
      <c r="K748" s="7">
        <v>600</v>
      </c>
      <c r="L748" s="7">
        <v>150</v>
      </c>
      <c r="M748" s="7">
        <v>30</v>
      </c>
      <c r="N748" s="7">
        <v>120</v>
      </c>
      <c r="O748" s="7">
        <v>500</v>
      </c>
      <c r="P748" s="7">
        <v>600</v>
      </c>
    </row>
    <row r="749" spans="1:16" s="10" customFormat="1">
      <c r="A749" s="7">
        <f>IF(B749="","",SUBTOTAL(103,$B$2:B749))</f>
        <v>748</v>
      </c>
      <c r="B749" s="8" t="s">
        <v>2129</v>
      </c>
      <c r="C749" s="7" t="s">
        <v>2156</v>
      </c>
      <c r="D749" s="9" t="s">
        <v>2157</v>
      </c>
      <c r="E749" s="7" t="s">
        <v>2131</v>
      </c>
      <c r="F749" s="7" t="s">
        <v>1328</v>
      </c>
      <c r="G749" s="7" t="s">
        <v>2158</v>
      </c>
      <c r="H749" s="7">
        <v>0.65100000000000002</v>
      </c>
      <c r="I749" s="7">
        <v>4</v>
      </c>
      <c r="J749" s="7">
        <v>800</v>
      </c>
      <c r="K749" s="7">
        <v>600</v>
      </c>
      <c r="L749" s="7">
        <v>150</v>
      </c>
      <c r="M749" s="7">
        <v>30</v>
      </c>
      <c r="N749" s="7">
        <v>120</v>
      </c>
      <c r="O749" s="7">
        <v>500</v>
      </c>
      <c r="P749" s="7">
        <v>600</v>
      </c>
    </row>
    <row r="750" spans="1:16" s="10" customFormat="1">
      <c r="A750" s="7">
        <f>IF(B750="","",SUBTOTAL(103,$B$2:B750))</f>
        <v>749</v>
      </c>
      <c r="B750" s="8" t="s">
        <v>2129</v>
      </c>
      <c r="C750" s="7" t="s">
        <v>2156</v>
      </c>
      <c r="D750" s="9" t="s">
        <v>2159</v>
      </c>
      <c r="E750" s="7" t="s">
        <v>2052</v>
      </c>
      <c r="F750" s="7" t="s">
        <v>1328</v>
      </c>
      <c r="G750" s="7" t="s">
        <v>2160</v>
      </c>
      <c r="H750" s="7">
        <v>0.65100000000000002</v>
      </c>
      <c r="I750" s="7">
        <v>4</v>
      </c>
      <c r="J750" s="7">
        <v>800</v>
      </c>
      <c r="K750" s="7">
        <v>600</v>
      </c>
      <c r="L750" s="7">
        <v>150</v>
      </c>
      <c r="M750" s="7">
        <v>30</v>
      </c>
      <c r="N750" s="7">
        <v>120</v>
      </c>
      <c r="O750" s="7">
        <v>500</v>
      </c>
      <c r="P750" s="7">
        <v>600</v>
      </c>
    </row>
    <row r="751" spans="1:16" s="10" customFormat="1">
      <c r="A751" s="7">
        <f>IF(B751="","",SUBTOTAL(103,$B$2:B751))</f>
        <v>750</v>
      </c>
      <c r="B751" s="8" t="s">
        <v>2129</v>
      </c>
      <c r="C751" s="7" t="s">
        <v>1830</v>
      </c>
      <c r="D751" s="9" t="s">
        <v>2161</v>
      </c>
      <c r="E751" s="7" t="s">
        <v>2131</v>
      </c>
      <c r="F751" s="7" t="s">
        <v>1331</v>
      </c>
      <c r="G751" s="7" t="s">
        <v>2162</v>
      </c>
      <c r="H751" s="7">
        <v>0.48499999999999999</v>
      </c>
      <c r="I751" s="7">
        <v>12</v>
      </c>
      <c r="J751" s="7">
        <v>800</v>
      </c>
      <c r="K751" s="7">
        <v>600</v>
      </c>
      <c r="L751" s="7">
        <v>150</v>
      </c>
      <c r="M751" s="7">
        <v>30</v>
      </c>
      <c r="N751" s="7">
        <v>120</v>
      </c>
      <c r="O751" s="7">
        <v>150</v>
      </c>
      <c r="P751" s="7">
        <v>290</v>
      </c>
    </row>
    <row r="752" spans="1:16" s="10" customFormat="1">
      <c r="A752" s="7">
        <f>IF(B752="","",SUBTOTAL(103,$B$2:B752))</f>
        <v>751</v>
      </c>
      <c r="B752" s="8" t="s">
        <v>2129</v>
      </c>
      <c r="C752" s="7" t="s">
        <v>2163</v>
      </c>
      <c r="D752" s="9" t="s">
        <v>2164</v>
      </c>
      <c r="E752" s="7" t="s">
        <v>2131</v>
      </c>
      <c r="F752" s="7" t="s">
        <v>1334</v>
      </c>
      <c r="G752" s="7" t="s">
        <v>2165</v>
      </c>
      <c r="H752" s="7">
        <v>0.48499999999999999</v>
      </c>
      <c r="I752" s="7">
        <v>12</v>
      </c>
      <c r="J752" s="7">
        <v>800</v>
      </c>
      <c r="K752" s="7">
        <v>600</v>
      </c>
      <c r="L752" s="7">
        <v>150</v>
      </c>
      <c r="M752" s="7">
        <v>30</v>
      </c>
      <c r="N752" s="7">
        <v>120</v>
      </c>
      <c r="O752" s="7">
        <v>150</v>
      </c>
      <c r="P752" s="7">
        <v>365</v>
      </c>
    </row>
    <row r="753" spans="1:16" s="10" customFormat="1">
      <c r="A753" s="7">
        <f>IF(B753="","",SUBTOTAL(103,$B$2:B753))</f>
        <v>752</v>
      </c>
      <c r="B753" s="8" t="s">
        <v>2129</v>
      </c>
      <c r="C753" s="7" t="s">
        <v>2163</v>
      </c>
      <c r="D753" s="9" t="s">
        <v>2166</v>
      </c>
      <c r="E753" s="7" t="s">
        <v>2052</v>
      </c>
      <c r="F753" s="7" t="s">
        <v>1334</v>
      </c>
      <c r="G753" s="7" t="s">
        <v>2167</v>
      </c>
      <c r="H753" s="7">
        <v>0.48499999999999999</v>
      </c>
      <c r="I753" s="7">
        <v>12</v>
      </c>
      <c r="J753" s="7">
        <v>800</v>
      </c>
      <c r="K753" s="7">
        <v>600</v>
      </c>
      <c r="L753" s="7">
        <v>150</v>
      </c>
      <c r="M753" s="7">
        <v>30</v>
      </c>
      <c r="N753" s="7">
        <v>120</v>
      </c>
      <c r="O753" s="7">
        <v>150</v>
      </c>
      <c r="P753" s="7">
        <v>365</v>
      </c>
    </row>
    <row r="754" spans="1:16" s="10" customFormat="1">
      <c r="A754" s="7">
        <f>IF(B754="","",SUBTOTAL(103,$B$2:B754))</f>
        <v>753</v>
      </c>
      <c r="B754" s="8" t="s">
        <v>2129</v>
      </c>
      <c r="C754" s="7" t="s">
        <v>1833</v>
      </c>
      <c r="D754" s="9" t="s">
        <v>2168</v>
      </c>
      <c r="E754" s="7" t="s">
        <v>2131</v>
      </c>
      <c r="F754" s="7" t="s">
        <v>1339</v>
      </c>
      <c r="G754" s="7" t="s">
        <v>2169</v>
      </c>
      <c r="H754" s="7">
        <v>1.0069999999999999</v>
      </c>
      <c r="I754" s="7">
        <v>4</v>
      </c>
      <c r="J754" s="7">
        <v>800</v>
      </c>
      <c r="K754" s="7">
        <v>600</v>
      </c>
      <c r="L754" s="7">
        <v>150</v>
      </c>
      <c r="M754" s="7">
        <v>30</v>
      </c>
      <c r="N754" s="7">
        <v>120</v>
      </c>
      <c r="O754" s="7">
        <v>500</v>
      </c>
      <c r="P754" s="7">
        <v>600</v>
      </c>
    </row>
    <row r="755" spans="1:16" s="10" customFormat="1">
      <c r="A755" s="7">
        <f>IF(B755="","",SUBTOTAL(103,$B$2:B755))</f>
        <v>754</v>
      </c>
      <c r="B755" s="8" t="s">
        <v>2129</v>
      </c>
      <c r="C755" s="7" t="s">
        <v>2059</v>
      </c>
      <c r="D755" s="9" t="s">
        <v>2170</v>
      </c>
      <c r="E755" s="7" t="s">
        <v>2131</v>
      </c>
      <c r="F755" s="7" t="s">
        <v>1342</v>
      </c>
      <c r="G755" s="7" t="s">
        <v>2171</v>
      </c>
      <c r="H755" s="7">
        <v>1.0069999999999999</v>
      </c>
      <c r="I755" s="7">
        <v>4</v>
      </c>
      <c r="J755" s="7">
        <v>800</v>
      </c>
      <c r="K755" s="7">
        <v>600</v>
      </c>
      <c r="L755" s="7">
        <v>150</v>
      </c>
      <c r="M755" s="7">
        <v>30</v>
      </c>
      <c r="N755" s="7">
        <v>120</v>
      </c>
      <c r="O755" s="7">
        <v>500</v>
      </c>
      <c r="P755" s="7">
        <v>600</v>
      </c>
    </row>
    <row r="756" spans="1:16" s="10" customFormat="1">
      <c r="A756" s="7">
        <f>IF(B756="","",SUBTOTAL(103,$B$2:B756))</f>
        <v>755</v>
      </c>
      <c r="B756" s="8" t="s">
        <v>2129</v>
      </c>
      <c r="C756" s="7" t="s">
        <v>1836</v>
      </c>
      <c r="D756" s="9" t="s">
        <v>2172</v>
      </c>
      <c r="E756" s="7" t="s">
        <v>2131</v>
      </c>
      <c r="F756" s="7" t="s">
        <v>1345</v>
      </c>
      <c r="G756" s="7" t="s">
        <v>2173</v>
      </c>
      <c r="H756" s="7">
        <v>1.7729999999999999</v>
      </c>
      <c r="I756" s="7">
        <v>2</v>
      </c>
      <c r="J756" s="7">
        <v>800</v>
      </c>
      <c r="K756" s="7">
        <v>600</v>
      </c>
      <c r="L756" s="7">
        <v>150</v>
      </c>
      <c r="M756" s="7">
        <v>30</v>
      </c>
      <c r="N756" s="7">
        <v>120</v>
      </c>
      <c r="O756" s="7">
        <v>1000</v>
      </c>
      <c r="P756" s="7">
        <v>1100</v>
      </c>
    </row>
    <row r="757" spans="1:16" s="10" customFormat="1">
      <c r="A757" s="7">
        <f>IF(B757="","",SUBTOTAL(103,$B$2:B757))</f>
        <v>756</v>
      </c>
      <c r="B757" s="8" t="s">
        <v>2129</v>
      </c>
      <c r="C757" s="7" t="s">
        <v>2062</v>
      </c>
      <c r="D757" s="9" t="s">
        <v>2174</v>
      </c>
      <c r="E757" s="7" t="s">
        <v>2131</v>
      </c>
      <c r="F757" s="7" t="s">
        <v>1348</v>
      </c>
      <c r="G757" s="7" t="s">
        <v>2175</v>
      </c>
      <c r="H757" s="7">
        <v>1.7729999999999999</v>
      </c>
      <c r="I757" s="7">
        <v>2</v>
      </c>
      <c r="J757" s="7">
        <v>800</v>
      </c>
      <c r="K757" s="7">
        <v>600</v>
      </c>
      <c r="L757" s="7">
        <v>150</v>
      </c>
      <c r="M757" s="7">
        <v>30</v>
      </c>
      <c r="N757" s="7">
        <v>120</v>
      </c>
      <c r="O757" s="7">
        <v>1000</v>
      </c>
      <c r="P757" s="7">
        <v>1100</v>
      </c>
    </row>
    <row r="758" spans="1:16" s="10" customFormat="1">
      <c r="A758" s="7">
        <f>IF(B758="","",SUBTOTAL(103,$B$2:B758))</f>
        <v>757</v>
      </c>
      <c r="B758" s="8" t="s">
        <v>2129</v>
      </c>
      <c r="C758" s="7" t="s">
        <v>1951</v>
      </c>
      <c r="D758" s="9" t="s">
        <v>2176</v>
      </c>
      <c r="E758" s="7" t="s">
        <v>2131</v>
      </c>
      <c r="F758" s="7" t="s">
        <v>1351</v>
      </c>
      <c r="G758" s="7" t="s">
        <v>2177</v>
      </c>
      <c r="H758" s="7">
        <v>2.6549999999999998</v>
      </c>
      <c r="I758" s="7">
        <v>2</v>
      </c>
      <c r="J758" s="7">
        <v>800</v>
      </c>
      <c r="K758" s="7">
        <v>600</v>
      </c>
      <c r="L758" s="7">
        <v>150</v>
      </c>
      <c r="M758" s="7">
        <v>30</v>
      </c>
      <c r="N758" s="7">
        <v>120</v>
      </c>
      <c r="O758" s="7">
        <v>1000</v>
      </c>
      <c r="P758" s="7">
        <v>1100</v>
      </c>
    </row>
    <row r="759" spans="1:16" s="10" customFormat="1">
      <c r="A759" s="7">
        <f>IF(B759="","",SUBTOTAL(103,$B$2:B759))</f>
        <v>758</v>
      </c>
      <c r="B759" s="8" t="s">
        <v>2129</v>
      </c>
      <c r="C759" s="7" t="s">
        <v>2178</v>
      </c>
      <c r="D759" s="9" t="s">
        <v>2179</v>
      </c>
      <c r="E759" s="7" t="s">
        <v>2131</v>
      </c>
      <c r="F759" s="7" t="s">
        <v>1354</v>
      </c>
      <c r="G759" s="7" t="s">
        <v>2180</v>
      </c>
      <c r="H759" s="7">
        <v>2.6549999999999998</v>
      </c>
      <c r="I759" s="7">
        <v>2</v>
      </c>
      <c r="J759" s="7">
        <v>800</v>
      </c>
      <c r="K759" s="7">
        <v>600</v>
      </c>
      <c r="L759" s="7">
        <v>150</v>
      </c>
      <c r="M759" s="7">
        <v>30</v>
      </c>
      <c r="N759" s="7">
        <v>120</v>
      </c>
      <c r="O759" s="7">
        <v>1000</v>
      </c>
      <c r="P759" s="7">
        <v>1100</v>
      </c>
    </row>
    <row r="760" spans="1:16" s="10" customFormat="1">
      <c r="A760" s="7">
        <f>IF(B760="","",SUBTOTAL(103,$B$2:B760))</f>
        <v>759</v>
      </c>
      <c r="B760" s="8" t="s">
        <v>2129</v>
      </c>
      <c r="C760" s="7" t="s">
        <v>1839</v>
      </c>
      <c r="D760" s="9" t="s">
        <v>2181</v>
      </c>
      <c r="E760" s="7" t="s">
        <v>2131</v>
      </c>
      <c r="F760" s="7" t="s">
        <v>1357</v>
      </c>
      <c r="G760" s="7" t="s">
        <v>2182</v>
      </c>
      <c r="H760" s="7">
        <v>0.19600000000000001</v>
      </c>
      <c r="I760" s="7">
        <v>12</v>
      </c>
      <c r="J760" s="7">
        <v>800</v>
      </c>
      <c r="K760" s="7">
        <v>600</v>
      </c>
      <c r="L760" s="7">
        <v>150</v>
      </c>
      <c r="M760" s="7">
        <v>30</v>
      </c>
      <c r="N760" s="7">
        <v>120</v>
      </c>
      <c r="O760" s="7">
        <v>150</v>
      </c>
      <c r="P760" s="11">
        <v>265</v>
      </c>
    </row>
    <row r="761" spans="1:16" s="10" customFormat="1">
      <c r="A761" s="7">
        <f>IF(B761="","",SUBTOTAL(103,$B$2:B761))</f>
        <v>760</v>
      </c>
      <c r="B761" s="8" t="s">
        <v>2129</v>
      </c>
      <c r="C761" s="7" t="s">
        <v>1839</v>
      </c>
      <c r="D761" s="9" t="s">
        <v>2183</v>
      </c>
      <c r="E761" s="7" t="s">
        <v>2052</v>
      </c>
      <c r="F761" s="7" t="s">
        <v>1357</v>
      </c>
      <c r="G761" s="7" t="str">
        <f>E761&amp;F761</f>
        <v>KI 114  KI-04 SLB3/4 CF8 NPT</v>
      </c>
      <c r="H761" s="7">
        <v>0.19600000000000001</v>
      </c>
      <c r="I761" s="7">
        <v>18</v>
      </c>
      <c r="J761" s="7">
        <v>800</v>
      </c>
      <c r="K761" s="7">
        <v>600</v>
      </c>
      <c r="L761" s="7">
        <v>150</v>
      </c>
      <c r="M761" s="7">
        <v>30</v>
      </c>
      <c r="N761" s="7">
        <v>120</v>
      </c>
      <c r="O761" s="7">
        <v>150</v>
      </c>
      <c r="P761" s="11">
        <v>265</v>
      </c>
    </row>
    <row r="762" spans="1:16" s="10" customFormat="1">
      <c r="A762" s="7">
        <f>IF(B762="","",SUBTOTAL(103,$B$2:B762))</f>
        <v>761</v>
      </c>
      <c r="B762" s="8" t="s">
        <v>2129</v>
      </c>
      <c r="C762" s="7" t="s">
        <v>2065</v>
      </c>
      <c r="D762" s="9" t="s">
        <v>2184</v>
      </c>
      <c r="E762" s="7" t="s">
        <v>2131</v>
      </c>
      <c r="F762" s="7" t="s">
        <v>1360</v>
      </c>
      <c r="G762" s="7" t="s">
        <v>2185</v>
      </c>
      <c r="H762" s="7">
        <v>0.19600000000000001</v>
      </c>
      <c r="I762" s="7">
        <v>12</v>
      </c>
      <c r="J762" s="7">
        <v>800</v>
      </c>
      <c r="K762" s="7">
        <v>600</v>
      </c>
      <c r="L762" s="7">
        <v>150</v>
      </c>
      <c r="M762" s="7">
        <v>30</v>
      </c>
      <c r="N762" s="7">
        <v>120</v>
      </c>
      <c r="O762" s="7">
        <v>150</v>
      </c>
      <c r="P762" s="11">
        <v>265</v>
      </c>
    </row>
    <row r="763" spans="1:16" s="10" customFormat="1">
      <c r="A763" s="7">
        <f>IF(B763="","",SUBTOTAL(103,$B$2:B763))</f>
        <v>762</v>
      </c>
      <c r="B763" s="8" t="s">
        <v>2129</v>
      </c>
      <c r="C763" s="7" t="s">
        <v>1842</v>
      </c>
      <c r="D763" s="9" t="s">
        <v>2186</v>
      </c>
      <c r="E763" s="7" t="s">
        <v>2131</v>
      </c>
      <c r="F763" s="7" t="s">
        <v>1363</v>
      </c>
      <c r="G763" s="7" t="s">
        <v>2187</v>
      </c>
      <c r="H763" s="7">
        <v>7.9000000000000001E-2</v>
      </c>
      <c r="I763" s="7">
        <v>40</v>
      </c>
      <c r="J763" s="7">
        <v>800</v>
      </c>
      <c r="K763" s="7">
        <v>600</v>
      </c>
      <c r="L763" s="7">
        <v>150</v>
      </c>
      <c r="M763" s="7">
        <v>30</v>
      </c>
      <c r="N763" s="7">
        <v>120</v>
      </c>
      <c r="O763" s="7">
        <v>45</v>
      </c>
      <c r="P763" s="7">
        <v>125</v>
      </c>
    </row>
    <row r="764" spans="1:16" s="10" customFormat="1">
      <c r="A764" s="7">
        <f>IF(B764="","",SUBTOTAL(103,$B$2:B764))</f>
        <v>763</v>
      </c>
      <c r="B764" s="8" t="s">
        <v>2129</v>
      </c>
      <c r="C764" s="7" t="s">
        <v>1842</v>
      </c>
      <c r="D764" s="9" t="s">
        <v>2188</v>
      </c>
      <c r="E764" s="7" t="s">
        <v>2052</v>
      </c>
      <c r="F764" s="7" t="s">
        <v>1363</v>
      </c>
      <c r="G764" s="7" t="str">
        <f>E764&amp;F764</f>
        <v>KI 114  KI-04 SLB3/8 CF8 NPT</v>
      </c>
      <c r="H764" s="7">
        <v>7.9000000000000001E-2</v>
      </c>
      <c r="I764" s="7">
        <v>40</v>
      </c>
      <c r="J764" s="7">
        <v>800</v>
      </c>
      <c r="K764" s="7">
        <v>600</v>
      </c>
      <c r="L764" s="7">
        <v>150</v>
      </c>
      <c r="M764" s="7">
        <v>30</v>
      </c>
      <c r="N764" s="7">
        <v>120</v>
      </c>
      <c r="O764" s="7">
        <v>45</v>
      </c>
      <c r="P764" s="7">
        <v>125</v>
      </c>
    </row>
    <row r="765" spans="1:16" s="10" customFormat="1">
      <c r="A765" s="7">
        <f>IF(B765="","",SUBTOTAL(103,$B$2:B765))</f>
        <v>764</v>
      </c>
      <c r="B765" s="8" t="s">
        <v>2129</v>
      </c>
      <c r="C765" s="7" t="s">
        <v>2189</v>
      </c>
      <c r="D765" s="9" t="s">
        <v>2190</v>
      </c>
      <c r="E765" s="7" t="s">
        <v>2131</v>
      </c>
      <c r="F765" s="7" t="s">
        <v>1366</v>
      </c>
      <c r="G765" s="7" t="s">
        <v>2191</v>
      </c>
      <c r="H765" s="7">
        <v>7.9000000000000001E-2</v>
      </c>
      <c r="I765" s="7">
        <v>40</v>
      </c>
      <c r="J765" s="7">
        <v>800</v>
      </c>
      <c r="K765" s="7">
        <v>600</v>
      </c>
      <c r="L765" s="7">
        <v>150</v>
      </c>
      <c r="M765" s="7">
        <v>30</v>
      </c>
      <c r="N765" s="7">
        <v>120</v>
      </c>
      <c r="O765" s="7">
        <v>45</v>
      </c>
      <c r="P765" s="7">
        <v>215</v>
      </c>
    </row>
    <row r="766" spans="1:16" s="10" customFormat="1">
      <c r="A766" s="7">
        <f>IF(B766="","",SUBTOTAL(103,$B$2:B766))</f>
        <v>765</v>
      </c>
      <c r="B766" s="8" t="s">
        <v>2129</v>
      </c>
      <c r="C766" s="7" t="s">
        <v>1968</v>
      </c>
      <c r="D766" s="9" t="s">
        <v>2192</v>
      </c>
      <c r="E766" s="7" t="s">
        <v>2131</v>
      </c>
      <c r="F766" s="7" t="s">
        <v>1369</v>
      </c>
      <c r="G766" s="7" t="s">
        <v>2193</v>
      </c>
      <c r="H766" s="7">
        <v>4.7679999999999998</v>
      </c>
      <c r="I766" s="7">
        <v>1</v>
      </c>
      <c r="J766" s="7">
        <v>800</v>
      </c>
      <c r="K766" s="7">
        <v>600</v>
      </c>
      <c r="L766" s="7">
        <v>150</v>
      </c>
      <c r="M766" s="7">
        <v>30</v>
      </c>
      <c r="N766" s="7">
        <v>120</v>
      </c>
      <c r="O766" s="7">
        <v>2000</v>
      </c>
      <c r="P766" s="7">
        <v>2050</v>
      </c>
    </row>
    <row r="767" spans="1:16" s="10" customFormat="1">
      <c r="A767" s="7">
        <f>IF(B767="","",SUBTOTAL(103,$B$2:B767))</f>
        <v>766</v>
      </c>
      <c r="B767" s="8" t="s">
        <v>2129</v>
      </c>
      <c r="C767" s="7" t="s">
        <v>2194</v>
      </c>
      <c r="D767" s="9" t="s">
        <v>2195</v>
      </c>
      <c r="E767" s="7" t="s">
        <v>2131</v>
      </c>
      <c r="F767" s="7" t="s">
        <v>1372</v>
      </c>
      <c r="G767" s="7" t="s">
        <v>2196</v>
      </c>
      <c r="H767" s="7">
        <v>4.7679999999999998</v>
      </c>
      <c r="I767" s="7">
        <v>1</v>
      </c>
      <c r="J767" s="7">
        <v>800</v>
      </c>
      <c r="K767" s="7">
        <v>600</v>
      </c>
      <c r="L767" s="7">
        <v>150</v>
      </c>
      <c r="M767" s="7">
        <v>30</v>
      </c>
      <c r="N767" s="7">
        <v>120</v>
      </c>
      <c r="O767" s="7">
        <v>2000</v>
      </c>
      <c r="P767" s="7">
        <v>2050</v>
      </c>
    </row>
    <row r="768" spans="1:16" s="10" customFormat="1">
      <c r="A768" s="7">
        <f>IF(B768="","",SUBTOTAL(103,$B$2:B768))</f>
        <v>767</v>
      </c>
      <c r="B768" s="8" t="s">
        <v>2197</v>
      </c>
      <c r="C768" s="7" t="s">
        <v>2198</v>
      </c>
      <c r="D768" s="9" t="s">
        <v>2199</v>
      </c>
      <c r="E768" s="7" t="s">
        <v>2200</v>
      </c>
      <c r="F768" s="7" t="s">
        <v>1300</v>
      </c>
      <c r="G768" s="7" t="s">
        <v>2201</v>
      </c>
      <c r="H768" s="7">
        <v>0.20599999999999999</v>
      </c>
      <c r="I768" s="7">
        <v>36</v>
      </c>
      <c r="J768" s="7">
        <v>800</v>
      </c>
      <c r="K768" s="7">
        <v>600</v>
      </c>
      <c r="L768" s="7">
        <v>150</v>
      </c>
      <c r="M768" s="7">
        <v>30</v>
      </c>
      <c r="N768" s="7">
        <v>60</v>
      </c>
      <c r="O768" s="7">
        <v>55</v>
      </c>
      <c r="P768" s="7">
        <v>130</v>
      </c>
    </row>
    <row r="769" spans="1:16" s="10" customFormat="1">
      <c r="A769" s="7">
        <f>IF(B769="","",SUBTOTAL(103,$B$2:B769))</f>
        <v>768</v>
      </c>
      <c r="B769" s="8" t="s">
        <v>2197</v>
      </c>
      <c r="C769" s="7" t="s">
        <v>2198</v>
      </c>
      <c r="D769" s="9" t="s">
        <v>2202</v>
      </c>
      <c r="E769" s="7" t="s">
        <v>2200</v>
      </c>
      <c r="F769" s="7" t="s">
        <v>1303</v>
      </c>
      <c r="G769" s="7" t="s">
        <v>2203</v>
      </c>
      <c r="H769" s="7">
        <v>0.20599999999999999</v>
      </c>
      <c r="I769" s="7">
        <v>36</v>
      </c>
      <c r="J769" s="7">
        <v>800</v>
      </c>
      <c r="K769" s="7">
        <v>600</v>
      </c>
      <c r="L769" s="7">
        <v>150</v>
      </c>
      <c r="M769" s="7">
        <v>30</v>
      </c>
      <c r="N769" s="7">
        <v>60</v>
      </c>
      <c r="O769" s="7">
        <v>55</v>
      </c>
      <c r="P769" s="7">
        <v>130</v>
      </c>
    </row>
    <row r="770" spans="1:16" s="10" customFormat="1">
      <c r="A770" s="7">
        <f>IF(B770="","",SUBTOTAL(103,$B$2:B770))</f>
        <v>769</v>
      </c>
      <c r="B770" s="8" t="s">
        <v>2197</v>
      </c>
      <c r="C770" s="7" t="s">
        <v>2204</v>
      </c>
      <c r="D770" s="9" t="s">
        <v>2205</v>
      </c>
      <c r="E770" s="7" t="s">
        <v>2200</v>
      </c>
      <c r="F770" s="7" t="s">
        <v>1306</v>
      </c>
      <c r="G770" s="7" t="s">
        <v>2206</v>
      </c>
      <c r="H770" s="7">
        <v>8.4000000000000005E-2</v>
      </c>
      <c r="I770" s="7">
        <v>48</v>
      </c>
      <c r="J770" s="7">
        <v>800</v>
      </c>
      <c r="K770" s="7">
        <v>600</v>
      </c>
      <c r="L770" s="7">
        <v>150</v>
      </c>
      <c r="M770" s="7">
        <v>30</v>
      </c>
      <c r="N770" s="7">
        <v>60</v>
      </c>
      <c r="O770" s="7">
        <v>41</v>
      </c>
      <c r="P770" s="7">
        <v>120</v>
      </c>
    </row>
    <row r="771" spans="1:16" s="10" customFormat="1">
      <c r="A771" s="7">
        <f>IF(B771="","",SUBTOTAL(103,$B$2:B771))</f>
        <v>770</v>
      </c>
      <c r="B771" s="8" t="s">
        <v>2197</v>
      </c>
      <c r="C771" s="7" t="s">
        <v>2204</v>
      </c>
      <c r="D771" s="9" t="s">
        <v>2207</v>
      </c>
      <c r="E771" s="7" t="s">
        <v>2200</v>
      </c>
      <c r="F771" s="7" t="s">
        <v>1309</v>
      </c>
      <c r="G771" s="7" t="s">
        <v>2208</v>
      </c>
      <c r="H771" s="7">
        <v>8.4000000000000005E-2</v>
      </c>
      <c r="I771" s="7">
        <v>48</v>
      </c>
      <c r="J771" s="7">
        <v>800</v>
      </c>
      <c r="K771" s="7">
        <v>600</v>
      </c>
      <c r="L771" s="7">
        <v>150</v>
      </c>
      <c r="M771" s="7">
        <v>30</v>
      </c>
      <c r="N771" s="7">
        <v>60</v>
      </c>
      <c r="O771" s="7">
        <v>41</v>
      </c>
      <c r="P771" s="7">
        <v>120</v>
      </c>
    </row>
    <row r="772" spans="1:16" s="10" customFormat="1">
      <c r="A772" s="7">
        <f>IF(B772="","",SUBTOTAL(103,$B$2:B772))</f>
        <v>771</v>
      </c>
      <c r="B772" s="8" t="s">
        <v>2197</v>
      </c>
      <c r="C772" s="7" t="s">
        <v>2209</v>
      </c>
      <c r="D772" s="9" t="s">
        <v>2210</v>
      </c>
      <c r="E772" s="7" t="s">
        <v>2200</v>
      </c>
      <c r="F772" s="7" t="s">
        <v>1312</v>
      </c>
      <c r="G772" s="7" t="s">
        <v>2211</v>
      </c>
      <c r="H772" s="7">
        <v>4.2999999999999997E-2</v>
      </c>
      <c r="I772" s="7">
        <v>80</v>
      </c>
      <c r="J772" s="7">
        <v>800</v>
      </c>
      <c r="K772" s="7">
        <v>600</v>
      </c>
      <c r="L772" s="7">
        <v>150</v>
      </c>
      <c r="M772" s="7">
        <v>30</v>
      </c>
      <c r="N772" s="7">
        <v>60</v>
      </c>
      <c r="O772" s="7">
        <v>25</v>
      </c>
      <c r="P772" s="7">
        <v>100</v>
      </c>
    </row>
    <row r="773" spans="1:16" s="10" customFormat="1">
      <c r="A773" s="7">
        <f>IF(B773="","",SUBTOTAL(103,$B$2:B773))</f>
        <v>772</v>
      </c>
      <c r="B773" s="8" t="s">
        <v>2197</v>
      </c>
      <c r="C773" s="7" t="s">
        <v>2209</v>
      </c>
      <c r="D773" s="9" t="s">
        <v>2212</v>
      </c>
      <c r="E773" s="7" t="s">
        <v>2200</v>
      </c>
      <c r="F773" s="7" t="s">
        <v>1315</v>
      </c>
      <c r="G773" s="7" t="s">
        <v>2213</v>
      </c>
      <c r="H773" s="7">
        <v>4.2999999999999997E-2</v>
      </c>
      <c r="I773" s="7">
        <v>80</v>
      </c>
      <c r="J773" s="7">
        <v>800</v>
      </c>
      <c r="K773" s="7">
        <v>600</v>
      </c>
      <c r="L773" s="7">
        <v>150</v>
      </c>
      <c r="M773" s="7">
        <v>30</v>
      </c>
      <c r="N773" s="7">
        <v>60</v>
      </c>
      <c r="O773" s="7">
        <v>25</v>
      </c>
      <c r="P773" s="7">
        <v>100</v>
      </c>
    </row>
    <row r="774" spans="1:16" s="10" customFormat="1">
      <c r="A774" s="7">
        <f>IF(B774="","",SUBTOTAL(103,$B$2:B774))</f>
        <v>773</v>
      </c>
      <c r="B774" s="8" t="s">
        <v>2197</v>
      </c>
      <c r="C774" s="7" t="s">
        <v>2214</v>
      </c>
      <c r="D774" s="9" t="s">
        <v>2215</v>
      </c>
      <c r="E774" s="7" t="s">
        <v>2200</v>
      </c>
      <c r="F774" s="7" t="s">
        <v>1318</v>
      </c>
      <c r="G774" s="7" t="s">
        <v>2216</v>
      </c>
      <c r="H774" s="7">
        <v>2.5000000000000001E-2</v>
      </c>
      <c r="I774" s="7">
        <v>92</v>
      </c>
      <c r="J774" s="7">
        <v>800</v>
      </c>
      <c r="K774" s="7">
        <v>600</v>
      </c>
      <c r="L774" s="7">
        <v>150</v>
      </c>
      <c r="M774" s="7">
        <v>30</v>
      </c>
      <c r="N774" s="7">
        <v>60</v>
      </c>
      <c r="O774" s="7">
        <v>27</v>
      </c>
      <c r="P774" s="7">
        <v>100</v>
      </c>
    </row>
    <row r="775" spans="1:16" s="10" customFormat="1">
      <c r="A775" s="7">
        <f>IF(B775="","",SUBTOTAL(103,$B$2:B775))</f>
        <v>774</v>
      </c>
      <c r="B775" s="8" t="s">
        <v>2197</v>
      </c>
      <c r="C775" s="7" t="s">
        <v>2214</v>
      </c>
      <c r="D775" s="9" t="s">
        <v>2217</v>
      </c>
      <c r="E775" s="7" t="s">
        <v>2200</v>
      </c>
      <c r="F775" s="7" t="s">
        <v>1322</v>
      </c>
      <c r="G775" s="7" t="s">
        <v>2218</v>
      </c>
      <c r="H775" s="7">
        <v>2.5000000000000001E-2</v>
      </c>
      <c r="I775" s="7">
        <v>92</v>
      </c>
      <c r="J775" s="7">
        <v>800</v>
      </c>
      <c r="K775" s="7">
        <v>600</v>
      </c>
      <c r="L775" s="7">
        <v>150</v>
      </c>
      <c r="M775" s="7">
        <v>30</v>
      </c>
      <c r="N775" s="7">
        <v>60</v>
      </c>
      <c r="O775" s="7">
        <v>27</v>
      </c>
      <c r="P775" s="7">
        <v>100</v>
      </c>
    </row>
    <row r="776" spans="1:16" s="10" customFormat="1">
      <c r="A776" s="7">
        <f>IF(B776="","",SUBTOTAL(103,$B$2:B776))</f>
        <v>775</v>
      </c>
      <c r="B776" s="8" t="s">
        <v>2197</v>
      </c>
      <c r="C776" s="7" t="s">
        <v>2219</v>
      </c>
      <c r="D776" s="9" t="s">
        <v>2220</v>
      </c>
      <c r="E776" s="7" t="s">
        <v>2200</v>
      </c>
      <c r="F776" s="7" t="s">
        <v>1325</v>
      </c>
      <c r="G776" s="7" t="s">
        <v>2221</v>
      </c>
      <c r="H776" s="7">
        <v>0.316</v>
      </c>
      <c r="I776" s="7">
        <v>22</v>
      </c>
      <c r="J776" s="7">
        <v>800</v>
      </c>
      <c r="K776" s="7">
        <v>600</v>
      </c>
      <c r="L776" s="7">
        <v>150</v>
      </c>
      <c r="M776" s="7">
        <v>30</v>
      </c>
      <c r="N776" s="7">
        <v>60</v>
      </c>
      <c r="O776" s="7">
        <v>90</v>
      </c>
      <c r="P776" s="7">
        <v>200</v>
      </c>
    </row>
    <row r="777" spans="1:16" s="10" customFormat="1">
      <c r="A777" s="7">
        <f>IF(B777="","",SUBTOTAL(103,$B$2:B777))</f>
        <v>776</v>
      </c>
      <c r="B777" s="8" t="s">
        <v>2197</v>
      </c>
      <c r="C777" s="7" t="s">
        <v>2219</v>
      </c>
      <c r="D777" s="9" t="s">
        <v>2222</v>
      </c>
      <c r="E777" s="7" t="s">
        <v>2200</v>
      </c>
      <c r="F777" s="7" t="s">
        <v>1328</v>
      </c>
      <c r="G777" s="7" t="s">
        <v>2223</v>
      </c>
      <c r="H777" s="7">
        <v>0.316</v>
      </c>
      <c r="I777" s="7">
        <v>22</v>
      </c>
      <c r="J777" s="7">
        <v>800</v>
      </c>
      <c r="K777" s="7">
        <v>600</v>
      </c>
      <c r="L777" s="7">
        <v>150</v>
      </c>
      <c r="M777" s="7">
        <v>30</v>
      </c>
      <c r="N777" s="7">
        <v>60</v>
      </c>
      <c r="O777" s="7">
        <v>90</v>
      </c>
      <c r="P777" s="7">
        <v>200</v>
      </c>
    </row>
    <row r="778" spans="1:16" s="10" customFormat="1">
      <c r="A778" s="7">
        <f>IF(B778="","",SUBTOTAL(103,$B$2:B778))</f>
        <v>777</v>
      </c>
      <c r="B778" s="8" t="s">
        <v>2197</v>
      </c>
      <c r="C778" s="7" t="s">
        <v>2224</v>
      </c>
      <c r="D778" s="9" t="s">
        <v>2225</v>
      </c>
      <c r="E778" s="7" t="s">
        <v>2200</v>
      </c>
      <c r="F778" s="7" t="s">
        <v>1331</v>
      </c>
      <c r="G778" s="7" t="s">
        <v>2226</v>
      </c>
      <c r="H778" s="7">
        <v>0.26400000000000001</v>
      </c>
      <c r="I778" s="7">
        <v>28</v>
      </c>
      <c r="J778" s="7">
        <v>800</v>
      </c>
      <c r="K778" s="7">
        <v>600</v>
      </c>
      <c r="L778" s="7">
        <v>150</v>
      </c>
      <c r="M778" s="7">
        <v>30</v>
      </c>
      <c r="N778" s="7">
        <v>60</v>
      </c>
      <c r="O778" s="7">
        <v>70</v>
      </c>
      <c r="P778" s="7">
        <v>155</v>
      </c>
    </row>
    <row r="779" spans="1:16" s="10" customFormat="1">
      <c r="A779" s="7">
        <f>IF(B779="","",SUBTOTAL(103,$B$2:B779))</f>
        <v>778</v>
      </c>
      <c r="B779" s="8" t="s">
        <v>2197</v>
      </c>
      <c r="C779" s="7" t="s">
        <v>2224</v>
      </c>
      <c r="D779" s="9" t="s">
        <v>2227</v>
      </c>
      <c r="E779" s="7" t="s">
        <v>2200</v>
      </c>
      <c r="F779" s="7" t="s">
        <v>1334</v>
      </c>
      <c r="G779" s="7" t="s">
        <v>2228</v>
      </c>
      <c r="H779" s="7">
        <v>0.26400000000000001</v>
      </c>
      <c r="I779" s="7">
        <v>28</v>
      </c>
      <c r="J779" s="7">
        <v>800</v>
      </c>
      <c r="K779" s="7">
        <v>600</v>
      </c>
      <c r="L779" s="7">
        <v>150</v>
      </c>
      <c r="M779" s="7">
        <v>30</v>
      </c>
      <c r="N779" s="7">
        <v>60</v>
      </c>
      <c r="O779" s="7">
        <v>70</v>
      </c>
      <c r="P779" s="7">
        <v>155</v>
      </c>
    </row>
    <row r="780" spans="1:16" s="10" customFormat="1">
      <c r="A780" s="7">
        <f>IF(B780="","",SUBTOTAL(103,$B$2:B780))</f>
        <v>779</v>
      </c>
      <c r="B780" s="8" t="s">
        <v>2197</v>
      </c>
      <c r="C780" s="7" t="s">
        <v>2229</v>
      </c>
      <c r="D780" s="9" t="s">
        <v>2230</v>
      </c>
      <c r="E780" s="7" t="s">
        <v>2200</v>
      </c>
      <c r="F780" s="7" t="s">
        <v>1339</v>
      </c>
      <c r="G780" s="7" t="s">
        <v>2231</v>
      </c>
      <c r="H780" s="7">
        <v>0.53200000000000003</v>
      </c>
      <c r="I780" s="7">
        <v>12</v>
      </c>
      <c r="J780" s="7">
        <v>800</v>
      </c>
      <c r="K780" s="7">
        <v>600</v>
      </c>
      <c r="L780" s="7">
        <v>150</v>
      </c>
      <c r="M780" s="7">
        <v>30</v>
      </c>
      <c r="N780" s="7">
        <v>60</v>
      </c>
      <c r="O780" s="7">
        <v>150</v>
      </c>
      <c r="P780" s="7">
        <v>400</v>
      </c>
    </row>
    <row r="781" spans="1:16" s="10" customFormat="1">
      <c r="A781" s="7">
        <f>IF(B781="","",SUBTOTAL(103,$B$2:B781))</f>
        <v>780</v>
      </c>
      <c r="B781" s="8" t="s">
        <v>2197</v>
      </c>
      <c r="C781" s="7" t="s">
        <v>2229</v>
      </c>
      <c r="D781" s="9" t="s">
        <v>2232</v>
      </c>
      <c r="E781" s="7" t="s">
        <v>2200</v>
      </c>
      <c r="F781" s="7" t="s">
        <v>1342</v>
      </c>
      <c r="G781" s="7" t="s">
        <v>2233</v>
      </c>
      <c r="H781" s="7">
        <v>0.53200000000000003</v>
      </c>
      <c r="I781" s="7">
        <v>12</v>
      </c>
      <c r="J781" s="7">
        <v>800</v>
      </c>
      <c r="K781" s="7">
        <v>600</v>
      </c>
      <c r="L781" s="7">
        <v>150</v>
      </c>
      <c r="M781" s="7">
        <v>30</v>
      </c>
      <c r="N781" s="7">
        <v>60</v>
      </c>
      <c r="O781" s="7">
        <v>150</v>
      </c>
      <c r="P781" s="7">
        <v>400</v>
      </c>
    </row>
    <row r="782" spans="1:16" s="10" customFormat="1">
      <c r="A782" s="7">
        <f>IF(B782="","",SUBTOTAL(103,$B$2:B782))</f>
        <v>781</v>
      </c>
      <c r="B782" s="8" t="s">
        <v>2197</v>
      </c>
      <c r="C782" s="7" t="s">
        <v>2234</v>
      </c>
      <c r="D782" s="9" t="s">
        <v>2235</v>
      </c>
      <c r="E782" s="7" t="s">
        <v>2200</v>
      </c>
      <c r="F782" s="7" t="s">
        <v>1345</v>
      </c>
      <c r="G782" s="7" t="s">
        <v>2236</v>
      </c>
      <c r="H782" s="7">
        <v>0.96399999999999997</v>
      </c>
      <c r="I782" s="7">
        <v>6</v>
      </c>
      <c r="J782" s="7">
        <v>800</v>
      </c>
      <c r="K782" s="7">
        <v>600</v>
      </c>
      <c r="L782" s="7">
        <v>150</v>
      </c>
      <c r="M782" s="7">
        <v>30</v>
      </c>
      <c r="N782" s="7">
        <v>60</v>
      </c>
      <c r="O782" s="7">
        <v>310</v>
      </c>
      <c r="P782" s="7">
        <v>350</v>
      </c>
    </row>
    <row r="783" spans="1:16" s="10" customFormat="1">
      <c r="A783" s="7">
        <f>IF(B783="","",SUBTOTAL(103,$B$2:B783))</f>
        <v>782</v>
      </c>
      <c r="B783" s="8" t="s">
        <v>2197</v>
      </c>
      <c r="C783" s="7" t="s">
        <v>2234</v>
      </c>
      <c r="D783" s="9" t="s">
        <v>2237</v>
      </c>
      <c r="E783" s="7" t="s">
        <v>2200</v>
      </c>
      <c r="F783" s="7" t="s">
        <v>1348</v>
      </c>
      <c r="G783" s="7" t="s">
        <v>2238</v>
      </c>
      <c r="H783" s="7">
        <v>0.96399999999999997</v>
      </c>
      <c r="I783" s="7">
        <v>6</v>
      </c>
      <c r="J783" s="7">
        <v>800</v>
      </c>
      <c r="K783" s="7">
        <v>600</v>
      </c>
      <c r="L783" s="7">
        <v>150</v>
      </c>
      <c r="M783" s="7">
        <v>30</v>
      </c>
      <c r="N783" s="7">
        <v>60</v>
      </c>
      <c r="O783" s="7">
        <v>310</v>
      </c>
      <c r="P783" s="7">
        <v>350</v>
      </c>
    </row>
    <row r="784" spans="1:16" s="10" customFormat="1">
      <c r="A784" s="7">
        <f>IF(B784="","",SUBTOTAL(103,$B$2:B784))</f>
        <v>783</v>
      </c>
      <c r="B784" s="8" t="s">
        <v>2197</v>
      </c>
      <c r="C784" s="7" t="s">
        <v>2239</v>
      </c>
      <c r="D784" s="9" t="s">
        <v>2240</v>
      </c>
      <c r="E784" s="7" t="s">
        <v>2200</v>
      </c>
      <c r="F784" s="7" t="s">
        <v>1351</v>
      </c>
      <c r="G784" s="7" t="s">
        <v>2241</v>
      </c>
      <c r="H784" s="7">
        <v>1.2290000000000001</v>
      </c>
      <c r="I784" s="7">
        <v>5</v>
      </c>
      <c r="J784" s="7">
        <v>800</v>
      </c>
      <c r="K784" s="7">
        <v>600</v>
      </c>
      <c r="L784" s="7">
        <v>150</v>
      </c>
      <c r="M784" s="7">
        <v>30</v>
      </c>
      <c r="N784" s="7">
        <v>60</v>
      </c>
      <c r="O784" s="7">
        <v>400</v>
      </c>
      <c r="P784" s="7">
        <v>565</v>
      </c>
    </row>
    <row r="785" spans="1:16" s="10" customFormat="1">
      <c r="A785" s="7">
        <f>IF(B785="","",SUBTOTAL(103,$B$2:B785))</f>
        <v>784</v>
      </c>
      <c r="B785" s="8" t="s">
        <v>2197</v>
      </c>
      <c r="C785" s="7" t="s">
        <v>2239</v>
      </c>
      <c r="D785" s="9" t="s">
        <v>2242</v>
      </c>
      <c r="E785" s="7" t="s">
        <v>2200</v>
      </c>
      <c r="F785" s="7" t="s">
        <v>1354</v>
      </c>
      <c r="G785" s="7" t="s">
        <v>2243</v>
      </c>
      <c r="H785" s="7">
        <v>1.2290000000000001</v>
      </c>
      <c r="I785" s="7">
        <v>5</v>
      </c>
      <c r="J785" s="7">
        <v>800</v>
      </c>
      <c r="K785" s="7">
        <v>600</v>
      </c>
      <c r="L785" s="7">
        <v>150</v>
      </c>
      <c r="M785" s="7">
        <v>30</v>
      </c>
      <c r="N785" s="7">
        <v>60</v>
      </c>
      <c r="O785" s="7">
        <v>400</v>
      </c>
      <c r="P785" s="7">
        <v>565</v>
      </c>
    </row>
    <row r="786" spans="1:16" s="10" customFormat="1">
      <c r="A786" s="7">
        <f>IF(B786="","",SUBTOTAL(103,$B$2:B786))</f>
        <v>785</v>
      </c>
      <c r="B786" s="8" t="s">
        <v>2197</v>
      </c>
      <c r="C786" s="7" t="s">
        <v>2244</v>
      </c>
      <c r="D786" s="9" t="s">
        <v>2245</v>
      </c>
      <c r="E786" s="7" t="s">
        <v>2200</v>
      </c>
      <c r="F786" s="7" t="s">
        <v>1357</v>
      </c>
      <c r="G786" s="7" t="s">
        <v>2246</v>
      </c>
      <c r="H786" s="7">
        <v>0.13600000000000001</v>
      </c>
      <c r="I786" s="7">
        <v>40</v>
      </c>
      <c r="J786" s="7">
        <v>800</v>
      </c>
      <c r="K786" s="7">
        <v>600</v>
      </c>
      <c r="L786" s="7">
        <v>150</v>
      </c>
      <c r="M786" s="7">
        <v>30</v>
      </c>
      <c r="N786" s="7">
        <v>60</v>
      </c>
      <c r="O786" s="7">
        <v>45</v>
      </c>
      <c r="P786" s="7">
        <v>120</v>
      </c>
    </row>
    <row r="787" spans="1:16" s="10" customFormat="1">
      <c r="A787" s="7">
        <f>IF(B787="","",SUBTOTAL(103,$B$2:B787))</f>
        <v>786</v>
      </c>
      <c r="B787" s="8" t="s">
        <v>2197</v>
      </c>
      <c r="C787" s="7" t="s">
        <v>2244</v>
      </c>
      <c r="D787" s="9" t="s">
        <v>2247</v>
      </c>
      <c r="E787" s="7" t="s">
        <v>2200</v>
      </c>
      <c r="F787" s="7" t="s">
        <v>1360</v>
      </c>
      <c r="G787" s="7" t="s">
        <v>2248</v>
      </c>
      <c r="H787" s="7">
        <v>0.13600000000000001</v>
      </c>
      <c r="I787" s="7">
        <v>40</v>
      </c>
      <c r="J787" s="7">
        <v>800</v>
      </c>
      <c r="K787" s="7">
        <v>600</v>
      </c>
      <c r="L787" s="7">
        <v>150</v>
      </c>
      <c r="M787" s="7">
        <v>30</v>
      </c>
      <c r="N787" s="7">
        <v>60</v>
      </c>
      <c r="O787" s="7">
        <v>45</v>
      </c>
      <c r="P787" s="7">
        <v>120</v>
      </c>
    </row>
    <row r="788" spans="1:16" s="10" customFormat="1">
      <c r="A788" s="7">
        <f>IF(B788="","",SUBTOTAL(103,$B$2:B788))</f>
        <v>787</v>
      </c>
      <c r="B788" s="8" t="s">
        <v>2197</v>
      </c>
      <c r="C788" s="7" t="s">
        <v>2249</v>
      </c>
      <c r="D788" s="9" t="s">
        <v>2250</v>
      </c>
      <c r="E788" s="7" t="s">
        <v>2200</v>
      </c>
      <c r="F788" s="7" t="s">
        <v>1363</v>
      </c>
      <c r="G788" s="7" t="s">
        <v>2251</v>
      </c>
      <c r="H788" s="7">
        <v>6.7000000000000004E-2</v>
      </c>
      <c r="I788" s="7">
        <v>68</v>
      </c>
      <c r="J788" s="7">
        <v>800</v>
      </c>
      <c r="K788" s="7">
        <v>600</v>
      </c>
      <c r="L788" s="7">
        <v>150</v>
      </c>
      <c r="M788" s="7">
        <v>30</v>
      </c>
      <c r="N788" s="7">
        <v>60</v>
      </c>
      <c r="O788" s="7">
        <v>30</v>
      </c>
      <c r="P788" s="7">
        <v>100</v>
      </c>
    </row>
    <row r="789" spans="1:16" s="10" customFormat="1">
      <c r="A789" s="7">
        <f>IF(B789="","",SUBTOTAL(103,$B$2:B789))</f>
        <v>788</v>
      </c>
      <c r="B789" s="8" t="s">
        <v>2197</v>
      </c>
      <c r="C789" s="7" t="s">
        <v>2249</v>
      </c>
      <c r="D789" s="9" t="s">
        <v>2252</v>
      </c>
      <c r="E789" s="7" t="s">
        <v>2200</v>
      </c>
      <c r="F789" s="7" t="s">
        <v>1366</v>
      </c>
      <c r="G789" s="7" t="s">
        <v>2253</v>
      </c>
      <c r="H789" s="7">
        <v>6.7000000000000004E-2</v>
      </c>
      <c r="I789" s="7">
        <v>68</v>
      </c>
      <c r="J789" s="7">
        <v>800</v>
      </c>
      <c r="K789" s="7">
        <v>600</v>
      </c>
      <c r="L789" s="7">
        <v>150</v>
      </c>
      <c r="M789" s="7">
        <v>30</v>
      </c>
      <c r="N789" s="7">
        <v>60</v>
      </c>
      <c r="O789" s="7">
        <v>30</v>
      </c>
      <c r="P789" s="7">
        <v>100</v>
      </c>
    </row>
    <row r="790" spans="1:16" s="10" customFormat="1">
      <c r="A790" s="7">
        <f>IF(B790="","",SUBTOTAL(103,$B$2:B790))</f>
        <v>789</v>
      </c>
      <c r="B790" s="8" t="s">
        <v>2197</v>
      </c>
      <c r="C790" s="7" t="s">
        <v>2254</v>
      </c>
      <c r="D790" s="9" t="s">
        <v>2255</v>
      </c>
      <c r="E790" s="7" t="s">
        <v>2200</v>
      </c>
      <c r="F790" s="7" t="s">
        <v>1369</v>
      </c>
      <c r="G790" s="7" t="s">
        <v>2256</v>
      </c>
      <c r="H790" s="7">
        <v>2.4300000000000002</v>
      </c>
      <c r="I790" s="7">
        <v>4</v>
      </c>
      <c r="J790" s="7">
        <v>800</v>
      </c>
      <c r="K790" s="7">
        <v>600</v>
      </c>
      <c r="L790" s="7">
        <v>150</v>
      </c>
      <c r="M790" s="7">
        <v>30</v>
      </c>
      <c r="N790" s="7">
        <v>60</v>
      </c>
      <c r="O790" s="7">
        <v>500</v>
      </c>
      <c r="P790" s="7">
        <v>600</v>
      </c>
    </row>
    <row r="791" spans="1:16" s="10" customFormat="1">
      <c r="A791" s="7">
        <f>IF(B791="","",SUBTOTAL(103,$B$2:B791))</f>
        <v>790</v>
      </c>
      <c r="B791" s="8" t="s">
        <v>2197</v>
      </c>
      <c r="C791" s="7" t="s">
        <v>2254</v>
      </c>
      <c r="D791" s="9" t="s">
        <v>2257</v>
      </c>
      <c r="E791" s="7" t="s">
        <v>2200</v>
      </c>
      <c r="F791" s="7" t="s">
        <v>1372</v>
      </c>
      <c r="G791" s="7" t="s">
        <v>2258</v>
      </c>
      <c r="H791" s="7">
        <v>2.29</v>
      </c>
      <c r="I791" s="7">
        <v>4</v>
      </c>
      <c r="J791" s="7">
        <v>800</v>
      </c>
      <c r="K791" s="7">
        <v>600</v>
      </c>
      <c r="L791" s="7">
        <v>150</v>
      </c>
      <c r="M791" s="7">
        <v>30</v>
      </c>
      <c r="N791" s="7">
        <v>60</v>
      </c>
      <c r="O791" s="7">
        <v>500</v>
      </c>
      <c r="P791" s="7">
        <v>600</v>
      </c>
    </row>
    <row r="792" spans="1:16" s="10" customFormat="1">
      <c r="A792" s="7">
        <f>IF(B792="","",SUBTOTAL(103,$B$2:B792))</f>
        <v>791</v>
      </c>
      <c r="B792" s="8" t="s">
        <v>2197</v>
      </c>
      <c r="C792" s="7" t="s">
        <v>2259</v>
      </c>
      <c r="D792" s="9" t="s">
        <v>2260</v>
      </c>
      <c r="E792" s="7" t="s">
        <v>2261</v>
      </c>
      <c r="F792" s="7" t="s">
        <v>1300</v>
      </c>
      <c r="G792" s="7" t="s">
        <v>2262</v>
      </c>
      <c r="H792" s="7">
        <v>0.188</v>
      </c>
      <c r="I792" s="7">
        <v>36</v>
      </c>
      <c r="J792" s="7">
        <v>800</v>
      </c>
      <c r="K792" s="7">
        <v>600</v>
      </c>
      <c r="L792" s="7">
        <v>150</v>
      </c>
      <c r="M792" s="7">
        <v>30</v>
      </c>
      <c r="N792" s="7">
        <v>60</v>
      </c>
      <c r="O792" s="7">
        <v>55</v>
      </c>
      <c r="P792" s="7">
        <v>130</v>
      </c>
    </row>
    <row r="793" spans="1:16" s="10" customFormat="1">
      <c r="A793" s="7">
        <f>IF(B793="","",SUBTOTAL(103,$B$2:B793))</f>
        <v>792</v>
      </c>
      <c r="B793" s="8" t="s">
        <v>2197</v>
      </c>
      <c r="C793" s="7" t="s">
        <v>2259</v>
      </c>
      <c r="D793" s="9" t="s">
        <v>2263</v>
      </c>
      <c r="E793" s="7" t="s">
        <v>2261</v>
      </c>
      <c r="F793" s="7" t="s">
        <v>1303</v>
      </c>
      <c r="G793" s="7" t="s">
        <v>2264</v>
      </c>
      <c r="H793" s="7">
        <v>0.188</v>
      </c>
      <c r="I793" s="7">
        <v>36</v>
      </c>
      <c r="J793" s="7">
        <v>800</v>
      </c>
      <c r="K793" s="7">
        <v>600</v>
      </c>
      <c r="L793" s="7">
        <v>150</v>
      </c>
      <c r="M793" s="7">
        <v>30</v>
      </c>
      <c r="N793" s="7">
        <v>60</v>
      </c>
      <c r="O793" s="7">
        <v>55</v>
      </c>
      <c r="P793" s="7">
        <v>130</v>
      </c>
    </row>
    <row r="794" spans="1:16" s="10" customFormat="1">
      <c r="A794" s="7">
        <f>IF(B794="","",SUBTOTAL(103,$B$2:B794))</f>
        <v>793</v>
      </c>
      <c r="B794" s="8" t="s">
        <v>2197</v>
      </c>
      <c r="C794" s="7" t="s">
        <v>2265</v>
      </c>
      <c r="D794" s="9" t="s">
        <v>2266</v>
      </c>
      <c r="E794" s="7" t="s">
        <v>2261</v>
      </c>
      <c r="F794" s="7" t="s">
        <v>1306</v>
      </c>
      <c r="G794" s="7" t="s">
        <v>2267</v>
      </c>
      <c r="H794" s="7">
        <v>8.4000000000000005E-2</v>
      </c>
      <c r="I794" s="7">
        <v>48</v>
      </c>
      <c r="J794" s="7">
        <v>800</v>
      </c>
      <c r="K794" s="7">
        <v>600</v>
      </c>
      <c r="L794" s="7">
        <v>150</v>
      </c>
      <c r="M794" s="7">
        <v>30</v>
      </c>
      <c r="N794" s="7">
        <v>60</v>
      </c>
      <c r="O794" s="7">
        <v>41</v>
      </c>
      <c r="P794" s="7">
        <v>120</v>
      </c>
    </row>
    <row r="795" spans="1:16" s="10" customFormat="1">
      <c r="A795" s="7">
        <f>IF(B795="","",SUBTOTAL(103,$B$2:B795))</f>
        <v>794</v>
      </c>
      <c r="B795" s="8" t="s">
        <v>2197</v>
      </c>
      <c r="C795" s="7" t="s">
        <v>2265</v>
      </c>
      <c r="D795" s="9" t="s">
        <v>2268</v>
      </c>
      <c r="E795" s="7" t="s">
        <v>2261</v>
      </c>
      <c r="F795" s="7" t="s">
        <v>1309</v>
      </c>
      <c r="G795" s="7" t="s">
        <v>2269</v>
      </c>
      <c r="H795" s="7">
        <v>8.4000000000000005E-2</v>
      </c>
      <c r="I795" s="7">
        <v>48</v>
      </c>
      <c r="J795" s="7">
        <v>800</v>
      </c>
      <c r="K795" s="7">
        <v>600</v>
      </c>
      <c r="L795" s="7">
        <v>150</v>
      </c>
      <c r="M795" s="7">
        <v>30</v>
      </c>
      <c r="N795" s="7">
        <v>60</v>
      </c>
      <c r="O795" s="7">
        <v>41</v>
      </c>
      <c r="P795" s="7">
        <v>120</v>
      </c>
    </row>
    <row r="796" spans="1:16" s="10" customFormat="1">
      <c r="A796" s="7">
        <f>IF(B796="","",SUBTOTAL(103,$B$2:B796))</f>
        <v>795</v>
      </c>
      <c r="B796" s="8" t="s">
        <v>2197</v>
      </c>
      <c r="C796" s="7" t="s">
        <v>2270</v>
      </c>
      <c r="D796" s="9" t="s">
        <v>2271</v>
      </c>
      <c r="E796" s="7" t="s">
        <v>2261</v>
      </c>
      <c r="F796" s="7" t="s">
        <v>1312</v>
      </c>
      <c r="G796" s="7" t="s">
        <v>2272</v>
      </c>
      <c r="H796" s="7">
        <v>3.6999999999999998E-2</v>
      </c>
      <c r="I796" s="7">
        <v>80</v>
      </c>
      <c r="J796" s="7">
        <v>800</v>
      </c>
      <c r="K796" s="7">
        <v>600</v>
      </c>
      <c r="L796" s="7">
        <v>150</v>
      </c>
      <c r="M796" s="7">
        <v>30</v>
      </c>
      <c r="N796" s="7">
        <v>60</v>
      </c>
      <c r="O796" s="7">
        <v>25</v>
      </c>
      <c r="P796" s="7">
        <v>100</v>
      </c>
    </row>
    <row r="797" spans="1:16" s="10" customFormat="1">
      <c r="A797" s="7">
        <f>IF(B797="","",SUBTOTAL(103,$B$2:B797))</f>
        <v>796</v>
      </c>
      <c r="B797" s="8" t="s">
        <v>2197</v>
      </c>
      <c r="C797" s="7" t="s">
        <v>2270</v>
      </c>
      <c r="D797" s="9" t="s">
        <v>2273</v>
      </c>
      <c r="E797" s="7" t="s">
        <v>2261</v>
      </c>
      <c r="F797" s="7" t="s">
        <v>1315</v>
      </c>
      <c r="G797" s="7" t="s">
        <v>2274</v>
      </c>
      <c r="H797" s="7">
        <v>3.6999999999999998E-2</v>
      </c>
      <c r="I797" s="7">
        <v>80</v>
      </c>
      <c r="J797" s="7">
        <v>800</v>
      </c>
      <c r="K797" s="7">
        <v>600</v>
      </c>
      <c r="L797" s="7">
        <v>150</v>
      </c>
      <c r="M797" s="7">
        <v>30</v>
      </c>
      <c r="N797" s="7">
        <v>60</v>
      </c>
      <c r="O797" s="7">
        <v>25</v>
      </c>
      <c r="P797" s="7">
        <v>100</v>
      </c>
    </row>
    <row r="798" spans="1:16" s="10" customFormat="1">
      <c r="A798" s="7">
        <f>IF(B798="","",SUBTOTAL(103,$B$2:B798))</f>
        <v>797</v>
      </c>
      <c r="B798" s="8" t="s">
        <v>2197</v>
      </c>
      <c r="C798" s="7" t="s">
        <v>2275</v>
      </c>
      <c r="D798" s="9" t="s">
        <v>2276</v>
      </c>
      <c r="E798" s="7" t="s">
        <v>2261</v>
      </c>
      <c r="F798" s="7" t="s">
        <v>1318</v>
      </c>
      <c r="G798" s="7" t="s">
        <v>2277</v>
      </c>
      <c r="H798" s="7">
        <v>2.1000000000000001E-2</v>
      </c>
      <c r="I798" s="7">
        <v>92</v>
      </c>
      <c r="J798" s="7">
        <v>800</v>
      </c>
      <c r="K798" s="7">
        <v>600</v>
      </c>
      <c r="L798" s="7">
        <v>150</v>
      </c>
      <c r="M798" s="7">
        <v>30</v>
      </c>
      <c r="N798" s="7">
        <v>60</v>
      </c>
      <c r="O798" s="7">
        <v>27</v>
      </c>
      <c r="P798" s="7">
        <v>100</v>
      </c>
    </row>
    <row r="799" spans="1:16" s="10" customFormat="1">
      <c r="A799" s="7">
        <f>IF(B799="","",SUBTOTAL(103,$B$2:B799))</f>
        <v>798</v>
      </c>
      <c r="B799" s="8" t="s">
        <v>2197</v>
      </c>
      <c r="C799" s="7" t="s">
        <v>2275</v>
      </c>
      <c r="D799" s="9" t="s">
        <v>2278</v>
      </c>
      <c r="E799" s="7" t="s">
        <v>2261</v>
      </c>
      <c r="F799" s="7" t="s">
        <v>1322</v>
      </c>
      <c r="G799" s="7" t="s">
        <v>2279</v>
      </c>
      <c r="H799" s="7">
        <v>2.1000000000000001E-2</v>
      </c>
      <c r="I799" s="7">
        <v>92</v>
      </c>
      <c r="J799" s="7">
        <v>800</v>
      </c>
      <c r="K799" s="7">
        <v>600</v>
      </c>
      <c r="L799" s="7">
        <v>150</v>
      </c>
      <c r="M799" s="7">
        <v>30</v>
      </c>
      <c r="N799" s="7">
        <v>60</v>
      </c>
      <c r="O799" s="7">
        <v>27</v>
      </c>
      <c r="P799" s="7">
        <v>100</v>
      </c>
    </row>
    <row r="800" spans="1:16" s="10" customFormat="1">
      <c r="A800" s="7">
        <f>IF(B800="","",SUBTOTAL(103,$B$2:B800))</f>
        <v>799</v>
      </c>
      <c r="B800" s="8" t="s">
        <v>2197</v>
      </c>
      <c r="C800" s="7" t="s">
        <v>2280</v>
      </c>
      <c r="D800" s="9" t="s">
        <v>2281</v>
      </c>
      <c r="E800" s="7" t="s">
        <v>2261</v>
      </c>
      <c r="F800" s="7" t="s">
        <v>1325</v>
      </c>
      <c r="G800" s="7" t="s">
        <v>2282</v>
      </c>
      <c r="H800" s="7">
        <v>0.31</v>
      </c>
      <c r="I800" s="7">
        <v>28</v>
      </c>
      <c r="J800" s="7">
        <v>800</v>
      </c>
      <c r="K800" s="7">
        <v>600</v>
      </c>
      <c r="L800" s="7">
        <v>150</v>
      </c>
      <c r="M800" s="7">
        <v>30</v>
      </c>
      <c r="N800" s="7">
        <v>60</v>
      </c>
      <c r="O800" s="7">
        <v>70</v>
      </c>
      <c r="P800" s="7">
        <v>200</v>
      </c>
    </row>
    <row r="801" spans="1:16" s="10" customFormat="1">
      <c r="A801" s="7">
        <f>IF(B801="","",SUBTOTAL(103,$B$2:B801))</f>
        <v>800</v>
      </c>
      <c r="B801" s="8" t="s">
        <v>2197</v>
      </c>
      <c r="C801" s="7" t="s">
        <v>2280</v>
      </c>
      <c r="D801" s="9" t="s">
        <v>2283</v>
      </c>
      <c r="E801" s="7" t="s">
        <v>2261</v>
      </c>
      <c r="F801" s="7" t="s">
        <v>1328</v>
      </c>
      <c r="G801" s="7" t="s">
        <v>2284</v>
      </c>
      <c r="H801" s="7">
        <v>0.31</v>
      </c>
      <c r="I801" s="7">
        <v>28</v>
      </c>
      <c r="J801" s="7">
        <v>800</v>
      </c>
      <c r="K801" s="7">
        <v>600</v>
      </c>
      <c r="L801" s="7">
        <v>150</v>
      </c>
      <c r="M801" s="7">
        <v>30</v>
      </c>
      <c r="N801" s="7">
        <v>60</v>
      </c>
      <c r="O801" s="7">
        <v>70</v>
      </c>
      <c r="P801" s="7">
        <v>200</v>
      </c>
    </row>
    <row r="802" spans="1:16" s="10" customFormat="1">
      <c r="A802" s="7">
        <f>IF(B802="","",SUBTOTAL(103,$B$2:B802))</f>
        <v>801</v>
      </c>
      <c r="B802" s="8" t="s">
        <v>2197</v>
      </c>
      <c r="C802" s="7" t="s">
        <v>2285</v>
      </c>
      <c r="D802" s="9" t="s">
        <v>2286</v>
      </c>
      <c r="E802" s="7" t="s">
        <v>2261</v>
      </c>
      <c r="F802" s="7" t="s">
        <v>1331</v>
      </c>
      <c r="G802" s="7" t="s">
        <v>2287</v>
      </c>
      <c r="H802" s="7">
        <v>0.23</v>
      </c>
      <c r="I802" s="7">
        <v>22</v>
      </c>
      <c r="J802" s="7">
        <v>800</v>
      </c>
      <c r="K802" s="7">
        <v>600</v>
      </c>
      <c r="L802" s="7">
        <v>150</v>
      </c>
      <c r="M802" s="7">
        <v>30</v>
      </c>
      <c r="N802" s="7">
        <v>60</v>
      </c>
      <c r="O802" s="7">
        <v>90</v>
      </c>
      <c r="P802" s="7">
        <v>155</v>
      </c>
    </row>
    <row r="803" spans="1:16" s="10" customFormat="1">
      <c r="A803" s="7">
        <f>IF(B803="","",SUBTOTAL(103,$B$2:B803))</f>
        <v>802</v>
      </c>
      <c r="B803" s="8" t="s">
        <v>2197</v>
      </c>
      <c r="C803" s="7" t="s">
        <v>2285</v>
      </c>
      <c r="D803" s="9" t="s">
        <v>2288</v>
      </c>
      <c r="E803" s="7" t="s">
        <v>2261</v>
      </c>
      <c r="F803" s="7" t="s">
        <v>1334</v>
      </c>
      <c r="G803" s="7" t="s">
        <v>2289</v>
      </c>
      <c r="H803" s="7">
        <v>0.23</v>
      </c>
      <c r="I803" s="7">
        <v>22</v>
      </c>
      <c r="J803" s="7">
        <v>800</v>
      </c>
      <c r="K803" s="7">
        <v>600</v>
      </c>
      <c r="L803" s="7">
        <v>150</v>
      </c>
      <c r="M803" s="7">
        <v>30</v>
      </c>
      <c r="N803" s="7">
        <v>60</v>
      </c>
      <c r="O803" s="7">
        <v>90</v>
      </c>
      <c r="P803" s="7">
        <v>155</v>
      </c>
    </row>
    <row r="804" spans="1:16" s="10" customFormat="1">
      <c r="A804" s="7">
        <f>IF(B804="","",SUBTOTAL(103,$B$2:B804))</f>
        <v>803</v>
      </c>
      <c r="B804" s="8" t="s">
        <v>2197</v>
      </c>
      <c r="C804" s="7" t="s">
        <v>2290</v>
      </c>
      <c r="D804" s="9" t="s">
        <v>2291</v>
      </c>
      <c r="E804" s="7" t="s">
        <v>2261</v>
      </c>
      <c r="F804" s="7" t="s">
        <v>1339</v>
      </c>
      <c r="G804" s="7" t="s">
        <v>2292</v>
      </c>
      <c r="H804" s="7">
        <v>0.49199999999999999</v>
      </c>
      <c r="I804" s="7">
        <v>12</v>
      </c>
      <c r="J804" s="7">
        <v>800</v>
      </c>
      <c r="K804" s="7">
        <v>600</v>
      </c>
      <c r="L804" s="7">
        <v>150</v>
      </c>
      <c r="M804" s="7">
        <v>30</v>
      </c>
      <c r="N804" s="7">
        <v>60</v>
      </c>
      <c r="O804" s="7">
        <v>150</v>
      </c>
      <c r="P804" s="7">
        <v>400</v>
      </c>
    </row>
    <row r="805" spans="1:16" s="10" customFormat="1">
      <c r="A805" s="7">
        <f>IF(B805="","",SUBTOTAL(103,$B$2:B805))</f>
        <v>804</v>
      </c>
      <c r="B805" s="8" t="s">
        <v>2197</v>
      </c>
      <c r="C805" s="7" t="s">
        <v>2290</v>
      </c>
      <c r="D805" s="9" t="s">
        <v>2293</v>
      </c>
      <c r="E805" s="7" t="s">
        <v>2261</v>
      </c>
      <c r="F805" s="7" t="s">
        <v>1342</v>
      </c>
      <c r="G805" s="7" t="s">
        <v>2294</v>
      </c>
      <c r="H805" s="7">
        <v>0.49199999999999999</v>
      </c>
      <c r="I805" s="7">
        <v>12</v>
      </c>
      <c r="J805" s="7">
        <v>800</v>
      </c>
      <c r="K805" s="7">
        <v>600</v>
      </c>
      <c r="L805" s="7">
        <v>150</v>
      </c>
      <c r="M805" s="7">
        <v>30</v>
      </c>
      <c r="N805" s="7">
        <v>60</v>
      </c>
      <c r="O805" s="7">
        <v>150</v>
      </c>
      <c r="P805" s="7">
        <v>400</v>
      </c>
    </row>
    <row r="806" spans="1:16" s="10" customFormat="1">
      <c r="A806" s="7">
        <f>IF(B806="","",SUBTOTAL(103,$B$2:B806))</f>
        <v>805</v>
      </c>
      <c r="B806" s="8" t="s">
        <v>2197</v>
      </c>
      <c r="C806" s="7" t="s">
        <v>2295</v>
      </c>
      <c r="D806" s="9" t="s">
        <v>2296</v>
      </c>
      <c r="E806" s="7" t="s">
        <v>2261</v>
      </c>
      <c r="F806" s="7" t="s">
        <v>1345</v>
      </c>
      <c r="G806" s="7" t="s">
        <v>2297</v>
      </c>
      <c r="H806" s="7">
        <v>0.90500000000000003</v>
      </c>
      <c r="I806" s="7">
        <v>6</v>
      </c>
      <c r="J806" s="7">
        <v>800</v>
      </c>
      <c r="K806" s="7">
        <v>600</v>
      </c>
      <c r="L806" s="7">
        <v>150</v>
      </c>
      <c r="M806" s="7">
        <v>30</v>
      </c>
      <c r="N806" s="7">
        <v>60</v>
      </c>
      <c r="O806" s="7">
        <v>310</v>
      </c>
      <c r="P806" s="7">
        <v>350</v>
      </c>
    </row>
    <row r="807" spans="1:16" s="10" customFormat="1">
      <c r="A807" s="7">
        <f>IF(B807="","",SUBTOTAL(103,$B$2:B807))</f>
        <v>806</v>
      </c>
      <c r="B807" s="8" t="s">
        <v>2197</v>
      </c>
      <c r="C807" s="7" t="s">
        <v>2295</v>
      </c>
      <c r="D807" s="9" t="s">
        <v>2298</v>
      </c>
      <c r="E807" s="7" t="s">
        <v>2261</v>
      </c>
      <c r="F807" s="7" t="s">
        <v>1348</v>
      </c>
      <c r="G807" s="7" t="s">
        <v>2299</v>
      </c>
      <c r="H807" s="7">
        <v>0.90500000000000003</v>
      </c>
      <c r="I807" s="7">
        <v>6</v>
      </c>
      <c r="J807" s="7">
        <v>800</v>
      </c>
      <c r="K807" s="7">
        <v>600</v>
      </c>
      <c r="L807" s="7">
        <v>150</v>
      </c>
      <c r="M807" s="7">
        <v>30</v>
      </c>
      <c r="N807" s="7">
        <v>60</v>
      </c>
      <c r="O807" s="7">
        <v>310</v>
      </c>
      <c r="P807" s="7">
        <v>350</v>
      </c>
    </row>
    <row r="808" spans="1:16" s="10" customFormat="1">
      <c r="A808" s="7">
        <f>IF(B808="","",SUBTOTAL(103,$B$2:B808))</f>
        <v>807</v>
      </c>
      <c r="B808" s="8" t="s">
        <v>2197</v>
      </c>
      <c r="C808" s="7" t="s">
        <v>2300</v>
      </c>
      <c r="D808" s="9" t="s">
        <v>2301</v>
      </c>
      <c r="E808" s="7" t="s">
        <v>2261</v>
      </c>
      <c r="F808" s="7" t="s">
        <v>1351</v>
      </c>
      <c r="G808" s="7" t="s">
        <v>2302</v>
      </c>
      <c r="H808" s="7">
        <v>1.155</v>
      </c>
      <c r="I808" s="7">
        <v>5</v>
      </c>
      <c r="J808" s="7">
        <v>800</v>
      </c>
      <c r="K808" s="7">
        <v>600</v>
      </c>
      <c r="L808" s="7">
        <v>150</v>
      </c>
      <c r="M808" s="7">
        <v>30</v>
      </c>
      <c r="N808" s="7">
        <v>60</v>
      </c>
      <c r="O808" s="7">
        <v>400</v>
      </c>
      <c r="P808" s="7">
        <v>565</v>
      </c>
    </row>
    <row r="809" spans="1:16" s="10" customFormat="1">
      <c r="A809" s="7">
        <f>IF(B809="","",SUBTOTAL(103,$B$2:B809))</f>
        <v>808</v>
      </c>
      <c r="B809" s="8" t="s">
        <v>2197</v>
      </c>
      <c r="C809" s="7" t="s">
        <v>2300</v>
      </c>
      <c r="D809" s="9" t="s">
        <v>2303</v>
      </c>
      <c r="E809" s="7" t="s">
        <v>2261</v>
      </c>
      <c r="F809" s="7" t="s">
        <v>1354</v>
      </c>
      <c r="G809" s="7" t="s">
        <v>2304</v>
      </c>
      <c r="H809" s="7">
        <v>1.155</v>
      </c>
      <c r="I809" s="7">
        <v>5</v>
      </c>
      <c r="J809" s="7">
        <v>800</v>
      </c>
      <c r="K809" s="7">
        <v>600</v>
      </c>
      <c r="L809" s="7">
        <v>150</v>
      </c>
      <c r="M809" s="7">
        <v>30</v>
      </c>
      <c r="N809" s="7">
        <v>60</v>
      </c>
      <c r="O809" s="7">
        <v>400</v>
      </c>
      <c r="P809" s="7">
        <v>565</v>
      </c>
    </row>
    <row r="810" spans="1:16" s="10" customFormat="1">
      <c r="A810" s="7">
        <f>IF(B810="","",SUBTOTAL(103,$B$2:B810))</f>
        <v>809</v>
      </c>
      <c r="B810" s="8" t="s">
        <v>2197</v>
      </c>
      <c r="C810" s="7" t="s">
        <v>2305</v>
      </c>
      <c r="D810" s="9" t="s">
        <v>2306</v>
      </c>
      <c r="E810" s="7" t="s">
        <v>2261</v>
      </c>
      <c r="F810" s="7" t="s">
        <v>1357</v>
      </c>
      <c r="G810" s="7" t="s">
        <v>2307</v>
      </c>
      <c r="H810" s="7">
        <v>0.11600000000000001</v>
      </c>
      <c r="I810" s="7">
        <v>40</v>
      </c>
      <c r="J810" s="7">
        <v>800</v>
      </c>
      <c r="K810" s="7">
        <v>600</v>
      </c>
      <c r="L810" s="7">
        <v>150</v>
      </c>
      <c r="M810" s="7">
        <v>30</v>
      </c>
      <c r="N810" s="7">
        <v>60</v>
      </c>
      <c r="O810" s="7">
        <v>45</v>
      </c>
      <c r="P810" s="7">
        <v>120</v>
      </c>
    </row>
    <row r="811" spans="1:16" s="10" customFormat="1">
      <c r="A811" s="7">
        <f>IF(B811="","",SUBTOTAL(103,$B$2:B811))</f>
        <v>810</v>
      </c>
      <c r="B811" s="8" t="s">
        <v>2197</v>
      </c>
      <c r="C811" s="7" t="s">
        <v>2305</v>
      </c>
      <c r="D811" s="9" t="s">
        <v>2308</v>
      </c>
      <c r="E811" s="7" t="s">
        <v>2261</v>
      </c>
      <c r="F811" s="7" t="s">
        <v>1360</v>
      </c>
      <c r="G811" s="7" t="s">
        <v>2309</v>
      </c>
      <c r="H811" s="7">
        <v>0.11600000000000001</v>
      </c>
      <c r="I811" s="7">
        <v>40</v>
      </c>
      <c r="J811" s="7">
        <v>800</v>
      </c>
      <c r="K811" s="7">
        <v>600</v>
      </c>
      <c r="L811" s="7">
        <v>150</v>
      </c>
      <c r="M811" s="7">
        <v>30</v>
      </c>
      <c r="N811" s="7">
        <v>60</v>
      </c>
      <c r="O811" s="7">
        <v>45</v>
      </c>
      <c r="P811" s="7">
        <v>120</v>
      </c>
    </row>
    <row r="812" spans="1:16" s="10" customFormat="1">
      <c r="A812" s="7">
        <f>IF(B812="","",SUBTOTAL(103,$B$2:B812))</f>
        <v>811</v>
      </c>
      <c r="B812" s="8" t="s">
        <v>2197</v>
      </c>
      <c r="C812" s="7" t="s">
        <v>2310</v>
      </c>
      <c r="D812" s="9" t="s">
        <v>2311</v>
      </c>
      <c r="E812" s="7" t="s">
        <v>2261</v>
      </c>
      <c r="F812" s="7" t="s">
        <v>1363</v>
      </c>
      <c r="G812" s="7" t="s">
        <v>2312</v>
      </c>
      <c r="H812" s="7">
        <v>4.9000000000000002E-2</v>
      </c>
      <c r="I812" s="7">
        <v>68</v>
      </c>
      <c r="J812" s="7">
        <v>800</v>
      </c>
      <c r="K812" s="7">
        <v>600</v>
      </c>
      <c r="L812" s="7">
        <v>150</v>
      </c>
      <c r="M812" s="7">
        <v>30</v>
      </c>
      <c r="N812" s="7">
        <v>60</v>
      </c>
      <c r="O812" s="7">
        <v>30</v>
      </c>
      <c r="P812" s="7">
        <v>100</v>
      </c>
    </row>
    <row r="813" spans="1:16" s="10" customFormat="1">
      <c r="A813" s="7">
        <f>IF(B813="","",SUBTOTAL(103,$B$2:B813))</f>
        <v>812</v>
      </c>
      <c r="B813" s="8" t="s">
        <v>2197</v>
      </c>
      <c r="C813" s="7" t="s">
        <v>2310</v>
      </c>
      <c r="D813" s="9" t="s">
        <v>2313</v>
      </c>
      <c r="E813" s="7" t="s">
        <v>2261</v>
      </c>
      <c r="F813" s="7" t="s">
        <v>1366</v>
      </c>
      <c r="G813" s="7" t="s">
        <v>2314</v>
      </c>
      <c r="H813" s="7">
        <v>5.3999999999999999E-2</v>
      </c>
      <c r="I813" s="7">
        <v>68</v>
      </c>
      <c r="J813" s="7">
        <v>800</v>
      </c>
      <c r="K813" s="7">
        <v>600</v>
      </c>
      <c r="L813" s="7">
        <v>150</v>
      </c>
      <c r="M813" s="7">
        <v>30</v>
      </c>
      <c r="N813" s="7">
        <v>60</v>
      </c>
      <c r="O813" s="7">
        <v>30</v>
      </c>
      <c r="P813" s="7">
        <v>100</v>
      </c>
    </row>
    <row r="814" spans="1:16" s="10" customFormat="1">
      <c r="A814" s="7">
        <f>IF(B814="","",SUBTOTAL(103,$B$2:B814))</f>
        <v>813</v>
      </c>
      <c r="B814" s="8" t="s">
        <v>2197</v>
      </c>
      <c r="C814" s="7" t="s">
        <v>2315</v>
      </c>
      <c r="D814" s="9" t="s">
        <v>2316</v>
      </c>
      <c r="E814" s="7" t="s">
        <v>2261</v>
      </c>
      <c r="F814" s="7" t="s">
        <v>1369</v>
      </c>
      <c r="G814" s="7" t="s">
        <v>2317</v>
      </c>
      <c r="H814" s="7">
        <v>1.9179999999999999</v>
      </c>
      <c r="I814" s="7">
        <v>4</v>
      </c>
      <c r="J814" s="7">
        <v>800</v>
      </c>
      <c r="K814" s="7">
        <v>600</v>
      </c>
      <c r="L814" s="7">
        <v>150</v>
      </c>
      <c r="M814" s="7">
        <v>30</v>
      </c>
      <c r="N814" s="7">
        <v>60</v>
      </c>
      <c r="O814" s="7">
        <v>500</v>
      </c>
      <c r="P814" s="7">
        <v>600</v>
      </c>
    </row>
    <row r="815" spans="1:16" s="10" customFormat="1">
      <c r="A815" s="7">
        <f>IF(B815="","",SUBTOTAL(103,$B$2:B815))</f>
        <v>814</v>
      </c>
      <c r="B815" s="8" t="s">
        <v>2197</v>
      </c>
      <c r="C815" s="7" t="s">
        <v>2315</v>
      </c>
      <c r="D815" s="9" t="s">
        <v>2318</v>
      </c>
      <c r="E815" s="7" t="s">
        <v>2261</v>
      </c>
      <c r="F815" s="7" t="s">
        <v>1372</v>
      </c>
      <c r="G815" s="7" t="s">
        <v>2319</v>
      </c>
      <c r="H815" s="7">
        <v>1.9179999999999999</v>
      </c>
      <c r="I815" s="7">
        <v>4</v>
      </c>
      <c r="J815" s="7">
        <v>800</v>
      </c>
      <c r="K815" s="7">
        <v>600</v>
      </c>
      <c r="L815" s="7">
        <v>150</v>
      </c>
      <c r="M815" s="7">
        <v>30</v>
      </c>
      <c r="N815" s="7">
        <v>60</v>
      </c>
      <c r="O815" s="7">
        <v>500</v>
      </c>
      <c r="P815" s="7">
        <v>600</v>
      </c>
    </row>
    <row r="816" spans="1:16" s="10" customFormat="1">
      <c r="A816" s="7">
        <f>IF(B816="","",SUBTOTAL(103,$B$2:B816))</f>
        <v>815</v>
      </c>
      <c r="B816" s="8" t="s">
        <v>2197</v>
      </c>
      <c r="C816" s="7" t="s">
        <v>2320</v>
      </c>
      <c r="D816" s="9" t="s">
        <v>2321</v>
      </c>
      <c r="E816" s="7" t="s">
        <v>2322</v>
      </c>
      <c r="F816" s="7" t="s">
        <v>1008</v>
      </c>
      <c r="G816" s="7" t="s">
        <v>2323</v>
      </c>
      <c r="H816" s="7">
        <v>0.161</v>
      </c>
      <c r="I816" s="7">
        <v>36</v>
      </c>
      <c r="J816" s="7">
        <v>800</v>
      </c>
      <c r="K816" s="7">
        <v>600</v>
      </c>
      <c r="L816" s="7">
        <v>150</v>
      </c>
      <c r="M816" s="7">
        <v>30</v>
      </c>
      <c r="N816" s="7">
        <v>60</v>
      </c>
      <c r="O816" s="7">
        <v>55</v>
      </c>
      <c r="P816" s="7">
        <v>130</v>
      </c>
    </row>
    <row r="817" spans="1:16" s="10" customFormat="1">
      <c r="A817" s="7">
        <f>IF(B817="","",SUBTOTAL(103,$B$2:B817))</f>
        <v>816</v>
      </c>
      <c r="B817" s="8" t="s">
        <v>2197</v>
      </c>
      <c r="C817" s="7" t="s">
        <v>2320</v>
      </c>
      <c r="D817" s="9" t="s">
        <v>2324</v>
      </c>
      <c r="E817" s="7" t="s">
        <v>2322</v>
      </c>
      <c r="F817" s="7" t="s">
        <v>1011</v>
      </c>
      <c r="G817" s="7" t="s">
        <v>2325</v>
      </c>
      <c r="H817" s="7">
        <v>0.161</v>
      </c>
      <c r="I817" s="7">
        <v>36</v>
      </c>
      <c r="J817" s="7">
        <v>800</v>
      </c>
      <c r="K817" s="7">
        <v>600</v>
      </c>
      <c r="L817" s="7">
        <v>150</v>
      </c>
      <c r="M817" s="7">
        <v>30</v>
      </c>
      <c r="N817" s="7">
        <v>60</v>
      </c>
      <c r="O817" s="7">
        <v>55</v>
      </c>
      <c r="P817" s="7">
        <v>130</v>
      </c>
    </row>
    <row r="818" spans="1:16" s="10" customFormat="1">
      <c r="A818" s="7">
        <f>IF(B818="","",SUBTOTAL(103,$B$2:B818))</f>
        <v>817</v>
      </c>
      <c r="B818" s="8" t="s">
        <v>2197</v>
      </c>
      <c r="C818" s="7" t="s">
        <v>2326</v>
      </c>
      <c r="D818" s="9" t="s">
        <v>2327</v>
      </c>
      <c r="E818" s="7" t="s">
        <v>2322</v>
      </c>
      <c r="F818" s="7" t="s">
        <v>1015</v>
      </c>
      <c r="G818" s="7" t="s">
        <v>2328</v>
      </c>
      <c r="H818" s="7">
        <v>0.79</v>
      </c>
      <c r="I818" s="7">
        <v>44</v>
      </c>
      <c r="J818" s="7">
        <v>800</v>
      </c>
      <c r="K818" s="7">
        <v>600</v>
      </c>
      <c r="L818" s="7">
        <v>150</v>
      </c>
      <c r="M818" s="7">
        <v>30</v>
      </c>
      <c r="N818" s="7">
        <v>60</v>
      </c>
      <c r="O818" s="7">
        <v>45</v>
      </c>
      <c r="P818" s="7">
        <v>120</v>
      </c>
    </row>
    <row r="819" spans="1:16" s="10" customFormat="1">
      <c r="A819" s="7">
        <f>IF(B819="","",SUBTOTAL(103,$B$2:B819))</f>
        <v>818</v>
      </c>
      <c r="B819" s="8" t="s">
        <v>2197</v>
      </c>
      <c r="C819" s="7" t="s">
        <v>2326</v>
      </c>
      <c r="D819" s="9" t="s">
        <v>2329</v>
      </c>
      <c r="E819" s="7" t="s">
        <v>2322</v>
      </c>
      <c r="F819" s="7" t="s">
        <v>1018</v>
      </c>
      <c r="G819" s="7" t="s">
        <v>2330</v>
      </c>
      <c r="H819" s="7">
        <v>8.8999999999999996E-2</v>
      </c>
      <c r="I819" s="7">
        <v>44</v>
      </c>
      <c r="J819" s="7">
        <v>800</v>
      </c>
      <c r="K819" s="7">
        <v>600</v>
      </c>
      <c r="L819" s="7">
        <v>150</v>
      </c>
      <c r="M819" s="7">
        <v>30</v>
      </c>
      <c r="N819" s="7">
        <v>60</v>
      </c>
      <c r="O819" s="7">
        <v>45</v>
      </c>
      <c r="P819" s="7">
        <v>120</v>
      </c>
    </row>
    <row r="820" spans="1:16" s="10" customFormat="1">
      <c r="A820" s="7">
        <f>IF(B820="","",SUBTOTAL(103,$B$2:B820))</f>
        <v>819</v>
      </c>
      <c r="B820" s="8" t="s">
        <v>2197</v>
      </c>
      <c r="C820" s="7" t="s">
        <v>2331</v>
      </c>
      <c r="D820" s="9" t="s">
        <v>2332</v>
      </c>
      <c r="E820" s="7" t="s">
        <v>2322</v>
      </c>
      <c r="F820" s="7" t="s">
        <v>1022</v>
      </c>
      <c r="G820" s="7" t="s">
        <v>2333</v>
      </c>
      <c r="H820" s="7">
        <v>0.04</v>
      </c>
      <c r="I820" s="7">
        <v>92</v>
      </c>
      <c r="J820" s="7">
        <v>800</v>
      </c>
      <c r="K820" s="7">
        <v>600</v>
      </c>
      <c r="L820" s="7">
        <v>150</v>
      </c>
      <c r="M820" s="7">
        <v>30</v>
      </c>
      <c r="N820" s="7">
        <v>60</v>
      </c>
      <c r="O820" s="7">
        <v>27</v>
      </c>
      <c r="P820" s="7">
        <v>100</v>
      </c>
    </row>
    <row r="821" spans="1:16" s="10" customFormat="1">
      <c r="A821" s="7">
        <f>IF(B821="","",SUBTOTAL(103,$B$2:B821))</f>
        <v>820</v>
      </c>
      <c r="B821" s="8" t="s">
        <v>2197</v>
      </c>
      <c r="C821" s="7" t="s">
        <v>2334</v>
      </c>
      <c r="D821" s="9" t="s">
        <v>2335</v>
      </c>
      <c r="E821" s="7" t="s">
        <v>2322</v>
      </c>
      <c r="F821" s="7" t="s">
        <v>1026</v>
      </c>
      <c r="G821" s="7" t="s">
        <v>2336</v>
      </c>
      <c r="H821" s="7">
        <v>0.32800000000000001</v>
      </c>
      <c r="I821" s="7">
        <v>8</v>
      </c>
      <c r="J821" s="7">
        <v>800</v>
      </c>
      <c r="K821" s="7">
        <v>600</v>
      </c>
      <c r="L821" s="7">
        <v>150</v>
      </c>
      <c r="M821" s="7">
        <v>30</v>
      </c>
      <c r="N821" s="7">
        <v>60</v>
      </c>
      <c r="O821" s="7">
        <v>225</v>
      </c>
      <c r="P821" s="7">
        <v>250</v>
      </c>
    </row>
    <row r="822" spans="1:16" s="10" customFormat="1">
      <c r="A822" s="7">
        <f>IF(B822="","",SUBTOTAL(103,$B$2:B822))</f>
        <v>821</v>
      </c>
      <c r="B822" s="8" t="s">
        <v>2197</v>
      </c>
      <c r="C822" s="7" t="s">
        <v>2337</v>
      </c>
      <c r="D822" s="9" t="s">
        <v>2338</v>
      </c>
      <c r="E822" s="7" t="s">
        <v>2322</v>
      </c>
      <c r="F822" s="7" t="s">
        <v>1337</v>
      </c>
      <c r="G822" s="7" t="s">
        <v>2339</v>
      </c>
      <c r="H822" s="7">
        <v>0.23400000000000001</v>
      </c>
      <c r="I822" s="7">
        <v>22</v>
      </c>
      <c r="J822" s="7">
        <v>800</v>
      </c>
      <c r="K822" s="7">
        <v>600</v>
      </c>
      <c r="L822" s="7">
        <v>150</v>
      </c>
      <c r="M822" s="7">
        <v>30</v>
      </c>
      <c r="N822" s="7">
        <v>60</v>
      </c>
      <c r="O822" s="7">
        <v>90</v>
      </c>
      <c r="P822" s="7">
        <v>155</v>
      </c>
    </row>
    <row r="823" spans="1:16" s="10" customFormat="1">
      <c r="A823" s="7">
        <f>IF(B823="","",SUBTOTAL(103,$B$2:B823))</f>
        <v>822</v>
      </c>
      <c r="B823" s="8" t="s">
        <v>2197</v>
      </c>
      <c r="C823" s="7" t="s">
        <v>2340</v>
      </c>
      <c r="D823" s="9" t="s">
        <v>2341</v>
      </c>
      <c r="E823" s="7" t="s">
        <v>2322</v>
      </c>
      <c r="F823" s="7" t="s">
        <v>1037</v>
      </c>
      <c r="G823" s="7" t="s">
        <v>2342</v>
      </c>
      <c r="H823" s="7">
        <v>0.49099999999999999</v>
      </c>
      <c r="I823" s="7">
        <v>8</v>
      </c>
      <c r="J823" s="7">
        <v>800</v>
      </c>
      <c r="K823" s="7">
        <v>600</v>
      </c>
      <c r="L823" s="7">
        <v>150</v>
      </c>
      <c r="M823" s="7">
        <v>30</v>
      </c>
      <c r="N823" s="7">
        <v>60</v>
      </c>
      <c r="O823" s="7">
        <v>225</v>
      </c>
      <c r="P823" s="7">
        <v>250</v>
      </c>
    </row>
    <row r="824" spans="1:16" s="10" customFormat="1">
      <c r="A824" s="7">
        <f>IF(B824="","",SUBTOTAL(103,$B$2:B824))</f>
        <v>823</v>
      </c>
      <c r="B824" s="8" t="s">
        <v>2197</v>
      </c>
      <c r="C824" s="7" t="s">
        <v>2340</v>
      </c>
      <c r="D824" s="9" t="s">
        <v>2343</v>
      </c>
      <c r="E824" s="7" t="s">
        <v>2322</v>
      </c>
      <c r="F824" s="7" t="s">
        <v>1040</v>
      </c>
      <c r="G824" s="7" t="s">
        <v>2344</v>
      </c>
      <c r="H824" s="7">
        <v>0.49099999999999999</v>
      </c>
      <c r="I824" s="7">
        <v>8</v>
      </c>
      <c r="J824" s="7">
        <v>800</v>
      </c>
      <c r="K824" s="7">
        <v>600</v>
      </c>
      <c r="L824" s="7">
        <v>150</v>
      </c>
      <c r="M824" s="7">
        <v>30</v>
      </c>
      <c r="N824" s="7">
        <v>60</v>
      </c>
      <c r="O824" s="7">
        <v>225</v>
      </c>
      <c r="P824" s="7">
        <v>250</v>
      </c>
    </row>
    <row r="825" spans="1:16" s="10" customFormat="1">
      <c r="A825" s="7">
        <f>IF(B825="","",SUBTOTAL(103,$B$2:B825))</f>
        <v>824</v>
      </c>
      <c r="B825" s="8" t="s">
        <v>2197</v>
      </c>
      <c r="C825" s="7" t="s">
        <v>2345</v>
      </c>
      <c r="D825" s="9" t="s">
        <v>2346</v>
      </c>
      <c r="E825" s="7" t="s">
        <v>2322</v>
      </c>
      <c r="F825" s="7" t="s">
        <v>1757</v>
      </c>
      <c r="G825" s="7" t="s">
        <v>2347</v>
      </c>
      <c r="H825" s="7">
        <v>0.11899999999999999</v>
      </c>
      <c r="I825" s="7">
        <v>44</v>
      </c>
      <c r="J825" s="7">
        <v>800</v>
      </c>
      <c r="K825" s="7">
        <v>600</v>
      </c>
      <c r="L825" s="7">
        <v>150</v>
      </c>
      <c r="M825" s="7">
        <v>30</v>
      </c>
      <c r="N825" s="7">
        <v>60</v>
      </c>
      <c r="O825" s="7">
        <v>45</v>
      </c>
      <c r="P825" s="7">
        <v>120</v>
      </c>
    </row>
    <row r="826" spans="1:16" s="10" customFormat="1">
      <c r="A826" s="7">
        <f>IF(B826="","",SUBTOTAL(103,$B$2:B826))</f>
        <v>825</v>
      </c>
      <c r="B826" s="8" t="s">
        <v>2197</v>
      </c>
      <c r="C826" s="7" t="s">
        <v>2345</v>
      </c>
      <c r="D826" s="9" t="s">
        <v>2348</v>
      </c>
      <c r="E826" s="7" t="s">
        <v>2322</v>
      </c>
      <c r="F826" s="7" t="s">
        <v>1052</v>
      </c>
      <c r="G826" s="7" t="s">
        <v>2349</v>
      </c>
      <c r="H826" s="7">
        <v>0.11899999999999999</v>
      </c>
      <c r="I826" s="7">
        <v>44</v>
      </c>
      <c r="J826" s="7">
        <v>800</v>
      </c>
      <c r="K826" s="7">
        <v>600</v>
      </c>
      <c r="L826" s="7">
        <v>150</v>
      </c>
      <c r="M826" s="7">
        <v>30</v>
      </c>
      <c r="N826" s="7">
        <v>60</v>
      </c>
      <c r="O826" s="7">
        <v>45</v>
      </c>
      <c r="P826" s="7">
        <v>120</v>
      </c>
    </row>
    <row r="827" spans="1:16" s="10" customFormat="1">
      <c r="A827" s="7">
        <f>IF(B827="","",SUBTOTAL(103,$B$2:B827))</f>
        <v>826</v>
      </c>
      <c r="B827" s="8" t="s">
        <v>2197</v>
      </c>
      <c r="C827" s="7" t="s">
        <v>2350</v>
      </c>
      <c r="D827" s="9" t="s">
        <v>2351</v>
      </c>
      <c r="E827" s="7" t="s">
        <v>2322</v>
      </c>
      <c r="F827" s="7" t="s">
        <v>1056</v>
      </c>
      <c r="G827" s="7" t="s">
        <v>2352</v>
      </c>
      <c r="H827" s="7">
        <v>6.7000000000000004E-2</v>
      </c>
      <c r="I827" s="7">
        <v>68</v>
      </c>
      <c r="J827" s="7">
        <v>800</v>
      </c>
      <c r="K827" s="7">
        <v>600</v>
      </c>
      <c r="L827" s="7">
        <v>150</v>
      </c>
      <c r="M827" s="7">
        <v>30</v>
      </c>
      <c r="N827" s="7">
        <v>60</v>
      </c>
      <c r="O827" s="7">
        <v>30</v>
      </c>
      <c r="P827" s="7">
        <v>100</v>
      </c>
    </row>
    <row r="828" spans="1:16" s="10" customFormat="1">
      <c r="A828" s="7">
        <f>IF(B828="","",SUBTOTAL(103,$B$2:B828))</f>
        <v>827</v>
      </c>
      <c r="B828" s="8" t="s">
        <v>2353</v>
      </c>
      <c r="C828" s="7" t="s">
        <v>2354</v>
      </c>
      <c r="D828" s="9" t="s">
        <v>2355</v>
      </c>
      <c r="E828" s="7" t="s">
        <v>2356</v>
      </c>
      <c r="F828" s="7" t="s">
        <v>1011</v>
      </c>
      <c r="G828" s="7" t="s">
        <v>2357</v>
      </c>
      <c r="H828" s="7">
        <v>0.11600000000000001</v>
      </c>
      <c r="I828" s="7">
        <v>44</v>
      </c>
      <c r="J828" s="7">
        <v>800</v>
      </c>
      <c r="K828" s="7">
        <v>600</v>
      </c>
      <c r="L828" s="7">
        <v>150</v>
      </c>
      <c r="M828" s="7">
        <v>30</v>
      </c>
      <c r="N828" s="7">
        <v>120</v>
      </c>
      <c r="O828" s="7">
        <v>45</v>
      </c>
      <c r="P828" s="7">
        <v>160</v>
      </c>
    </row>
    <row r="829" spans="1:16" s="10" customFormat="1">
      <c r="A829" s="7">
        <f>IF(B829="","",SUBTOTAL(103,$B$2:B829))</f>
        <v>828</v>
      </c>
      <c r="B829" s="8" t="s">
        <v>2353</v>
      </c>
      <c r="C829" s="7" t="s">
        <v>2358</v>
      </c>
      <c r="D829" s="9" t="s">
        <v>2359</v>
      </c>
      <c r="E829" s="7" t="s">
        <v>2356</v>
      </c>
      <c r="F829" s="7" t="s">
        <v>1018</v>
      </c>
      <c r="G829" s="7" t="s">
        <v>2360</v>
      </c>
      <c r="H829" s="7">
        <v>0.04</v>
      </c>
      <c r="I829" s="7">
        <v>44</v>
      </c>
      <c r="J829" s="7">
        <v>800</v>
      </c>
      <c r="K829" s="7">
        <v>600</v>
      </c>
      <c r="L829" s="7">
        <v>150</v>
      </c>
      <c r="M829" s="7">
        <v>30</v>
      </c>
      <c r="N829" s="7">
        <v>60</v>
      </c>
      <c r="O829" s="7">
        <v>45</v>
      </c>
      <c r="P829" s="7">
        <v>140</v>
      </c>
    </row>
    <row r="830" spans="1:16" s="10" customFormat="1">
      <c r="A830" s="7">
        <f>IF(B830="","",SUBTOTAL(103,$B$2:B830))</f>
        <v>829</v>
      </c>
      <c r="B830" s="8" t="s">
        <v>2353</v>
      </c>
      <c r="C830" s="7" t="s">
        <v>2361</v>
      </c>
      <c r="D830" s="9" t="s">
        <v>2362</v>
      </c>
      <c r="E830" s="7" t="s">
        <v>2356</v>
      </c>
      <c r="F830" s="7" t="s">
        <v>1022</v>
      </c>
      <c r="G830" s="7" t="s">
        <v>2363</v>
      </c>
      <c r="H830" s="7">
        <v>0.04</v>
      </c>
      <c r="I830" s="7">
        <v>80</v>
      </c>
      <c r="J830" s="7">
        <v>800</v>
      </c>
      <c r="K830" s="7">
        <v>600</v>
      </c>
      <c r="L830" s="7">
        <v>150</v>
      </c>
      <c r="M830" s="7">
        <v>30</v>
      </c>
      <c r="N830" s="7">
        <v>60</v>
      </c>
      <c r="O830" s="7">
        <v>25</v>
      </c>
      <c r="P830" s="7">
        <v>120</v>
      </c>
    </row>
    <row r="831" spans="1:16" s="10" customFormat="1">
      <c r="A831" s="7">
        <f>IF(B831="","",SUBTOTAL(103,$B$2:B831))</f>
        <v>830</v>
      </c>
      <c r="B831" s="8" t="s">
        <v>2353</v>
      </c>
      <c r="C831" s="7" t="s">
        <v>2364</v>
      </c>
      <c r="D831" s="9" t="s">
        <v>2365</v>
      </c>
      <c r="E831" s="7" t="s">
        <v>2356</v>
      </c>
      <c r="F831" s="7" t="s">
        <v>1738</v>
      </c>
      <c r="G831" s="7" t="s">
        <v>2366</v>
      </c>
      <c r="H831" s="7">
        <v>0.04</v>
      </c>
      <c r="I831" s="7">
        <v>92</v>
      </c>
      <c r="J831" s="7">
        <v>800</v>
      </c>
      <c r="K831" s="7">
        <v>600</v>
      </c>
      <c r="L831" s="7">
        <v>150</v>
      </c>
      <c r="M831" s="7">
        <v>30</v>
      </c>
      <c r="N831" s="7">
        <v>60</v>
      </c>
      <c r="O831" s="7">
        <v>27</v>
      </c>
      <c r="P831" s="7">
        <v>110</v>
      </c>
    </row>
    <row r="832" spans="1:16" s="10" customFormat="1">
      <c r="A832" s="7">
        <f>IF(B832="","",SUBTOTAL(103,$B$2:B832))</f>
        <v>831</v>
      </c>
      <c r="B832" s="8" t="s">
        <v>2353</v>
      </c>
      <c r="C832" s="7" t="s">
        <v>2367</v>
      </c>
      <c r="D832" s="9" t="s">
        <v>2368</v>
      </c>
      <c r="E832" s="7" t="s">
        <v>2356</v>
      </c>
      <c r="F832" s="7" t="s">
        <v>1029</v>
      </c>
      <c r="G832" s="7" t="s">
        <v>2369</v>
      </c>
      <c r="H832" s="7">
        <v>0.313</v>
      </c>
      <c r="I832" s="7">
        <v>14</v>
      </c>
      <c r="J832" s="7">
        <v>800</v>
      </c>
      <c r="K832" s="7">
        <v>600</v>
      </c>
      <c r="L832" s="7">
        <v>150</v>
      </c>
      <c r="M832" s="7">
        <v>30</v>
      </c>
      <c r="N832" s="7">
        <v>60</v>
      </c>
      <c r="O832" s="7">
        <v>140</v>
      </c>
      <c r="P832" s="7">
        <v>220</v>
      </c>
    </row>
    <row r="833" spans="1:16" s="10" customFormat="1">
      <c r="A833" s="7">
        <f>IF(B833="","",SUBTOTAL(103,$B$2:B833))</f>
        <v>832</v>
      </c>
      <c r="B833" s="8" t="s">
        <v>2353</v>
      </c>
      <c r="C833" s="7" t="s">
        <v>2370</v>
      </c>
      <c r="D833" s="9" t="s">
        <v>2371</v>
      </c>
      <c r="E833" s="7" t="s">
        <v>2356</v>
      </c>
      <c r="F833" s="7" t="s">
        <v>1040</v>
      </c>
      <c r="G833" s="7" t="s">
        <v>2372</v>
      </c>
      <c r="H833" s="7">
        <v>0.496</v>
      </c>
      <c r="I833" s="7">
        <v>12</v>
      </c>
      <c r="J833" s="7">
        <v>800</v>
      </c>
      <c r="K833" s="7">
        <v>600</v>
      </c>
      <c r="L833" s="7">
        <v>150</v>
      </c>
      <c r="M833" s="7">
        <v>30</v>
      </c>
      <c r="N833" s="7">
        <v>60</v>
      </c>
      <c r="O833" s="7">
        <v>150</v>
      </c>
      <c r="P833" s="7">
        <v>300</v>
      </c>
    </row>
    <row r="834" spans="1:16" s="10" customFormat="1">
      <c r="A834" s="7">
        <f>IF(B834="","",SUBTOTAL(103,$B$2:B834))</f>
        <v>833</v>
      </c>
      <c r="B834" s="8" t="s">
        <v>2353</v>
      </c>
      <c r="C834" s="7" t="s">
        <v>2373</v>
      </c>
      <c r="D834" s="9" t="s">
        <v>2374</v>
      </c>
      <c r="E834" s="7" t="s">
        <v>2356</v>
      </c>
      <c r="F834" s="7" t="s">
        <v>1052</v>
      </c>
      <c r="G834" s="7" t="s">
        <v>2375</v>
      </c>
      <c r="H834" s="7">
        <v>0.04</v>
      </c>
      <c r="I834" s="7">
        <v>44</v>
      </c>
      <c r="J834" s="7">
        <v>800</v>
      </c>
      <c r="K834" s="7">
        <v>600</v>
      </c>
      <c r="L834" s="7">
        <v>150</v>
      </c>
      <c r="M834" s="7">
        <v>30</v>
      </c>
      <c r="N834" s="7">
        <v>120</v>
      </c>
      <c r="O834" s="7">
        <v>45</v>
      </c>
      <c r="P834" s="7">
        <v>150</v>
      </c>
    </row>
    <row r="835" spans="1:16" s="10" customFormat="1">
      <c r="A835" s="7">
        <f>IF(B835="","",SUBTOTAL(103,$B$2:B835))</f>
        <v>834</v>
      </c>
      <c r="B835" s="8" t="s">
        <v>2353</v>
      </c>
      <c r="C835" s="7" t="s">
        <v>2376</v>
      </c>
      <c r="D835" s="9" t="s">
        <v>2377</v>
      </c>
      <c r="E835" s="7" t="s">
        <v>2356</v>
      </c>
      <c r="F835" s="7" t="s">
        <v>1056</v>
      </c>
      <c r="G835" s="7" t="s">
        <v>2378</v>
      </c>
      <c r="H835" s="7">
        <v>0.93</v>
      </c>
      <c r="I835" s="7">
        <v>68</v>
      </c>
      <c r="J835" s="7">
        <v>800</v>
      </c>
      <c r="K835" s="7">
        <v>600</v>
      </c>
      <c r="L835" s="7">
        <v>150</v>
      </c>
      <c r="M835" s="7">
        <v>30</v>
      </c>
      <c r="N835" s="7">
        <v>60</v>
      </c>
      <c r="O835" s="7">
        <v>30</v>
      </c>
      <c r="P835" s="7">
        <v>130</v>
      </c>
    </row>
    <row r="836" spans="1:16" s="10" customFormat="1">
      <c r="A836" s="7">
        <f>IF(B836="","",SUBTOTAL(103,$B$2:B836))</f>
        <v>835</v>
      </c>
      <c r="B836" s="8" t="s">
        <v>2353</v>
      </c>
      <c r="C836" s="7" t="s">
        <v>2354</v>
      </c>
      <c r="D836" s="9" t="s">
        <v>2379</v>
      </c>
      <c r="E836" s="7" t="s">
        <v>2380</v>
      </c>
      <c r="F836" s="7" t="s">
        <v>1008</v>
      </c>
      <c r="G836" s="7" t="s">
        <v>2381</v>
      </c>
      <c r="H836" s="7">
        <v>0.11600000000000001</v>
      </c>
      <c r="I836" s="7">
        <v>44</v>
      </c>
      <c r="J836" s="7">
        <v>800</v>
      </c>
      <c r="K836" s="7">
        <v>600</v>
      </c>
      <c r="L836" s="7">
        <v>150</v>
      </c>
      <c r="M836" s="7">
        <v>30</v>
      </c>
      <c r="N836" s="7">
        <v>60</v>
      </c>
      <c r="O836" s="7">
        <v>45</v>
      </c>
      <c r="P836" s="7">
        <v>160</v>
      </c>
    </row>
    <row r="837" spans="1:16" s="10" customFormat="1">
      <c r="A837" s="7">
        <f>IF(B837="","",SUBTOTAL(103,$B$2:B837))</f>
        <v>836</v>
      </c>
      <c r="B837" s="8" t="s">
        <v>2353</v>
      </c>
      <c r="C837" s="7" t="s">
        <v>2354</v>
      </c>
      <c r="D837" s="9" t="s">
        <v>2382</v>
      </c>
      <c r="E837" s="7" t="s">
        <v>2380</v>
      </c>
      <c r="F837" s="7" t="s">
        <v>1011</v>
      </c>
      <c r="G837" s="7" t="s">
        <v>2383</v>
      </c>
      <c r="H837" s="7">
        <v>0.11600000000000001</v>
      </c>
      <c r="I837" s="7">
        <v>44</v>
      </c>
      <c r="J837" s="7">
        <v>800</v>
      </c>
      <c r="K837" s="7">
        <v>600</v>
      </c>
      <c r="L837" s="7">
        <v>150</v>
      </c>
      <c r="M837" s="7">
        <v>30</v>
      </c>
      <c r="N837" s="7">
        <v>60</v>
      </c>
      <c r="O837" s="7">
        <v>45</v>
      </c>
      <c r="P837" s="7">
        <v>160</v>
      </c>
    </row>
    <row r="838" spans="1:16" s="10" customFormat="1">
      <c r="A838" s="7">
        <f>IF(B838="","",SUBTOTAL(103,$B$2:B838))</f>
        <v>837</v>
      </c>
      <c r="B838" s="8" t="s">
        <v>2353</v>
      </c>
      <c r="C838" s="7" t="s">
        <v>2358</v>
      </c>
      <c r="D838" s="9" t="s">
        <v>2384</v>
      </c>
      <c r="E838" s="7" t="s">
        <v>2380</v>
      </c>
      <c r="F838" s="7" t="s">
        <v>1015</v>
      </c>
      <c r="G838" s="7" t="s">
        <v>2385</v>
      </c>
      <c r="H838" s="7">
        <v>8.2000000000000003E-2</v>
      </c>
      <c r="I838" s="7">
        <v>44</v>
      </c>
      <c r="J838" s="7">
        <v>800</v>
      </c>
      <c r="K838" s="7">
        <v>600</v>
      </c>
      <c r="L838" s="7">
        <v>150</v>
      </c>
      <c r="M838" s="7">
        <v>30</v>
      </c>
      <c r="N838" s="7">
        <v>60</v>
      </c>
      <c r="O838" s="7">
        <v>45</v>
      </c>
      <c r="P838" s="7">
        <v>140</v>
      </c>
    </row>
    <row r="839" spans="1:16" s="10" customFormat="1">
      <c r="A839" s="7">
        <f>IF(B839="","",SUBTOTAL(103,$B$2:B839))</f>
        <v>838</v>
      </c>
      <c r="B839" s="8" t="s">
        <v>2353</v>
      </c>
      <c r="C839" s="7" t="s">
        <v>2358</v>
      </c>
      <c r="D839" s="9" t="s">
        <v>2386</v>
      </c>
      <c r="E839" s="7" t="s">
        <v>2380</v>
      </c>
      <c r="F839" s="7" t="s">
        <v>1018</v>
      </c>
      <c r="G839" s="7" t="s">
        <v>2387</v>
      </c>
      <c r="H839" s="7">
        <v>8.2000000000000003E-2</v>
      </c>
      <c r="I839" s="7">
        <v>44</v>
      </c>
      <c r="J839" s="7">
        <v>800</v>
      </c>
      <c r="K839" s="7">
        <v>600</v>
      </c>
      <c r="L839" s="7">
        <v>150</v>
      </c>
      <c r="M839" s="7">
        <v>30</v>
      </c>
      <c r="N839" s="7">
        <v>60</v>
      </c>
      <c r="O839" s="7">
        <v>45</v>
      </c>
      <c r="P839" s="7">
        <v>140</v>
      </c>
    </row>
    <row r="840" spans="1:16" s="10" customFormat="1">
      <c r="A840" s="7">
        <f>IF(B840="","",SUBTOTAL(103,$B$2:B840))</f>
        <v>839</v>
      </c>
      <c r="B840" s="8" t="s">
        <v>2353</v>
      </c>
      <c r="C840" s="7" t="s">
        <v>2361</v>
      </c>
      <c r="D840" s="9" t="s">
        <v>2388</v>
      </c>
      <c r="E840" s="7" t="s">
        <v>2380</v>
      </c>
      <c r="F840" s="7" t="s">
        <v>1732</v>
      </c>
      <c r="G840" s="7" t="s">
        <v>2389</v>
      </c>
      <c r="H840" s="7">
        <v>0.04</v>
      </c>
      <c r="I840" s="7">
        <v>80</v>
      </c>
      <c r="J840" s="7">
        <v>800</v>
      </c>
      <c r="K840" s="7">
        <v>600</v>
      </c>
      <c r="L840" s="7">
        <v>150</v>
      </c>
      <c r="M840" s="7">
        <v>30</v>
      </c>
      <c r="N840" s="7">
        <v>60</v>
      </c>
      <c r="O840" s="7">
        <v>25</v>
      </c>
      <c r="P840" s="7">
        <v>120</v>
      </c>
    </row>
    <row r="841" spans="1:16" s="10" customFormat="1">
      <c r="A841" s="7">
        <f>IF(B841="","",SUBTOTAL(103,$B$2:B841))</f>
        <v>840</v>
      </c>
      <c r="B841" s="8" t="s">
        <v>2353</v>
      </c>
      <c r="C841" s="7" t="s">
        <v>2361</v>
      </c>
      <c r="D841" s="9" t="s">
        <v>2390</v>
      </c>
      <c r="E841" s="7" t="s">
        <v>2380</v>
      </c>
      <c r="F841" s="7" t="s">
        <v>1022</v>
      </c>
      <c r="G841" s="7" t="s">
        <v>2391</v>
      </c>
      <c r="H841" s="7">
        <v>0.04</v>
      </c>
      <c r="I841" s="7">
        <v>80</v>
      </c>
      <c r="J841" s="7">
        <v>800</v>
      </c>
      <c r="K841" s="7">
        <v>600</v>
      </c>
      <c r="L841" s="7">
        <v>150</v>
      </c>
      <c r="M841" s="7">
        <v>30</v>
      </c>
      <c r="N841" s="7">
        <v>60</v>
      </c>
      <c r="O841" s="7">
        <v>25</v>
      </c>
      <c r="P841" s="7">
        <v>120</v>
      </c>
    </row>
    <row r="842" spans="1:16" s="10" customFormat="1">
      <c r="A842" s="7">
        <f>IF(B842="","",SUBTOTAL(103,$B$2:B842))</f>
        <v>841</v>
      </c>
      <c r="B842" s="8" t="s">
        <v>2353</v>
      </c>
      <c r="C842" s="7" t="s">
        <v>2364</v>
      </c>
      <c r="D842" s="9" t="s">
        <v>2392</v>
      </c>
      <c r="E842" s="7" t="s">
        <v>2380</v>
      </c>
      <c r="F842" s="7" t="s">
        <v>1923</v>
      </c>
      <c r="G842" s="7" t="s">
        <v>2393</v>
      </c>
      <c r="H842" s="7">
        <v>2.7E-2</v>
      </c>
      <c r="I842" s="7">
        <v>92</v>
      </c>
      <c r="J842" s="7">
        <v>800</v>
      </c>
      <c r="K842" s="7">
        <v>600</v>
      </c>
      <c r="L842" s="7">
        <v>150</v>
      </c>
      <c r="M842" s="7">
        <v>30</v>
      </c>
      <c r="N842" s="7">
        <v>60</v>
      </c>
      <c r="O842" s="7">
        <v>27</v>
      </c>
      <c r="P842" s="7">
        <v>110</v>
      </c>
    </row>
    <row r="843" spans="1:16" s="10" customFormat="1">
      <c r="A843" s="7">
        <f>IF(B843="","",SUBTOTAL(103,$B$2:B843))</f>
        <v>842</v>
      </c>
      <c r="B843" s="8" t="s">
        <v>2353</v>
      </c>
      <c r="C843" s="7" t="s">
        <v>2364</v>
      </c>
      <c r="D843" s="9" t="s">
        <v>2394</v>
      </c>
      <c r="E843" s="7" t="s">
        <v>2380</v>
      </c>
      <c r="F843" s="7" t="s">
        <v>1738</v>
      </c>
      <c r="G843" s="7" t="s">
        <v>2395</v>
      </c>
      <c r="H843" s="7">
        <v>2.7E-2</v>
      </c>
      <c r="I843" s="7">
        <v>92</v>
      </c>
      <c r="J843" s="7">
        <v>800</v>
      </c>
      <c r="K843" s="7">
        <v>600</v>
      </c>
      <c r="L843" s="7">
        <v>150</v>
      </c>
      <c r="M843" s="7">
        <v>30</v>
      </c>
      <c r="N843" s="7">
        <v>60</v>
      </c>
      <c r="O843" s="7">
        <v>27</v>
      </c>
      <c r="P843" s="7">
        <v>110</v>
      </c>
    </row>
    <row r="844" spans="1:16" s="10" customFormat="1">
      <c r="A844" s="7">
        <f>IF(B844="","",SUBTOTAL(103,$B$2:B844))</f>
        <v>843</v>
      </c>
      <c r="B844" s="8" t="s">
        <v>2353</v>
      </c>
      <c r="C844" s="7" t="s">
        <v>2367</v>
      </c>
      <c r="D844" s="9" t="s">
        <v>2396</v>
      </c>
      <c r="E844" s="7" t="s">
        <v>2380</v>
      </c>
      <c r="F844" s="7" t="s">
        <v>1026</v>
      </c>
      <c r="G844" s="7" t="s">
        <v>2397</v>
      </c>
      <c r="H844" s="7">
        <v>0.313</v>
      </c>
      <c r="I844" s="7">
        <v>14</v>
      </c>
      <c r="J844" s="7">
        <v>800</v>
      </c>
      <c r="K844" s="7">
        <v>600</v>
      </c>
      <c r="L844" s="7">
        <v>150</v>
      </c>
      <c r="M844" s="7">
        <v>30</v>
      </c>
      <c r="N844" s="7">
        <v>60</v>
      </c>
      <c r="O844" s="7">
        <v>140</v>
      </c>
      <c r="P844" s="7">
        <v>220</v>
      </c>
    </row>
    <row r="845" spans="1:16" s="10" customFormat="1">
      <c r="A845" s="7">
        <f>IF(B845="","",SUBTOTAL(103,$B$2:B845))</f>
        <v>844</v>
      </c>
      <c r="B845" s="8" t="s">
        <v>2353</v>
      </c>
      <c r="C845" s="7" t="s">
        <v>2367</v>
      </c>
      <c r="D845" s="9" t="s">
        <v>2398</v>
      </c>
      <c r="E845" s="7" t="s">
        <v>2380</v>
      </c>
      <c r="F845" s="7" t="s">
        <v>1029</v>
      </c>
      <c r="G845" s="7" t="s">
        <v>2399</v>
      </c>
      <c r="H845" s="7">
        <v>0.313</v>
      </c>
      <c r="I845" s="7">
        <v>14</v>
      </c>
      <c r="J845" s="7">
        <v>800</v>
      </c>
      <c r="K845" s="7">
        <v>600</v>
      </c>
      <c r="L845" s="7">
        <v>150</v>
      </c>
      <c r="M845" s="7">
        <v>30</v>
      </c>
      <c r="N845" s="7">
        <v>60</v>
      </c>
      <c r="O845" s="7">
        <v>140</v>
      </c>
      <c r="P845" s="7">
        <v>220</v>
      </c>
    </row>
    <row r="846" spans="1:16" s="10" customFormat="1">
      <c r="A846" s="7">
        <f>IF(B846="","",SUBTOTAL(103,$B$2:B846))</f>
        <v>845</v>
      </c>
      <c r="B846" s="8" t="s">
        <v>2353</v>
      </c>
      <c r="C846" s="7" t="s">
        <v>2400</v>
      </c>
      <c r="D846" s="9" t="s">
        <v>2401</v>
      </c>
      <c r="E846" s="7" t="s">
        <v>2380</v>
      </c>
      <c r="F846" s="7" t="s">
        <v>1033</v>
      </c>
      <c r="G846" s="7" t="s">
        <v>2402</v>
      </c>
      <c r="H846" s="7">
        <v>0.3</v>
      </c>
      <c r="I846" s="7">
        <v>14</v>
      </c>
      <c r="J846" s="7">
        <v>800</v>
      </c>
      <c r="K846" s="7">
        <v>600</v>
      </c>
      <c r="L846" s="7">
        <v>150</v>
      </c>
      <c r="M846" s="7">
        <v>30</v>
      </c>
      <c r="N846" s="7">
        <v>60</v>
      </c>
      <c r="O846" s="7">
        <v>140</v>
      </c>
      <c r="P846" s="7">
        <v>210</v>
      </c>
    </row>
    <row r="847" spans="1:16" s="10" customFormat="1">
      <c r="A847" s="7">
        <f>IF(B847="","",SUBTOTAL(103,$B$2:B847))</f>
        <v>846</v>
      </c>
      <c r="B847" s="8" t="s">
        <v>2353</v>
      </c>
      <c r="C847" s="7" t="s">
        <v>2400</v>
      </c>
      <c r="D847" s="9" t="s">
        <v>2403</v>
      </c>
      <c r="E847" s="7" t="s">
        <v>2380</v>
      </c>
      <c r="F847" s="7" t="s">
        <v>1337</v>
      </c>
      <c r="G847" s="7" t="s">
        <v>2404</v>
      </c>
      <c r="H847" s="7">
        <v>0.3</v>
      </c>
      <c r="I847" s="7">
        <v>14</v>
      </c>
      <c r="J847" s="7">
        <v>800</v>
      </c>
      <c r="K847" s="7">
        <v>600</v>
      </c>
      <c r="L847" s="7">
        <v>150</v>
      </c>
      <c r="M847" s="7">
        <v>30</v>
      </c>
      <c r="N847" s="7">
        <v>60</v>
      </c>
      <c r="O847" s="7">
        <v>140</v>
      </c>
      <c r="P847" s="7">
        <v>210</v>
      </c>
    </row>
    <row r="848" spans="1:16" s="10" customFormat="1">
      <c r="A848" s="7">
        <f>IF(B848="","",SUBTOTAL(103,$B$2:B848))</f>
        <v>847</v>
      </c>
      <c r="B848" s="8" t="s">
        <v>2353</v>
      </c>
      <c r="C848" s="7" t="s">
        <v>2400</v>
      </c>
      <c r="D848" s="9" t="s">
        <v>2405</v>
      </c>
      <c r="E848" s="7" t="s">
        <v>2406</v>
      </c>
      <c r="F848" s="7" t="s">
        <v>1337</v>
      </c>
      <c r="G848" s="7" t="str">
        <f>E848&amp;F848</f>
        <v>MB  K-06 CU 3#热处理11/4 CF8M</v>
      </c>
      <c r="H848" s="7">
        <v>0.3</v>
      </c>
      <c r="I848" s="7">
        <v>14</v>
      </c>
      <c r="J848" s="7">
        <v>800</v>
      </c>
      <c r="K848" s="7">
        <v>600</v>
      </c>
      <c r="L848" s="7">
        <v>150</v>
      </c>
      <c r="M848" s="7">
        <v>30</v>
      </c>
      <c r="N848" s="7">
        <v>60</v>
      </c>
      <c r="O848" s="7">
        <v>140</v>
      </c>
      <c r="P848" s="7">
        <v>210</v>
      </c>
    </row>
    <row r="849" spans="1:16" s="10" customFormat="1">
      <c r="A849" s="7">
        <f>IF(B849="","",SUBTOTAL(103,$B$2:B849))</f>
        <v>848</v>
      </c>
      <c r="B849" s="8" t="s">
        <v>2353</v>
      </c>
      <c r="C849" s="7" t="s">
        <v>2370</v>
      </c>
      <c r="D849" s="9" t="s">
        <v>2407</v>
      </c>
      <c r="E849" s="7" t="s">
        <v>2380</v>
      </c>
      <c r="F849" s="7" t="s">
        <v>1037</v>
      </c>
      <c r="G849" s="7" t="s">
        <v>2408</v>
      </c>
      <c r="H849" s="7">
        <v>0.496</v>
      </c>
      <c r="I849" s="7">
        <v>12</v>
      </c>
      <c r="J849" s="7">
        <v>800</v>
      </c>
      <c r="K849" s="7">
        <v>600</v>
      </c>
      <c r="L849" s="7">
        <v>150</v>
      </c>
      <c r="M849" s="7">
        <v>30</v>
      </c>
      <c r="N849" s="7">
        <v>60</v>
      </c>
      <c r="O849" s="7">
        <v>150</v>
      </c>
      <c r="P849" s="7">
        <v>300</v>
      </c>
    </row>
    <row r="850" spans="1:16" s="10" customFormat="1">
      <c r="A850" s="7">
        <f>IF(B850="","",SUBTOTAL(103,$B$2:B850))</f>
        <v>849</v>
      </c>
      <c r="B850" s="8" t="s">
        <v>2353</v>
      </c>
      <c r="C850" s="7" t="s">
        <v>2370</v>
      </c>
      <c r="D850" s="9" t="s">
        <v>2409</v>
      </c>
      <c r="E850" s="7" t="s">
        <v>2380</v>
      </c>
      <c r="F850" s="7" t="s">
        <v>1040</v>
      </c>
      <c r="G850" s="7" t="s">
        <v>2410</v>
      </c>
      <c r="H850" s="7">
        <v>0.496</v>
      </c>
      <c r="I850" s="7">
        <v>12</v>
      </c>
      <c r="J850" s="7">
        <v>800</v>
      </c>
      <c r="K850" s="7">
        <v>600</v>
      </c>
      <c r="L850" s="7">
        <v>150</v>
      </c>
      <c r="M850" s="7">
        <v>30</v>
      </c>
      <c r="N850" s="7">
        <v>60</v>
      </c>
      <c r="O850" s="7">
        <v>150</v>
      </c>
      <c r="P850" s="7">
        <v>300</v>
      </c>
    </row>
    <row r="851" spans="1:16" s="10" customFormat="1">
      <c r="A851" s="7">
        <f>IF(B851="","",SUBTOTAL(103,$B$2:B851))</f>
        <v>850</v>
      </c>
      <c r="B851" s="8" t="s">
        <v>2353</v>
      </c>
      <c r="C851" s="7" t="s">
        <v>2411</v>
      </c>
      <c r="D851" s="9" t="s">
        <v>2412</v>
      </c>
      <c r="E851" s="7" t="s">
        <v>2380</v>
      </c>
      <c r="F851" s="7" t="s">
        <v>1948</v>
      </c>
      <c r="G851" s="7" t="s">
        <v>2413</v>
      </c>
      <c r="H851" s="7">
        <v>0.86499999999999999</v>
      </c>
      <c r="I851" s="7">
        <v>4</v>
      </c>
      <c r="J851" s="7">
        <v>800</v>
      </c>
      <c r="K851" s="7">
        <v>600</v>
      </c>
      <c r="L851" s="7">
        <v>150</v>
      </c>
      <c r="M851" s="7">
        <v>30</v>
      </c>
      <c r="N851" s="7">
        <v>60</v>
      </c>
      <c r="O851" s="7">
        <v>500</v>
      </c>
      <c r="P851" s="7">
        <v>600</v>
      </c>
    </row>
    <row r="852" spans="1:16" s="10" customFormat="1">
      <c r="A852" s="7">
        <f>IF(B852="","",SUBTOTAL(103,$B$2:B852))</f>
        <v>851</v>
      </c>
      <c r="B852" s="8" t="s">
        <v>2353</v>
      </c>
      <c r="C852" s="7" t="s">
        <v>2411</v>
      </c>
      <c r="D852" s="9" t="s">
        <v>2414</v>
      </c>
      <c r="E852" s="7" t="s">
        <v>2380</v>
      </c>
      <c r="F852" s="7" t="s">
        <v>1044</v>
      </c>
      <c r="G852" s="7" t="s">
        <v>2415</v>
      </c>
      <c r="H852" s="7">
        <v>0.86499999999999999</v>
      </c>
      <c r="I852" s="7">
        <v>4</v>
      </c>
      <c r="J852" s="7">
        <v>800</v>
      </c>
      <c r="K852" s="7">
        <v>600</v>
      </c>
      <c r="L852" s="7">
        <v>150</v>
      </c>
      <c r="M852" s="7">
        <v>30</v>
      </c>
      <c r="N852" s="7">
        <v>60</v>
      </c>
      <c r="O852" s="7">
        <v>500</v>
      </c>
      <c r="P852" s="7">
        <v>600</v>
      </c>
    </row>
    <row r="853" spans="1:16" s="10" customFormat="1">
      <c r="A853" s="7">
        <f>IF(B853="","",SUBTOTAL(103,$B$2:B853))</f>
        <v>852</v>
      </c>
      <c r="B853" s="8" t="s">
        <v>2353</v>
      </c>
      <c r="C853" s="7" t="s">
        <v>2416</v>
      </c>
      <c r="D853" s="9" t="s">
        <v>2417</v>
      </c>
      <c r="E853" s="7" t="s">
        <v>2380</v>
      </c>
      <c r="F853" s="7" t="s">
        <v>1953</v>
      </c>
      <c r="G853" s="7" t="s">
        <v>2418</v>
      </c>
      <c r="H853" s="7">
        <v>1.1259999999999999</v>
      </c>
      <c r="I853" s="7">
        <v>4</v>
      </c>
      <c r="J853" s="7">
        <v>800</v>
      </c>
      <c r="K853" s="7">
        <v>600</v>
      </c>
      <c r="L853" s="7">
        <v>150</v>
      </c>
      <c r="M853" s="7">
        <v>30</v>
      </c>
      <c r="N853" s="7">
        <v>60</v>
      </c>
      <c r="O853" s="7">
        <v>500</v>
      </c>
      <c r="P853" s="7">
        <v>600</v>
      </c>
    </row>
    <row r="854" spans="1:16" s="10" customFormat="1">
      <c r="A854" s="7">
        <f>IF(B854="","",SUBTOTAL(103,$B$2:B854))</f>
        <v>853</v>
      </c>
      <c r="B854" s="8" t="s">
        <v>2353</v>
      </c>
      <c r="C854" s="7" t="s">
        <v>2416</v>
      </c>
      <c r="D854" s="9" t="s">
        <v>2419</v>
      </c>
      <c r="E854" s="7" t="s">
        <v>2380</v>
      </c>
      <c r="F854" s="7" t="s">
        <v>1048</v>
      </c>
      <c r="G854" s="7" t="s">
        <v>2420</v>
      </c>
      <c r="H854" s="7">
        <v>1.1259999999999999</v>
      </c>
      <c r="I854" s="7">
        <v>4</v>
      </c>
      <c r="J854" s="7">
        <v>800</v>
      </c>
      <c r="K854" s="7">
        <v>600</v>
      </c>
      <c r="L854" s="7">
        <v>150</v>
      </c>
      <c r="M854" s="7">
        <v>30</v>
      </c>
      <c r="N854" s="7">
        <v>60</v>
      </c>
      <c r="O854" s="7">
        <v>500</v>
      </c>
      <c r="P854" s="7">
        <v>600</v>
      </c>
    </row>
    <row r="855" spans="1:16" s="10" customFormat="1">
      <c r="A855" s="7">
        <f>IF(B855="","",SUBTOTAL(103,$B$2:B855))</f>
        <v>854</v>
      </c>
      <c r="B855" s="8" t="s">
        <v>2353</v>
      </c>
      <c r="C855" s="7" t="s">
        <v>2373</v>
      </c>
      <c r="D855" s="9" t="s">
        <v>2421</v>
      </c>
      <c r="E855" s="7" t="s">
        <v>2380</v>
      </c>
      <c r="F855" s="7" t="s">
        <v>1757</v>
      </c>
      <c r="G855" s="7" t="s">
        <v>2422</v>
      </c>
      <c r="H855" s="7">
        <v>0.1</v>
      </c>
      <c r="I855" s="7">
        <v>44</v>
      </c>
      <c r="J855" s="7">
        <v>800</v>
      </c>
      <c r="K855" s="7">
        <v>600</v>
      </c>
      <c r="L855" s="7">
        <v>150</v>
      </c>
      <c r="M855" s="7">
        <v>30</v>
      </c>
      <c r="N855" s="7">
        <v>120</v>
      </c>
      <c r="O855" s="7">
        <v>45</v>
      </c>
      <c r="P855" s="7">
        <v>150</v>
      </c>
    </row>
    <row r="856" spans="1:16" s="10" customFormat="1">
      <c r="A856" s="7">
        <f>IF(B856="","",SUBTOTAL(103,$B$2:B856))</f>
        <v>855</v>
      </c>
      <c r="B856" s="8" t="s">
        <v>2353</v>
      </c>
      <c r="C856" s="7" t="s">
        <v>2373</v>
      </c>
      <c r="D856" s="9" t="s">
        <v>2423</v>
      </c>
      <c r="E856" s="7" t="s">
        <v>2380</v>
      </c>
      <c r="F856" s="7" t="s">
        <v>1052</v>
      </c>
      <c r="G856" s="7" t="s">
        <v>2424</v>
      </c>
      <c r="H856" s="7">
        <v>0.1</v>
      </c>
      <c r="I856" s="7">
        <v>44</v>
      </c>
      <c r="J856" s="7">
        <v>800</v>
      </c>
      <c r="K856" s="7">
        <v>600</v>
      </c>
      <c r="L856" s="7">
        <v>150</v>
      </c>
      <c r="M856" s="7">
        <v>30</v>
      </c>
      <c r="N856" s="7">
        <v>120</v>
      </c>
      <c r="O856" s="7">
        <v>45</v>
      </c>
      <c r="P856" s="7">
        <v>150</v>
      </c>
    </row>
    <row r="857" spans="1:16" s="10" customFormat="1">
      <c r="A857" s="7">
        <f>IF(B857="","",SUBTOTAL(103,$B$2:B857))</f>
        <v>856</v>
      </c>
      <c r="B857" s="8" t="s">
        <v>2353</v>
      </c>
      <c r="C857" s="7" t="s">
        <v>2376</v>
      </c>
      <c r="D857" s="9" t="s">
        <v>2425</v>
      </c>
      <c r="E857" s="7" t="s">
        <v>2380</v>
      </c>
      <c r="F857" s="7" t="s">
        <v>1763</v>
      </c>
      <c r="G857" s="7" t="s">
        <v>2426</v>
      </c>
      <c r="H857" s="7">
        <v>4.7E-2</v>
      </c>
      <c r="I857" s="7">
        <v>68</v>
      </c>
      <c r="J857" s="7">
        <v>800</v>
      </c>
      <c r="K857" s="7">
        <v>600</v>
      </c>
      <c r="L857" s="7">
        <v>150</v>
      </c>
      <c r="M857" s="7">
        <v>30</v>
      </c>
      <c r="N857" s="7">
        <v>60</v>
      </c>
      <c r="O857" s="7">
        <v>30</v>
      </c>
      <c r="P857" s="7">
        <v>130</v>
      </c>
    </row>
    <row r="858" spans="1:16" s="10" customFormat="1">
      <c r="A858" s="7">
        <f>IF(B858="","",SUBTOTAL(103,$B$2:B858))</f>
        <v>857</v>
      </c>
      <c r="B858" s="8" t="s">
        <v>2353</v>
      </c>
      <c r="C858" s="7" t="s">
        <v>2376</v>
      </c>
      <c r="D858" s="9" t="s">
        <v>2427</v>
      </c>
      <c r="E858" s="7" t="s">
        <v>2380</v>
      </c>
      <c r="F858" s="7" t="s">
        <v>1056</v>
      </c>
      <c r="G858" s="7" t="s">
        <v>2428</v>
      </c>
      <c r="H858" s="7">
        <v>4.7E-2</v>
      </c>
      <c r="I858" s="7">
        <v>68</v>
      </c>
      <c r="J858" s="7">
        <v>800</v>
      </c>
      <c r="K858" s="7">
        <v>600</v>
      </c>
      <c r="L858" s="7">
        <v>150</v>
      </c>
      <c r="M858" s="7">
        <v>30</v>
      </c>
      <c r="N858" s="7">
        <v>60</v>
      </c>
      <c r="O858" s="7">
        <v>30</v>
      </c>
      <c r="P858" s="7">
        <v>130</v>
      </c>
    </row>
    <row r="859" spans="1:16" s="10" customFormat="1">
      <c r="A859" s="7">
        <f>IF(B859="","",SUBTOTAL(103,$B$2:B859))</f>
        <v>858</v>
      </c>
      <c r="B859" s="8" t="s">
        <v>2353</v>
      </c>
      <c r="C859" s="7" t="s">
        <v>2429</v>
      </c>
      <c r="D859" s="9" t="s">
        <v>2430</v>
      </c>
      <c r="E859" s="7" t="s">
        <v>2380</v>
      </c>
      <c r="F859" s="7" t="s">
        <v>1060</v>
      </c>
      <c r="G859" s="7" t="s">
        <v>2431</v>
      </c>
      <c r="H859" s="7">
        <v>0.1</v>
      </c>
      <c r="I859" s="7">
        <v>1</v>
      </c>
      <c r="J859" s="7">
        <v>800</v>
      </c>
      <c r="K859" s="7">
        <v>600</v>
      </c>
      <c r="L859" s="7">
        <v>150</v>
      </c>
      <c r="M859" s="7">
        <v>30</v>
      </c>
      <c r="N859" s="7">
        <v>60</v>
      </c>
      <c r="O859" s="7">
        <v>2000</v>
      </c>
      <c r="P859" s="7">
        <v>2050</v>
      </c>
    </row>
    <row r="860" spans="1:16" s="10" customFormat="1">
      <c r="A860" s="7">
        <f>IF(B860="","",SUBTOTAL(103,$B$2:B860))</f>
        <v>859</v>
      </c>
      <c r="B860" s="8" t="s">
        <v>2353</v>
      </c>
      <c r="C860" s="7" t="s">
        <v>2429</v>
      </c>
      <c r="D860" s="9" t="s">
        <v>2432</v>
      </c>
      <c r="E860" s="7" t="s">
        <v>2433</v>
      </c>
      <c r="F860" s="7" t="s">
        <v>1970</v>
      </c>
      <c r="G860" s="7" t="s">
        <v>2434</v>
      </c>
      <c r="H860" s="7">
        <v>0.1</v>
      </c>
      <c r="I860" s="7">
        <v>1</v>
      </c>
      <c r="J860" s="7">
        <v>800</v>
      </c>
      <c r="K860" s="7">
        <v>600</v>
      </c>
      <c r="L860" s="7">
        <v>150</v>
      </c>
      <c r="M860" s="7">
        <v>30</v>
      </c>
      <c r="N860" s="7">
        <v>60</v>
      </c>
      <c r="O860" s="7">
        <v>2000</v>
      </c>
      <c r="P860" s="7">
        <v>2050</v>
      </c>
    </row>
    <row r="861" spans="1:16" s="10" customFormat="1">
      <c r="A861" s="7">
        <f>IF(B861="","",SUBTOTAL(103,$B$2:B861))</f>
        <v>860</v>
      </c>
      <c r="B861" s="8" t="s">
        <v>2353</v>
      </c>
      <c r="C861" s="7" t="s">
        <v>2354</v>
      </c>
      <c r="D861" s="9" t="s">
        <v>2435</v>
      </c>
      <c r="E861" s="7" t="s">
        <v>2436</v>
      </c>
      <c r="F861" s="7" t="s">
        <v>1008</v>
      </c>
      <c r="G861" s="7" t="s">
        <v>2437</v>
      </c>
      <c r="H861" s="7">
        <v>0.11600000000000001</v>
      </c>
      <c r="I861" s="7">
        <v>44</v>
      </c>
      <c r="J861" s="7">
        <v>800</v>
      </c>
      <c r="K861" s="7">
        <v>600</v>
      </c>
      <c r="L861" s="7">
        <v>150</v>
      </c>
      <c r="M861" s="7">
        <v>30</v>
      </c>
      <c r="N861" s="7">
        <v>60</v>
      </c>
      <c r="O861" s="7">
        <v>45</v>
      </c>
      <c r="P861" s="7">
        <v>160</v>
      </c>
    </row>
    <row r="862" spans="1:16" s="10" customFormat="1">
      <c r="A862" s="7">
        <f>IF(B862="","",SUBTOTAL(103,$B$2:B862))</f>
        <v>861</v>
      </c>
      <c r="B862" s="8" t="s">
        <v>2353</v>
      </c>
      <c r="C862" s="7" t="s">
        <v>2358</v>
      </c>
      <c r="D862" s="9" t="s">
        <v>2438</v>
      </c>
      <c r="E862" s="7" t="s">
        <v>2436</v>
      </c>
      <c r="F862" s="7" t="s">
        <v>1015</v>
      </c>
      <c r="G862" s="7" t="s">
        <v>2439</v>
      </c>
      <c r="H862" s="7">
        <v>8.2000000000000003E-2</v>
      </c>
      <c r="I862" s="7">
        <v>44</v>
      </c>
      <c r="J862" s="7">
        <v>800</v>
      </c>
      <c r="K862" s="7">
        <v>600</v>
      </c>
      <c r="L862" s="7">
        <v>150</v>
      </c>
      <c r="M862" s="7">
        <v>30</v>
      </c>
      <c r="N862" s="7">
        <v>60</v>
      </c>
      <c r="O862" s="7">
        <v>45</v>
      </c>
      <c r="P862" s="7">
        <v>140</v>
      </c>
    </row>
    <row r="863" spans="1:16" s="10" customFormat="1">
      <c r="A863" s="7">
        <f>IF(B863="","",SUBTOTAL(103,$B$2:B863))</f>
        <v>862</v>
      </c>
      <c r="B863" s="8" t="s">
        <v>2353</v>
      </c>
      <c r="C863" s="7" t="s">
        <v>2361</v>
      </c>
      <c r="D863" s="9" t="s">
        <v>2440</v>
      </c>
      <c r="E863" s="7" t="s">
        <v>2436</v>
      </c>
      <c r="F863" s="7" t="s">
        <v>1732</v>
      </c>
      <c r="G863" s="7" t="s">
        <v>2441</v>
      </c>
      <c r="H863" s="7">
        <v>0.04</v>
      </c>
      <c r="I863" s="7">
        <v>80</v>
      </c>
      <c r="J863" s="7">
        <v>800</v>
      </c>
      <c r="K863" s="7">
        <v>600</v>
      </c>
      <c r="L863" s="7">
        <v>150</v>
      </c>
      <c r="M863" s="7">
        <v>30</v>
      </c>
      <c r="N863" s="7">
        <v>60</v>
      </c>
      <c r="O863" s="7">
        <v>25</v>
      </c>
      <c r="P863" s="7">
        <v>120</v>
      </c>
    </row>
    <row r="864" spans="1:16" s="10" customFormat="1">
      <c r="A864" s="7">
        <f>IF(B864="","",SUBTOTAL(103,$B$2:B864))</f>
        <v>863</v>
      </c>
      <c r="B864" s="8" t="s">
        <v>2353</v>
      </c>
      <c r="C864" s="7" t="s">
        <v>2367</v>
      </c>
      <c r="D864" s="9" t="s">
        <v>2442</v>
      </c>
      <c r="E864" s="7" t="s">
        <v>2436</v>
      </c>
      <c r="F864" s="7" t="s">
        <v>1026</v>
      </c>
      <c r="G864" s="7" t="s">
        <v>2443</v>
      </c>
      <c r="H864" s="7">
        <v>0.313</v>
      </c>
      <c r="I864" s="7">
        <v>14</v>
      </c>
      <c r="J864" s="7">
        <v>800</v>
      </c>
      <c r="K864" s="7">
        <v>600</v>
      </c>
      <c r="L864" s="7">
        <v>150</v>
      </c>
      <c r="M864" s="7">
        <v>30</v>
      </c>
      <c r="N864" s="7">
        <v>60</v>
      </c>
      <c r="O864" s="7">
        <v>140</v>
      </c>
      <c r="P864" s="7">
        <v>220</v>
      </c>
    </row>
    <row r="865" spans="1:16" s="10" customFormat="1">
      <c r="A865" s="7">
        <f>IF(B865="","",SUBTOTAL(103,$B$2:B865))</f>
        <v>864</v>
      </c>
      <c r="B865" s="8" t="s">
        <v>2353</v>
      </c>
      <c r="C865" s="7" t="s">
        <v>2400</v>
      </c>
      <c r="D865" s="9" t="s">
        <v>2444</v>
      </c>
      <c r="E865" s="7" t="s">
        <v>2436</v>
      </c>
      <c r="F865" s="7" t="s">
        <v>1033</v>
      </c>
      <c r="G865" s="7" t="s">
        <v>2445</v>
      </c>
      <c r="H865" s="7">
        <v>0.3</v>
      </c>
      <c r="I865" s="7">
        <v>14</v>
      </c>
      <c r="J865" s="7">
        <v>800</v>
      </c>
      <c r="K865" s="7">
        <v>600</v>
      </c>
      <c r="L865" s="7">
        <v>150</v>
      </c>
      <c r="M865" s="7">
        <v>30</v>
      </c>
      <c r="N865" s="7">
        <v>60</v>
      </c>
      <c r="O865" s="7">
        <v>140</v>
      </c>
      <c r="P865" s="7">
        <v>210</v>
      </c>
    </row>
    <row r="866" spans="1:16" s="10" customFormat="1">
      <c r="A866" s="7">
        <f>IF(B866="","",SUBTOTAL(103,$B$2:B866))</f>
        <v>865</v>
      </c>
      <c r="B866" s="8" t="s">
        <v>2353</v>
      </c>
      <c r="C866" s="7" t="s">
        <v>2370</v>
      </c>
      <c r="D866" s="9" t="s">
        <v>2446</v>
      </c>
      <c r="E866" s="7" t="s">
        <v>2436</v>
      </c>
      <c r="F866" s="7" t="s">
        <v>1037</v>
      </c>
      <c r="G866" s="7" t="s">
        <v>2447</v>
      </c>
      <c r="H866" s="7">
        <v>0.496</v>
      </c>
      <c r="I866" s="7">
        <v>12</v>
      </c>
      <c r="J866" s="7">
        <v>800</v>
      </c>
      <c r="K866" s="7">
        <v>600</v>
      </c>
      <c r="L866" s="7">
        <v>150</v>
      </c>
      <c r="M866" s="7">
        <v>30</v>
      </c>
      <c r="N866" s="7">
        <v>60</v>
      </c>
      <c r="O866" s="7">
        <v>150</v>
      </c>
      <c r="P866" s="7">
        <v>300</v>
      </c>
    </row>
    <row r="867" spans="1:16" s="10" customFormat="1">
      <c r="A867" s="7">
        <f>IF(B867="","",SUBTOTAL(103,$B$2:B867))</f>
        <v>866</v>
      </c>
      <c r="B867" s="8" t="s">
        <v>2353</v>
      </c>
      <c r="C867" s="7" t="s">
        <v>2373</v>
      </c>
      <c r="D867" s="9" t="s">
        <v>2448</v>
      </c>
      <c r="E867" s="7" t="s">
        <v>2436</v>
      </c>
      <c r="F867" s="7" t="s">
        <v>1757</v>
      </c>
      <c r="G867" s="7" t="s">
        <v>2449</v>
      </c>
      <c r="H867" s="7">
        <v>0.1</v>
      </c>
      <c r="I867" s="7">
        <v>44</v>
      </c>
      <c r="J867" s="7">
        <v>800</v>
      </c>
      <c r="K867" s="7">
        <v>600</v>
      </c>
      <c r="L867" s="7">
        <v>150</v>
      </c>
      <c r="M867" s="7">
        <v>30</v>
      </c>
      <c r="N867" s="7">
        <v>120</v>
      </c>
      <c r="O867" s="7">
        <v>45</v>
      </c>
      <c r="P867" s="7">
        <v>150</v>
      </c>
    </row>
    <row r="868" spans="1:16" s="10" customFormat="1">
      <c r="A868" s="7">
        <f>IF(B868="","",SUBTOTAL(103,$B$2:B868))</f>
        <v>867</v>
      </c>
      <c r="B868" s="8" t="s">
        <v>2353</v>
      </c>
      <c r="C868" s="7" t="s">
        <v>2376</v>
      </c>
      <c r="D868" s="9" t="s">
        <v>2450</v>
      </c>
      <c r="E868" s="7" t="s">
        <v>2436</v>
      </c>
      <c r="F868" s="7" t="s">
        <v>1763</v>
      </c>
      <c r="G868" s="7" t="s">
        <v>2451</v>
      </c>
      <c r="H868" s="7">
        <v>4.7E-2</v>
      </c>
      <c r="I868" s="7">
        <v>68</v>
      </c>
      <c r="J868" s="7">
        <v>800</v>
      </c>
      <c r="K868" s="7">
        <v>600</v>
      </c>
      <c r="L868" s="7">
        <v>150</v>
      </c>
      <c r="M868" s="7">
        <v>30</v>
      </c>
      <c r="N868" s="7">
        <v>60</v>
      </c>
      <c r="O868" s="7">
        <v>30</v>
      </c>
      <c r="P868" s="7">
        <v>130</v>
      </c>
    </row>
    <row r="869" spans="1:16" s="10" customFormat="1">
      <c r="A869" s="7">
        <f>IF(B869="","",SUBTOTAL(103,$B$2:B869))</f>
        <v>868</v>
      </c>
      <c r="B869" s="8" t="s">
        <v>2452</v>
      </c>
      <c r="C869" s="7" t="s">
        <v>2453</v>
      </c>
      <c r="D869" s="9" t="s">
        <v>2454</v>
      </c>
      <c r="E869" s="7" t="s">
        <v>2455</v>
      </c>
      <c r="F869" s="7" t="s">
        <v>1575</v>
      </c>
      <c r="G869" s="7" t="s">
        <v>2456</v>
      </c>
      <c r="H869" s="7">
        <v>0.05</v>
      </c>
      <c r="I869" s="7">
        <v>36</v>
      </c>
      <c r="J869" s="7"/>
      <c r="K869" s="7"/>
      <c r="L869" s="7"/>
      <c r="M869" s="7"/>
      <c r="N869" s="7">
        <v>120</v>
      </c>
      <c r="O869" s="7">
        <v>55</v>
      </c>
      <c r="P869" s="7">
        <v>350</v>
      </c>
    </row>
    <row r="870" spans="1:16" s="10" customFormat="1">
      <c r="A870" s="7">
        <f>IF(B870="","",SUBTOTAL(103,$B$2:B870))</f>
        <v>869</v>
      </c>
      <c r="B870" s="8" t="s">
        <v>2452</v>
      </c>
      <c r="C870" s="7" t="s">
        <v>1656</v>
      </c>
      <c r="D870" s="9" t="s">
        <v>2457</v>
      </c>
      <c r="E870" s="7" t="s">
        <v>2455</v>
      </c>
      <c r="F870" s="7" t="s">
        <v>1578</v>
      </c>
      <c r="G870" s="7" t="s">
        <v>2458</v>
      </c>
      <c r="H870" s="7">
        <v>0.13</v>
      </c>
      <c r="I870" s="7">
        <v>36</v>
      </c>
      <c r="J870" s="7">
        <v>800</v>
      </c>
      <c r="K870" s="7">
        <v>600</v>
      </c>
      <c r="L870" s="7">
        <v>150</v>
      </c>
      <c r="M870" s="7">
        <v>30</v>
      </c>
      <c r="N870" s="7">
        <v>60</v>
      </c>
      <c r="O870" s="7">
        <v>55</v>
      </c>
      <c r="P870" s="7">
        <v>160</v>
      </c>
    </row>
    <row r="871" spans="1:16" s="10" customFormat="1">
      <c r="A871" s="7">
        <f>IF(B871="","",SUBTOTAL(103,$B$2:B871))</f>
        <v>870</v>
      </c>
      <c r="B871" s="8" t="s">
        <v>2452</v>
      </c>
      <c r="C871" s="7" t="s">
        <v>2459</v>
      </c>
      <c r="D871" s="9" t="s">
        <v>2460</v>
      </c>
      <c r="E871" s="7" t="s">
        <v>2455</v>
      </c>
      <c r="F871" s="7" t="s">
        <v>1582</v>
      </c>
      <c r="G871" s="7" t="s">
        <v>2461</v>
      </c>
      <c r="H871" s="7">
        <v>7.6999999999999999E-2</v>
      </c>
      <c r="I871" s="7">
        <v>56</v>
      </c>
      <c r="J871" s="7"/>
      <c r="K871" s="7"/>
      <c r="L871" s="7"/>
      <c r="M871" s="7"/>
      <c r="N871" s="7">
        <v>60</v>
      </c>
      <c r="O871" s="7">
        <v>34</v>
      </c>
      <c r="P871" s="7">
        <v>170</v>
      </c>
    </row>
    <row r="872" spans="1:16" s="10" customFormat="1">
      <c r="A872" s="7">
        <f>IF(B872="","",SUBTOTAL(103,$B$2:B872))</f>
        <v>871</v>
      </c>
      <c r="B872" s="8" t="s">
        <v>2452</v>
      </c>
      <c r="C872" s="7" t="s">
        <v>1662</v>
      </c>
      <c r="D872" s="9" t="s">
        <v>2462</v>
      </c>
      <c r="E872" s="7" t="s">
        <v>2455</v>
      </c>
      <c r="F872" s="7" t="s">
        <v>1585</v>
      </c>
      <c r="G872" s="7" t="s">
        <v>2463</v>
      </c>
      <c r="H872" s="7">
        <v>0.24</v>
      </c>
      <c r="I872" s="7">
        <v>56</v>
      </c>
      <c r="J872" s="7">
        <v>800</v>
      </c>
      <c r="K872" s="7">
        <v>600</v>
      </c>
      <c r="L872" s="7">
        <v>150</v>
      </c>
      <c r="M872" s="7">
        <v>30</v>
      </c>
      <c r="N872" s="7">
        <v>60</v>
      </c>
      <c r="O872" s="7">
        <v>34</v>
      </c>
      <c r="P872" s="7">
        <v>140</v>
      </c>
    </row>
    <row r="873" spans="1:16" s="10" customFormat="1">
      <c r="A873" s="7">
        <f>IF(B873="","",SUBTOTAL(103,$B$2:B873))</f>
        <v>872</v>
      </c>
      <c r="B873" s="8" t="s">
        <v>2452</v>
      </c>
      <c r="C873" s="7" t="s">
        <v>2464</v>
      </c>
      <c r="D873" s="9" t="s">
        <v>2465</v>
      </c>
      <c r="E873" s="7" t="s">
        <v>2455</v>
      </c>
      <c r="F873" s="7" t="s">
        <v>1589</v>
      </c>
      <c r="G873" s="7" t="s">
        <v>2466</v>
      </c>
      <c r="H873" s="7">
        <v>3.5999999999999997E-2</v>
      </c>
      <c r="I873" s="7">
        <v>68</v>
      </c>
      <c r="J873" s="7"/>
      <c r="K873" s="7"/>
      <c r="L873" s="7"/>
      <c r="M873" s="7"/>
      <c r="N873" s="7">
        <v>60</v>
      </c>
      <c r="O873" s="7">
        <v>30</v>
      </c>
      <c r="P873" s="7">
        <v>130</v>
      </c>
    </row>
    <row r="874" spans="1:16" s="10" customFormat="1">
      <c r="A874" s="7">
        <f>IF(B874="","",SUBTOTAL(103,$B$2:B874))</f>
        <v>873</v>
      </c>
      <c r="B874" s="8" t="s">
        <v>2452</v>
      </c>
      <c r="C874" s="7" t="s">
        <v>1667</v>
      </c>
      <c r="D874" s="9" t="s">
        <v>2467</v>
      </c>
      <c r="E874" s="7" t="s">
        <v>2455</v>
      </c>
      <c r="F874" s="7" t="s">
        <v>1592</v>
      </c>
      <c r="G874" s="7" t="s">
        <v>2468</v>
      </c>
      <c r="H874" s="7">
        <v>3.5999999999999997E-2</v>
      </c>
      <c r="I874" s="7">
        <v>68</v>
      </c>
      <c r="J874" s="7">
        <v>800</v>
      </c>
      <c r="K874" s="7">
        <v>600</v>
      </c>
      <c r="L874" s="7">
        <v>150</v>
      </c>
      <c r="M874" s="7">
        <v>30</v>
      </c>
      <c r="N874" s="7">
        <v>60</v>
      </c>
      <c r="O874" s="7">
        <v>30</v>
      </c>
      <c r="P874" s="7">
        <v>120</v>
      </c>
    </row>
    <row r="875" spans="1:16" s="10" customFormat="1">
      <c r="A875" s="7">
        <f>IF(B875="","",SUBTOTAL(103,$B$2:B875))</f>
        <v>874</v>
      </c>
      <c r="B875" s="8" t="s">
        <v>2452</v>
      </c>
      <c r="C875" s="7" t="s">
        <v>2469</v>
      </c>
      <c r="D875" s="9" t="s">
        <v>2470</v>
      </c>
      <c r="E875" s="7" t="s">
        <v>2455</v>
      </c>
      <c r="F875" s="7" t="s">
        <v>1603</v>
      </c>
      <c r="G875" s="7" t="s">
        <v>2471</v>
      </c>
      <c r="H875" s="7">
        <v>0.08</v>
      </c>
      <c r="I875" s="7">
        <v>24</v>
      </c>
      <c r="J875" s="7"/>
      <c r="K875" s="7"/>
      <c r="L875" s="7"/>
      <c r="M875" s="7"/>
      <c r="N875" s="7">
        <v>120</v>
      </c>
      <c r="O875" s="7">
        <v>85</v>
      </c>
      <c r="P875" s="7">
        <v>700</v>
      </c>
    </row>
    <row r="876" spans="1:16" s="10" customFormat="1">
      <c r="A876" s="7">
        <f>IF(B876="","",SUBTOTAL(103,$B$2:B876))</f>
        <v>875</v>
      </c>
      <c r="B876" s="8" t="s">
        <v>2452</v>
      </c>
      <c r="C876" s="7" t="s">
        <v>1677</v>
      </c>
      <c r="D876" s="9" t="s">
        <v>2472</v>
      </c>
      <c r="E876" s="7" t="s">
        <v>2455</v>
      </c>
      <c r="F876" s="7" t="s">
        <v>1606</v>
      </c>
      <c r="G876" s="7" t="s">
        <v>2473</v>
      </c>
      <c r="H876" s="7">
        <v>0.29499999999999998</v>
      </c>
      <c r="I876" s="7">
        <v>24</v>
      </c>
      <c r="J876" s="7">
        <v>800</v>
      </c>
      <c r="K876" s="7">
        <v>600</v>
      </c>
      <c r="L876" s="7">
        <v>150</v>
      </c>
      <c r="M876" s="7">
        <v>30</v>
      </c>
      <c r="N876" s="7">
        <v>60</v>
      </c>
      <c r="O876" s="7">
        <v>75</v>
      </c>
      <c r="P876" s="7">
        <v>220</v>
      </c>
    </row>
    <row r="877" spans="1:16" s="10" customFormat="1">
      <c r="A877" s="7">
        <f>IF(B877="","",SUBTOTAL(103,$B$2:B877))</f>
        <v>876</v>
      </c>
      <c r="B877" s="8" t="s">
        <v>2452</v>
      </c>
      <c r="C877" s="7" t="s">
        <v>2474</v>
      </c>
      <c r="D877" s="9" t="s">
        <v>2475</v>
      </c>
      <c r="E877" s="7" t="s">
        <v>2455</v>
      </c>
      <c r="F877" s="7" t="s">
        <v>1610</v>
      </c>
      <c r="G877" s="7" t="s">
        <v>2476</v>
      </c>
      <c r="H877" s="7">
        <v>0.24</v>
      </c>
      <c r="I877" s="7">
        <v>24</v>
      </c>
      <c r="J877" s="7"/>
      <c r="K877" s="7"/>
      <c r="L877" s="7"/>
      <c r="M877" s="7"/>
      <c r="N877" s="7">
        <v>60</v>
      </c>
      <c r="O877" s="7">
        <v>75</v>
      </c>
      <c r="P877" s="7">
        <v>250</v>
      </c>
    </row>
    <row r="878" spans="1:16" s="10" customFormat="1">
      <c r="A878" s="7">
        <f>IF(B878="","",SUBTOTAL(103,$B$2:B878))</f>
        <v>877</v>
      </c>
      <c r="B878" s="8" t="s">
        <v>2452</v>
      </c>
      <c r="C878" s="7" t="s">
        <v>1682</v>
      </c>
      <c r="D878" s="9" t="s">
        <v>2477</v>
      </c>
      <c r="E878" s="7" t="s">
        <v>2455</v>
      </c>
      <c r="F878" s="7" t="s">
        <v>1613</v>
      </c>
      <c r="G878" s="7" t="s">
        <v>2478</v>
      </c>
      <c r="H878" s="7">
        <v>0.05</v>
      </c>
      <c r="I878" s="7">
        <v>24</v>
      </c>
      <c r="J878" s="7">
        <v>800</v>
      </c>
      <c r="K878" s="7">
        <v>600</v>
      </c>
      <c r="L878" s="7">
        <v>150</v>
      </c>
      <c r="M878" s="7">
        <v>30</v>
      </c>
      <c r="N878" s="7">
        <v>60</v>
      </c>
      <c r="O878" s="7">
        <v>75</v>
      </c>
      <c r="P878" s="7">
        <v>210</v>
      </c>
    </row>
    <row r="879" spans="1:16" s="10" customFormat="1">
      <c r="A879" s="7">
        <f>IF(B879="","",SUBTOTAL(103,$B$2:B879))</f>
        <v>878</v>
      </c>
      <c r="B879" s="8" t="s">
        <v>2452</v>
      </c>
      <c r="C879" s="7" t="s">
        <v>2479</v>
      </c>
      <c r="D879" s="9" t="s">
        <v>2480</v>
      </c>
      <c r="E879" s="7" t="s">
        <v>2455</v>
      </c>
      <c r="F879" s="7" t="s">
        <v>1617</v>
      </c>
      <c r="G879" s="7" t="s">
        <v>2481</v>
      </c>
      <c r="H879" s="7">
        <v>0.39200000000000002</v>
      </c>
      <c r="I879" s="7">
        <v>12</v>
      </c>
      <c r="J879" s="7"/>
      <c r="K879" s="7"/>
      <c r="L879" s="7"/>
      <c r="M879" s="7"/>
      <c r="N879" s="7">
        <v>60</v>
      </c>
      <c r="O879" s="7">
        <v>150</v>
      </c>
      <c r="P879" s="7">
        <v>310</v>
      </c>
    </row>
    <row r="880" spans="1:16" s="10" customFormat="1">
      <c r="A880" s="7">
        <f>IF(B880="","",SUBTOTAL(103,$B$2:B880))</f>
        <v>879</v>
      </c>
      <c r="B880" s="8" t="s">
        <v>2452</v>
      </c>
      <c r="C880" s="7" t="s">
        <v>1687</v>
      </c>
      <c r="D880" s="9" t="s">
        <v>2482</v>
      </c>
      <c r="E880" s="7" t="s">
        <v>2455</v>
      </c>
      <c r="F880" s="7" t="s">
        <v>1620</v>
      </c>
      <c r="G880" s="7" t="s">
        <v>2483</v>
      </c>
      <c r="H880" s="7">
        <v>3.9E-2</v>
      </c>
      <c r="I880" s="7">
        <v>12</v>
      </c>
      <c r="J880" s="7">
        <v>800</v>
      </c>
      <c r="K880" s="7">
        <v>600</v>
      </c>
      <c r="L880" s="7">
        <v>150</v>
      </c>
      <c r="M880" s="7">
        <v>30</v>
      </c>
      <c r="N880" s="7">
        <v>60</v>
      </c>
      <c r="O880" s="7">
        <v>150</v>
      </c>
      <c r="P880" s="7">
        <v>300</v>
      </c>
    </row>
    <row r="881" spans="1:16" s="10" customFormat="1">
      <c r="A881" s="7">
        <f>IF(B881="","",SUBTOTAL(103,$B$2:B881))</f>
        <v>880</v>
      </c>
      <c r="B881" s="8" t="s">
        <v>2452</v>
      </c>
      <c r="C881" s="7" t="s">
        <v>2484</v>
      </c>
      <c r="D881" s="9" t="s">
        <v>2485</v>
      </c>
      <c r="E881" s="7" t="s">
        <v>2455</v>
      </c>
      <c r="F881" s="7" t="s">
        <v>1636</v>
      </c>
      <c r="G881" s="7" t="s">
        <v>2486</v>
      </c>
      <c r="H881" s="7">
        <v>0.3</v>
      </c>
      <c r="I881" s="7">
        <v>40</v>
      </c>
      <c r="J881" s="7"/>
      <c r="K881" s="7"/>
      <c r="L881" s="7"/>
      <c r="M881" s="7"/>
      <c r="N881" s="7">
        <v>60</v>
      </c>
      <c r="O881" s="7">
        <v>45</v>
      </c>
      <c r="P881" s="7">
        <v>190</v>
      </c>
    </row>
    <row r="882" spans="1:16" s="10" customFormat="1">
      <c r="A882" s="7">
        <f>IF(B882="","",SUBTOTAL(103,$B$2:B882))</f>
        <v>881</v>
      </c>
      <c r="B882" s="8" t="s">
        <v>2452</v>
      </c>
      <c r="C882" s="7" t="s">
        <v>1702</v>
      </c>
      <c r="D882" s="9" t="s">
        <v>2487</v>
      </c>
      <c r="E882" s="7" t="s">
        <v>2455</v>
      </c>
      <c r="F882" s="7" t="s">
        <v>1639</v>
      </c>
      <c r="G882" s="7" t="s">
        <v>2488</v>
      </c>
      <c r="H882" s="7">
        <v>0.104</v>
      </c>
      <c r="I882" s="7">
        <v>40</v>
      </c>
      <c r="J882" s="7">
        <v>800</v>
      </c>
      <c r="K882" s="7">
        <v>600</v>
      </c>
      <c r="L882" s="7">
        <v>150</v>
      </c>
      <c r="M882" s="7">
        <v>30</v>
      </c>
      <c r="N882" s="7">
        <v>60</v>
      </c>
      <c r="O882" s="7">
        <v>45</v>
      </c>
      <c r="P882" s="7">
        <v>150</v>
      </c>
    </row>
    <row r="883" spans="1:16" s="10" customFormat="1">
      <c r="A883" s="7">
        <f>IF(B883="","",SUBTOTAL(103,$B$2:B883))</f>
        <v>882</v>
      </c>
      <c r="B883" s="8" t="s">
        <v>2452</v>
      </c>
      <c r="C883" s="7" t="s">
        <v>2489</v>
      </c>
      <c r="D883" s="9" t="s">
        <v>2490</v>
      </c>
      <c r="E883" s="7" t="s">
        <v>2455</v>
      </c>
      <c r="F883" s="7" t="s">
        <v>1643</v>
      </c>
      <c r="G883" s="7" t="s">
        <v>2491</v>
      </c>
      <c r="H883" s="7">
        <v>0.13</v>
      </c>
      <c r="I883" s="7">
        <v>68</v>
      </c>
      <c r="J883" s="7"/>
      <c r="K883" s="7"/>
      <c r="L883" s="7"/>
      <c r="M883" s="7"/>
      <c r="N883" s="7">
        <v>60</v>
      </c>
      <c r="O883" s="7">
        <v>30</v>
      </c>
      <c r="P883" s="7">
        <v>150</v>
      </c>
    </row>
    <row r="884" spans="1:16" s="10" customFormat="1">
      <c r="A884" s="7">
        <f>IF(B884="","",SUBTOTAL(103,$B$2:B884))</f>
        <v>883</v>
      </c>
      <c r="B884" s="8" t="s">
        <v>2452</v>
      </c>
      <c r="C884" s="7" t="s">
        <v>1707</v>
      </c>
      <c r="D884" s="9" t="s">
        <v>2492</v>
      </c>
      <c r="E884" s="7" t="s">
        <v>2455</v>
      </c>
      <c r="F884" s="7" t="s">
        <v>1646</v>
      </c>
      <c r="G884" s="7" t="s">
        <v>2493</v>
      </c>
      <c r="H884" s="7">
        <v>0.13</v>
      </c>
      <c r="I884" s="7">
        <v>68</v>
      </c>
      <c r="J884" s="7">
        <v>800</v>
      </c>
      <c r="K884" s="7">
        <v>600</v>
      </c>
      <c r="L884" s="7">
        <v>150</v>
      </c>
      <c r="M884" s="7">
        <v>30</v>
      </c>
      <c r="N884" s="7">
        <v>60</v>
      </c>
      <c r="O884" s="7">
        <v>30</v>
      </c>
      <c r="P884" s="7">
        <v>130</v>
      </c>
    </row>
    <row r="885" spans="1:16" s="10" customFormat="1">
      <c r="A885" s="7">
        <f>IF(B885="","",SUBTOTAL(103,$B$2:B885))</f>
        <v>884</v>
      </c>
      <c r="B885" s="8" t="s">
        <v>2494</v>
      </c>
      <c r="C885" s="7" t="s">
        <v>2320</v>
      </c>
      <c r="D885" s="9" t="s">
        <v>2495</v>
      </c>
      <c r="E885" s="7" t="s">
        <v>2496</v>
      </c>
      <c r="F885" s="7" t="s">
        <v>1008</v>
      </c>
      <c r="G885" s="7" t="s">
        <v>2497</v>
      </c>
      <c r="H885" s="7">
        <v>0.161</v>
      </c>
      <c r="I885" s="7">
        <v>36</v>
      </c>
      <c r="J885" s="7">
        <v>800</v>
      </c>
      <c r="K885" s="7">
        <v>600</v>
      </c>
      <c r="L885" s="7">
        <v>150</v>
      </c>
      <c r="M885" s="7">
        <v>30</v>
      </c>
      <c r="N885" s="7">
        <v>120</v>
      </c>
      <c r="O885" s="7">
        <v>55</v>
      </c>
      <c r="P885" s="7">
        <v>130</v>
      </c>
    </row>
    <row r="886" spans="1:16" s="10" customFormat="1">
      <c r="A886" s="7">
        <f>IF(B886="","",SUBTOTAL(103,$B$2:B886))</f>
        <v>885</v>
      </c>
      <c r="B886" s="8" t="s">
        <v>2494</v>
      </c>
      <c r="C886" s="7" t="s">
        <v>2320</v>
      </c>
      <c r="D886" s="9" t="s">
        <v>2498</v>
      </c>
      <c r="E886" s="7" t="s">
        <v>2496</v>
      </c>
      <c r="F886" s="7" t="s">
        <v>1011</v>
      </c>
      <c r="G886" s="7" t="s">
        <v>2499</v>
      </c>
      <c r="H886" s="7">
        <v>0.161</v>
      </c>
      <c r="I886" s="7">
        <v>36</v>
      </c>
      <c r="J886" s="7">
        <v>800</v>
      </c>
      <c r="K886" s="7">
        <v>600</v>
      </c>
      <c r="L886" s="7">
        <v>150</v>
      </c>
      <c r="M886" s="7">
        <v>30</v>
      </c>
      <c r="N886" s="7">
        <v>120</v>
      </c>
      <c r="O886" s="7">
        <v>55</v>
      </c>
      <c r="P886" s="7">
        <v>130</v>
      </c>
    </row>
    <row r="887" spans="1:16" s="10" customFormat="1">
      <c r="A887" s="7">
        <f>IF(B887="","",SUBTOTAL(103,$B$2:B887))</f>
        <v>886</v>
      </c>
      <c r="B887" s="8" t="s">
        <v>2494</v>
      </c>
      <c r="C887" s="7" t="s">
        <v>2326</v>
      </c>
      <c r="D887" s="9" t="s">
        <v>2500</v>
      </c>
      <c r="E887" s="7" t="s">
        <v>2496</v>
      </c>
      <c r="F887" s="7" t="s">
        <v>1015</v>
      </c>
      <c r="G887" s="7" t="s">
        <v>2501</v>
      </c>
      <c r="H887" s="7">
        <v>8.8999999999999996E-2</v>
      </c>
      <c r="I887" s="7">
        <v>44</v>
      </c>
      <c r="J887" s="7">
        <v>800</v>
      </c>
      <c r="K887" s="7">
        <v>600</v>
      </c>
      <c r="L887" s="7">
        <v>150</v>
      </c>
      <c r="M887" s="7">
        <v>30</v>
      </c>
      <c r="N887" s="7">
        <v>120</v>
      </c>
      <c r="O887" s="7">
        <v>45</v>
      </c>
      <c r="P887" s="7">
        <v>120</v>
      </c>
    </row>
    <row r="888" spans="1:16" s="10" customFormat="1">
      <c r="A888" s="7">
        <f>IF(B888="","",SUBTOTAL(103,$B$2:B888))</f>
        <v>887</v>
      </c>
      <c r="B888" s="8" t="s">
        <v>2494</v>
      </c>
      <c r="C888" s="7" t="s">
        <v>2326</v>
      </c>
      <c r="D888" s="9" t="s">
        <v>2502</v>
      </c>
      <c r="E888" s="7" t="s">
        <v>2496</v>
      </c>
      <c r="F888" s="7" t="s">
        <v>1018</v>
      </c>
      <c r="G888" s="7" t="s">
        <v>2503</v>
      </c>
      <c r="H888" s="7">
        <v>8.8999999999999996E-2</v>
      </c>
      <c r="I888" s="7">
        <v>44</v>
      </c>
      <c r="J888" s="7">
        <v>800</v>
      </c>
      <c r="K888" s="7">
        <v>600</v>
      </c>
      <c r="L888" s="7">
        <v>150</v>
      </c>
      <c r="M888" s="7">
        <v>30</v>
      </c>
      <c r="N888" s="7">
        <v>120</v>
      </c>
      <c r="O888" s="7">
        <v>45</v>
      </c>
      <c r="P888" s="7">
        <v>120</v>
      </c>
    </row>
    <row r="889" spans="1:16" s="10" customFormat="1">
      <c r="A889" s="7">
        <f>IF(B889="","",SUBTOTAL(103,$B$2:B889))</f>
        <v>888</v>
      </c>
      <c r="B889" s="8" t="s">
        <v>2494</v>
      </c>
      <c r="C889" s="7" t="s">
        <v>2331</v>
      </c>
      <c r="D889" s="9" t="s">
        <v>2504</v>
      </c>
      <c r="E889" s="7" t="s">
        <v>2496</v>
      </c>
      <c r="F889" s="7" t="s">
        <v>1732</v>
      </c>
      <c r="G889" s="7" t="s">
        <v>2505</v>
      </c>
      <c r="H889" s="7">
        <v>0.04</v>
      </c>
      <c r="I889" s="7">
        <v>92</v>
      </c>
      <c r="J889" s="7">
        <v>800</v>
      </c>
      <c r="K889" s="7">
        <v>600</v>
      </c>
      <c r="L889" s="7">
        <v>150</v>
      </c>
      <c r="M889" s="7">
        <v>30</v>
      </c>
      <c r="N889" s="7">
        <v>120</v>
      </c>
      <c r="O889" s="7">
        <v>27</v>
      </c>
      <c r="P889" s="7">
        <v>100</v>
      </c>
    </row>
    <row r="890" spans="1:16" s="10" customFormat="1">
      <c r="A890" s="7">
        <f>IF(B890="","",SUBTOTAL(103,$B$2:B890))</f>
        <v>889</v>
      </c>
      <c r="B890" s="8" t="s">
        <v>2494</v>
      </c>
      <c r="C890" s="7" t="s">
        <v>2331</v>
      </c>
      <c r="D890" s="9" t="s">
        <v>2506</v>
      </c>
      <c r="E890" s="7" t="s">
        <v>2496</v>
      </c>
      <c r="F890" s="7" t="s">
        <v>1022</v>
      </c>
      <c r="G890" s="7" t="s">
        <v>2507</v>
      </c>
      <c r="H890" s="7">
        <v>0.04</v>
      </c>
      <c r="I890" s="7">
        <v>92</v>
      </c>
      <c r="J890" s="7">
        <v>800</v>
      </c>
      <c r="K890" s="7">
        <v>600</v>
      </c>
      <c r="L890" s="7">
        <v>150</v>
      </c>
      <c r="M890" s="7">
        <v>30</v>
      </c>
      <c r="N890" s="7">
        <v>120</v>
      </c>
      <c r="O890" s="7">
        <v>27</v>
      </c>
      <c r="P890" s="7">
        <v>100</v>
      </c>
    </row>
    <row r="891" spans="1:16" s="10" customFormat="1">
      <c r="A891" s="7">
        <f>IF(B891="","",SUBTOTAL(103,$B$2:B891))</f>
        <v>890</v>
      </c>
      <c r="B891" s="8" t="s">
        <v>2494</v>
      </c>
      <c r="C891" s="7" t="s">
        <v>2508</v>
      </c>
      <c r="D891" s="9" t="s">
        <v>2509</v>
      </c>
      <c r="E891" s="7" t="s">
        <v>2496</v>
      </c>
      <c r="F891" s="7" t="s">
        <v>1923</v>
      </c>
      <c r="G891" s="7" t="s">
        <v>2510</v>
      </c>
      <c r="H891" s="7">
        <v>2.5000000000000001E-2</v>
      </c>
      <c r="I891" s="7">
        <v>92</v>
      </c>
      <c r="J891" s="7">
        <v>800</v>
      </c>
      <c r="K891" s="7">
        <v>600</v>
      </c>
      <c r="L891" s="7">
        <v>150</v>
      </c>
      <c r="M891" s="7">
        <v>30</v>
      </c>
      <c r="N891" s="7">
        <v>120</v>
      </c>
      <c r="O891" s="7">
        <v>27</v>
      </c>
      <c r="P891" s="7">
        <v>100</v>
      </c>
    </row>
    <row r="892" spans="1:16" s="10" customFormat="1">
      <c r="A892" s="7">
        <f>IF(B892="","",SUBTOTAL(103,$B$2:B892))</f>
        <v>891</v>
      </c>
      <c r="B892" s="8" t="s">
        <v>2494</v>
      </c>
      <c r="C892" s="7" t="s">
        <v>2508</v>
      </c>
      <c r="D892" s="9" t="s">
        <v>2511</v>
      </c>
      <c r="E892" s="7" t="s">
        <v>2496</v>
      </c>
      <c r="F892" s="7" t="s">
        <v>1738</v>
      </c>
      <c r="G892" s="7" t="s">
        <v>2512</v>
      </c>
      <c r="H892" s="7">
        <v>2.5000000000000001E-2</v>
      </c>
      <c r="I892" s="7">
        <v>92</v>
      </c>
      <c r="J892" s="7">
        <v>800</v>
      </c>
      <c r="K892" s="7">
        <v>600</v>
      </c>
      <c r="L892" s="7">
        <v>150</v>
      </c>
      <c r="M892" s="7">
        <v>30</v>
      </c>
      <c r="N892" s="7">
        <v>120</v>
      </c>
      <c r="O892" s="7">
        <v>27</v>
      </c>
      <c r="P892" s="7">
        <v>100</v>
      </c>
    </row>
    <row r="893" spans="1:16" s="10" customFormat="1">
      <c r="A893" s="7">
        <f>IF(B893="","",SUBTOTAL(103,$B$2:B893))</f>
        <v>892</v>
      </c>
      <c r="B893" s="8" t="s">
        <v>2494</v>
      </c>
      <c r="C893" s="7" t="s">
        <v>2508</v>
      </c>
      <c r="D893" s="9" t="s">
        <v>2513</v>
      </c>
      <c r="E893" s="7" t="s">
        <v>2514</v>
      </c>
      <c r="F893" s="7" t="s">
        <v>1738</v>
      </c>
      <c r="G893" s="7" t="s">
        <v>2515</v>
      </c>
      <c r="H893" s="7">
        <v>2.5000000000000001E-2</v>
      </c>
      <c r="I893" s="7">
        <v>92</v>
      </c>
      <c r="J893" s="7">
        <v>800</v>
      </c>
      <c r="K893" s="7">
        <v>600</v>
      </c>
      <c r="L893" s="7">
        <v>150</v>
      </c>
      <c r="M893" s="7">
        <v>30</v>
      </c>
      <c r="N893" s="7">
        <v>120</v>
      </c>
      <c r="O893" s="7">
        <v>27</v>
      </c>
      <c r="P893" s="7">
        <v>100</v>
      </c>
    </row>
    <row r="894" spans="1:16" s="10" customFormat="1">
      <c r="A894" s="7">
        <f>IF(B894="","",SUBTOTAL(103,$B$2:B894))</f>
        <v>893</v>
      </c>
      <c r="B894" s="8" t="s">
        <v>2494</v>
      </c>
      <c r="C894" s="7" t="s">
        <v>2334</v>
      </c>
      <c r="D894" s="9" t="s">
        <v>2516</v>
      </c>
      <c r="E894" s="7" t="s">
        <v>2496</v>
      </c>
      <c r="F894" s="7" t="s">
        <v>1026</v>
      </c>
      <c r="G894" s="7" t="s">
        <v>2517</v>
      </c>
      <c r="H894" s="7">
        <v>0.32800000000000001</v>
      </c>
      <c r="I894" s="7">
        <v>8</v>
      </c>
      <c r="J894" s="7">
        <v>800</v>
      </c>
      <c r="K894" s="7">
        <v>600</v>
      </c>
      <c r="L894" s="7">
        <v>150</v>
      </c>
      <c r="M894" s="7">
        <v>30</v>
      </c>
      <c r="N894" s="7">
        <v>120</v>
      </c>
      <c r="O894" s="7">
        <v>225</v>
      </c>
      <c r="P894" s="7">
        <v>250</v>
      </c>
    </row>
    <row r="895" spans="1:16" s="10" customFormat="1">
      <c r="A895" s="7">
        <f>IF(B895="","",SUBTOTAL(103,$B$2:B895))</f>
        <v>894</v>
      </c>
      <c r="B895" s="8" t="s">
        <v>2494</v>
      </c>
      <c r="C895" s="7" t="s">
        <v>2334</v>
      </c>
      <c r="D895" s="9" t="s">
        <v>2518</v>
      </c>
      <c r="E895" s="7" t="s">
        <v>2496</v>
      </c>
      <c r="F895" s="7" t="s">
        <v>1029</v>
      </c>
      <c r="G895" s="7" t="s">
        <v>2519</v>
      </c>
      <c r="H895" s="7">
        <v>0.32800000000000001</v>
      </c>
      <c r="I895" s="7">
        <v>8</v>
      </c>
      <c r="J895" s="7">
        <v>800</v>
      </c>
      <c r="K895" s="7">
        <v>600</v>
      </c>
      <c r="L895" s="7">
        <v>150</v>
      </c>
      <c r="M895" s="7">
        <v>30</v>
      </c>
      <c r="N895" s="7">
        <v>120</v>
      </c>
      <c r="O895" s="7">
        <v>225</v>
      </c>
      <c r="P895" s="7">
        <v>250</v>
      </c>
    </row>
    <row r="896" spans="1:16" s="10" customFormat="1">
      <c r="A896" s="7">
        <f>IF(B896="","",SUBTOTAL(103,$B$2:B896))</f>
        <v>895</v>
      </c>
      <c r="B896" s="8" t="s">
        <v>2494</v>
      </c>
      <c r="C896" s="7" t="s">
        <v>2334</v>
      </c>
      <c r="D896" s="9" t="s">
        <v>2520</v>
      </c>
      <c r="E896" s="7" t="s">
        <v>2514</v>
      </c>
      <c r="F896" s="7" t="s">
        <v>1029</v>
      </c>
      <c r="G896" s="7" t="s">
        <v>2521</v>
      </c>
      <c r="H896" s="7">
        <v>0.32800000000000001</v>
      </c>
      <c r="I896" s="7">
        <v>8</v>
      </c>
      <c r="J896" s="7">
        <v>800</v>
      </c>
      <c r="K896" s="7">
        <v>600</v>
      </c>
      <c r="L896" s="7">
        <v>150</v>
      </c>
      <c r="M896" s="7">
        <v>30</v>
      </c>
      <c r="N896" s="7">
        <v>120</v>
      </c>
      <c r="O896" s="7">
        <v>225</v>
      </c>
      <c r="P896" s="7">
        <v>250</v>
      </c>
    </row>
    <row r="897" spans="1:16" s="10" customFormat="1">
      <c r="A897" s="7">
        <f>IF(B897="","",SUBTOTAL(103,$B$2:B897))</f>
        <v>896</v>
      </c>
      <c r="B897" s="8" t="s">
        <v>2494</v>
      </c>
      <c r="C897" s="7" t="s">
        <v>2337</v>
      </c>
      <c r="D897" s="9" t="s">
        <v>2522</v>
      </c>
      <c r="E897" s="7" t="s">
        <v>2496</v>
      </c>
      <c r="F897" s="7" t="s">
        <v>1033</v>
      </c>
      <c r="G897" s="7" t="s">
        <v>2523</v>
      </c>
      <c r="H897" s="7">
        <v>0.23400000000000001</v>
      </c>
      <c r="I897" s="7">
        <v>22</v>
      </c>
      <c r="J897" s="7">
        <v>800</v>
      </c>
      <c r="K897" s="7">
        <v>600</v>
      </c>
      <c r="L897" s="7">
        <v>150</v>
      </c>
      <c r="M897" s="7">
        <v>30</v>
      </c>
      <c r="N897" s="7">
        <v>120</v>
      </c>
      <c r="O897" s="7">
        <v>90</v>
      </c>
      <c r="P897" s="7">
        <v>155</v>
      </c>
    </row>
    <row r="898" spans="1:16" s="10" customFormat="1">
      <c r="A898" s="7">
        <f>IF(B898="","",SUBTOTAL(103,$B$2:B898))</f>
        <v>897</v>
      </c>
      <c r="B898" s="8" t="s">
        <v>2494</v>
      </c>
      <c r="C898" s="7" t="s">
        <v>2337</v>
      </c>
      <c r="D898" s="9" t="s">
        <v>2524</v>
      </c>
      <c r="E898" s="7" t="s">
        <v>2514</v>
      </c>
      <c r="F898" s="7" t="s">
        <v>1033</v>
      </c>
      <c r="G898" s="7" t="s">
        <v>2525</v>
      </c>
      <c r="H898" s="7">
        <v>0.23400000000000001</v>
      </c>
      <c r="I898" s="7">
        <v>22</v>
      </c>
      <c r="J898" s="7">
        <v>800</v>
      </c>
      <c r="K898" s="7">
        <v>600</v>
      </c>
      <c r="L898" s="7">
        <v>150</v>
      </c>
      <c r="M898" s="7">
        <v>30</v>
      </c>
      <c r="N898" s="7">
        <v>120</v>
      </c>
      <c r="O898" s="7">
        <v>90</v>
      </c>
      <c r="P898" s="7">
        <v>155</v>
      </c>
    </row>
    <row r="899" spans="1:16" s="10" customFormat="1">
      <c r="A899" s="7">
        <f>IF(B899="","",SUBTOTAL(103,$B$2:B899))</f>
        <v>898</v>
      </c>
      <c r="B899" s="8" t="s">
        <v>2494</v>
      </c>
      <c r="C899" s="7" t="s">
        <v>2337</v>
      </c>
      <c r="D899" s="9" t="s">
        <v>2526</v>
      </c>
      <c r="E899" s="7" t="s">
        <v>2496</v>
      </c>
      <c r="F899" s="7" t="s">
        <v>1337</v>
      </c>
      <c r="G899" s="7" t="s">
        <v>2527</v>
      </c>
      <c r="H899" s="7">
        <v>0.23400000000000001</v>
      </c>
      <c r="I899" s="7">
        <v>22</v>
      </c>
      <c r="J899" s="7">
        <v>800</v>
      </c>
      <c r="K899" s="7">
        <v>600</v>
      </c>
      <c r="L899" s="7">
        <v>150</v>
      </c>
      <c r="M899" s="7">
        <v>30</v>
      </c>
      <c r="N899" s="7">
        <v>120</v>
      </c>
      <c r="O899" s="7">
        <v>90</v>
      </c>
      <c r="P899" s="7">
        <v>155</v>
      </c>
    </row>
    <row r="900" spans="1:16" s="10" customFormat="1">
      <c r="A900" s="7">
        <f>IF(B900="","",SUBTOTAL(103,$B$2:B900))</f>
        <v>899</v>
      </c>
      <c r="B900" s="8" t="s">
        <v>2494</v>
      </c>
      <c r="C900" s="7" t="s">
        <v>2340</v>
      </c>
      <c r="D900" s="9" t="s">
        <v>2528</v>
      </c>
      <c r="E900" s="7" t="s">
        <v>2496</v>
      </c>
      <c r="F900" s="7" t="s">
        <v>1037</v>
      </c>
      <c r="G900" s="7" t="s">
        <v>2529</v>
      </c>
      <c r="H900" s="7">
        <v>0.49099999999999999</v>
      </c>
      <c r="I900" s="7">
        <v>8</v>
      </c>
      <c r="J900" s="7">
        <v>800</v>
      </c>
      <c r="K900" s="7">
        <v>600</v>
      </c>
      <c r="L900" s="7">
        <v>150</v>
      </c>
      <c r="M900" s="7">
        <v>30</v>
      </c>
      <c r="N900" s="7">
        <v>120</v>
      </c>
      <c r="O900" s="7">
        <v>225</v>
      </c>
      <c r="P900" s="7">
        <v>250</v>
      </c>
    </row>
    <row r="901" spans="1:16" s="10" customFormat="1">
      <c r="A901" s="7">
        <f>IF(B901="","",SUBTOTAL(103,$B$2:B901))</f>
        <v>900</v>
      </c>
      <c r="B901" s="8" t="s">
        <v>2494</v>
      </c>
      <c r="C901" s="7" t="s">
        <v>2340</v>
      </c>
      <c r="D901" s="9" t="s">
        <v>2530</v>
      </c>
      <c r="E901" s="7" t="s">
        <v>2496</v>
      </c>
      <c r="F901" s="7" t="s">
        <v>1040</v>
      </c>
      <c r="G901" s="7" t="s">
        <v>2531</v>
      </c>
      <c r="H901" s="7">
        <v>0.49099999999999999</v>
      </c>
      <c r="I901" s="7">
        <v>8</v>
      </c>
      <c r="J901" s="7">
        <v>800</v>
      </c>
      <c r="K901" s="7">
        <v>600</v>
      </c>
      <c r="L901" s="7">
        <v>150</v>
      </c>
      <c r="M901" s="7">
        <v>30</v>
      </c>
      <c r="N901" s="7">
        <v>120</v>
      </c>
      <c r="O901" s="7">
        <v>225</v>
      </c>
      <c r="P901" s="7">
        <v>250</v>
      </c>
    </row>
    <row r="902" spans="1:16" s="10" customFormat="1">
      <c r="A902" s="7">
        <f>IF(B902="","",SUBTOTAL(103,$B$2:B902))</f>
        <v>901</v>
      </c>
      <c r="B902" s="8" t="s">
        <v>2494</v>
      </c>
      <c r="C902" s="7" t="s">
        <v>2532</v>
      </c>
      <c r="D902" s="9" t="s">
        <v>2533</v>
      </c>
      <c r="E902" s="7" t="s">
        <v>2496</v>
      </c>
      <c r="F902" s="7" t="s">
        <v>1948</v>
      </c>
      <c r="G902" s="7" t="s">
        <v>2534</v>
      </c>
      <c r="H902" s="7">
        <v>0.68500000000000005</v>
      </c>
      <c r="I902" s="7">
        <v>7</v>
      </c>
      <c r="J902" s="7">
        <v>800</v>
      </c>
      <c r="K902" s="7">
        <v>600</v>
      </c>
      <c r="L902" s="7">
        <v>150</v>
      </c>
      <c r="M902" s="7">
        <v>30</v>
      </c>
      <c r="N902" s="7">
        <v>120</v>
      </c>
      <c r="O902" s="7">
        <v>285</v>
      </c>
      <c r="P902" s="7">
        <v>350</v>
      </c>
    </row>
    <row r="903" spans="1:16" s="10" customFormat="1">
      <c r="A903" s="7">
        <f>IF(B903="","",SUBTOTAL(103,$B$2:B903))</f>
        <v>902</v>
      </c>
      <c r="B903" s="8" t="s">
        <v>2494</v>
      </c>
      <c r="C903" s="7" t="s">
        <v>2532</v>
      </c>
      <c r="D903" s="9" t="s">
        <v>2535</v>
      </c>
      <c r="E903" s="7" t="s">
        <v>2496</v>
      </c>
      <c r="F903" s="7" t="s">
        <v>1044</v>
      </c>
      <c r="G903" s="7" t="s">
        <v>2536</v>
      </c>
      <c r="H903" s="7">
        <v>0.68500000000000005</v>
      </c>
      <c r="I903" s="7">
        <v>7</v>
      </c>
      <c r="J903" s="7">
        <v>800</v>
      </c>
      <c r="K903" s="7">
        <v>600</v>
      </c>
      <c r="L903" s="7">
        <v>150</v>
      </c>
      <c r="M903" s="7">
        <v>30</v>
      </c>
      <c r="N903" s="7">
        <v>120</v>
      </c>
      <c r="O903" s="7">
        <v>285</v>
      </c>
      <c r="P903" s="7">
        <v>350</v>
      </c>
    </row>
    <row r="904" spans="1:16" s="10" customFormat="1">
      <c r="A904" s="7">
        <f>IF(B904="","",SUBTOTAL(103,$B$2:B904))</f>
        <v>903</v>
      </c>
      <c r="B904" s="8" t="s">
        <v>2494</v>
      </c>
      <c r="C904" s="7" t="s">
        <v>2537</v>
      </c>
      <c r="D904" s="9" t="s">
        <v>2538</v>
      </c>
      <c r="E904" s="7" t="s">
        <v>2496</v>
      </c>
      <c r="F904" s="7" t="s">
        <v>1953</v>
      </c>
      <c r="G904" s="7" t="s">
        <v>2539</v>
      </c>
      <c r="H904" s="7">
        <v>0.90900000000000003</v>
      </c>
      <c r="I904" s="7">
        <v>4</v>
      </c>
      <c r="J904" s="7">
        <v>800</v>
      </c>
      <c r="K904" s="7">
        <v>600</v>
      </c>
      <c r="L904" s="7">
        <v>150</v>
      </c>
      <c r="M904" s="7">
        <v>30</v>
      </c>
      <c r="N904" s="7">
        <v>120</v>
      </c>
      <c r="O904" s="7">
        <v>500</v>
      </c>
      <c r="P904" s="7">
        <v>600</v>
      </c>
    </row>
    <row r="905" spans="1:16" s="10" customFormat="1">
      <c r="A905" s="7">
        <f>IF(B905="","",SUBTOTAL(103,$B$2:B905))</f>
        <v>904</v>
      </c>
      <c r="B905" s="8" t="s">
        <v>2494</v>
      </c>
      <c r="C905" s="7" t="s">
        <v>2537</v>
      </c>
      <c r="D905" s="9" t="s">
        <v>2540</v>
      </c>
      <c r="E905" s="7" t="s">
        <v>2496</v>
      </c>
      <c r="F905" s="7" t="s">
        <v>1048</v>
      </c>
      <c r="G905" s="7" t="s">
        <v>2541</v>
      </c>
      <c r="H905" s="7">
        <v>0.90900000000000003</v>
      </c>
      <c r="I905" s="7">
        <v>4</v>
      </c>
      <c r="J905" s="7">
        <v>800</v>
      </c>
      <c r="K905" s="7">
        <v>600</v>
      </c>
      <c r="L905" s="7">
        <v>150</v>
      </c>
      <c r="M905" s="7">
        <v>30</v>
      </c>
      <c r="N905" s="7">
        <v>120</v>
      </c>
      <c r="O905" s="7">
        <v>500</v>
      </c>
      <c r="P905" s="7">
        <v>600</v>
      </c>
    </row>
    <row r="906" spans="1:16" s="10" customFormat="1">
      <c r="A906" s="7">
        <f>IF(B906="","",SUBTOTAL(103,$B$2:B906))</f>
        <v>905</v>
      </c>
      <c r="B906" s="8" t="s">
        <v>2494</v>
      </c>
      <c r="C906" s="7" t="s">
        <v>2537</v>
      </c>
      <c r="D906" s="9" t="s">
        <v>2542</v>
      </c>
      <c r="E906" s="7" t="s">
        <v>2514</v>
      </c>
      <c r="F906" s="7" t="s">
        <v>1048</v>
      </c>
      <c r="G906" s="7" t="s">
        <v>2543</v>
      </c>
      <c r="H906" s="7">
        <v>0.90900000000000003</v>
      </c>
      <c r="I906" s="7">
        <v>4</v>
      </c>
      <c r="J906" s="7">
        <v>800</v>
      </c>
      <c r="K906" s="7">
        <v>600</v>
      </c>
      <c r="L906" s="7">
        <v>150</v>
      </c>
      <c r="M906" s="7">
        <v>30</v>
      </c>
      <c r="N906" s="7">
        <v>120</v>
      </c>
      <c r="O906" s="7">
        <v>500</v>
      </c>
      <c r="P906" s="7">
        <v>600</v>
      </c>
    </row>
    <row r="907" spans="1:16" s="10" customFormat="1">
      <c r="A907" s="7">
        <f>IF(B907="","",SUBTOTAL(103,$B$2:B907))</f>
        <v>906</v>
      </c>
      <c r="B907" s="8" t="s">
        <v>2494</v>
      </c>
      <c r="C907" s="7" t="s">
        <v>2345</v>
      </c>
      <c r="D907" s="9" t="s">
        <v>2544</v>
      </c>
      <c r="E907" s="7" t="s">
        <v>2496</v>
      </c>
      <c r="F907" s="7" t="s">
        <v>1757</v>
      </c>
      <c r="G907" s="7" t="s">
        <v>2545</v>
      </c>
      <c r="H907" s="7">
        <v>0.11899999999999999</v>
      </c>
      <c r="I907" s="7">
        <v>44</v>
      </c>
      <c r="J907" s="7">
        <v>800</v>
      </c>
      <c r="K907" s="7">
        <v>600</v>
      </c>
      <c r="L907" s="7">
        <v>150</v>
      </c>
      <c r="M907" s="7">
        <v>30</v>
      </c>
      <c r="N907" s="7">
        <v>120</v>
      </c>
      <c r="O907" s="7">
        <v>45</v>
      </c>
      <c r="P907" s="7">
        <v>120</v>
      </c>
    </row>
    <row r="908" spans="1:16" s="10" customFormat="1">
      <c r="A908" s="7">
        <f>IF(B908="","",SUBTOTAL(103,$B$2:B908))</f>
        <v>907</v>
      </c>
      <c r="B908" s="8" t="s">
        <v>2494</v>
      </c>
      <c r="C908" s="7" t="s">
        <v>2345</v>
      </c>
      <c r="D908" s="9" t="s">
        <v>2546</v>
      </c>
      <c r="E908" s="7" t="s">
        <v>2496</v>
      </c>
      <c r="F908" s="7" t="s">
        <v>1052</v>
      </c>
      <c r="G908" s="7" t="s">
        <v>2547</v>
      </c>
      <c r="H908" s="7">
        <v>0.11899999999999999</v>
      </c>
      <c r="I908" s="7">
        <v>44</v>
      </c>
      <c r="J908" s="7">
        <v>800</v>
      </c>
      <c r="K908" s="7">
        <v>600</v>
      </c>
      <c r="L908" s="7">
        <v>150</v>
      </c>
      <c r="M908" s="7">
        <v>30</v>
      </c>
      <c r="N908" s="7">
        <v>120</v>
      </c>
      <c r="O908" s="7">
        <v>45</v>
      </c>
      <c r="P908" s="7">
        <v>120</v>
      </c>
    </row>
    <row r="909" spans="1:16" s="10" customFormat="1">
      <c r="A909" s="7">
        <f>IF(B909="","",SUBTOTAL(103,$B$2:B909))</f>
        <v>908</v>
      </c>
      <c r="B909" s="8" t="s">
        <v>2494</v>
      </c>
      <c r="C909" s="7" t="s">
        <v>2350</v>
      </c>
      <c r="D909" s="9" t="s">
        <v>2548</v>
      </c>
      <c r="E909" s="7" t="s">
        <v>2496</v>
      </c>
      <c r="F909" s="7" t="s">
        <v>1763</v>
      </c>
      <c r="G909" s="7" t="s">
        <v>2549</v>
      </c>
      <c r="H909" s="7">
        <v>6.7000000000000004E-2</v>
      </c>
      <c r="I909" s="7">
        <v>68</v>
      </c>
      <c r="J909" s="7">
        <v>800</v>
      </c>
      <c r="K909" s="7">
        <v>600</v>
      </c>
      <c r="L909" s="7">
        <v>150</v>
      </c>
      <c r="M909" s="7">
        <v>30</v>
      </c>
      <c r="N909" s="7">
        <v>120</v>
      </c>
      <c r="O909" s="7">
        <v>30</v>
      </c>
      <c r="P909" s="7">
        <v>100</v>
      </c>
    </row>
    <row r="910" spans="1:16" s="10" customFormat="1">
      <c r="A910" s="7">
        <f>IF(B910="","",SUBTOTAL(103,$B$2:B910))</f>
        <v>909</v>
      </c>
      <c r="B910" s="8" t="s">
        <v>2494</v>
      </c>
      <c r="C910" s="7" t="s">
        <v>2350</v>
      </c>
      <c r="D910" s="9" t="s">
        <v>2550</v>
      </c>
      <c r="E910" s="7" t="s">
        <v>2496</v>
      </c>
      <c r="F910" s="7" t="s">
        <v>1056</v>
      </c>
      <c r="G910" s="7" t="s">
        <v>2551</v>
      </c>
      <c r="H910" s="7">
        <v>6.7000000000000004E-2</v>
      </c>
      <c r="I910" s="7">
        <v>68</v>
      </c>
      <c r="J910" s="7">
        <v>800</v>
      </c>
      <c r="K910" s="7">
        <v>600</v>
      </c>
      <c r="L910" s="7">
        <v>150</v>
      </c>
      <c r="M910" s="7">
        <v>30</v>
      </c>
      <c r="N910" s="7">
        <v>120</v>
      </c>
      <c r="O910" s="7">
        <v>30</v>
      </c>
      <c r="P910" s="7">
        <v>100</v>
      </c>
    </row>
    <row r="911" spans="1:16" s="10" customFormat="1">
      <c r="A911" s="7">
        <f>IF(B911="","",SUBTOTAL(103,$B$2:B911))</f>
        <v>910</v>
      </c>
      <c r="B911" s="8" t="s">
        <v>2494</v>
      </c>
      <c r="C911" s="7" t="s">
        <v>2552</v>
      </c>
      <c r="D911" s="9" t="s">
        <v>2553</v>
      </c>
      <c r="E911" s="7" t="s">
        <v>2496</v>
      </c>
      <c r="F911" s="7" t="s">
        <v>1970</v>
      </c>
      <c r="G911" s="7" t="s">
        <v>2554</v>
      </c>
      <c r="H911" s="7">
        <v>1.4510000000000001</v>
      </c>
      <c r="I911" s="7">
        <v>2</v>
      </c>
      <c r="J911" s="7">
        <v>800</v>
      </c>
      <c r="K911" s="7">
        <v>600</v>
      </c>
      <c r="L911" s="7">
        <v>150</v>
      </c>
      <c r="M911" s="7">
        <v>30</v>
      </c>
      <c r="N911" s="7">
        <v>120</v>
      </c>
      <c r="O911" s="7">
        <v>1000</v>
      </c>
      <c r="P911" s="7">
        <v>1100</v>
      </c>
    </row>
    <row r="912" spans="1:16" s="10" customFormat="1">
      <c r="A912" s="7">
        <f>IF(B912="","",SUBTOTAL(103,$B$2:B912))</f>
        <v>911</v>
      </c>
      <c r="B912" s="8" t="s">
        <v>2494</v>
      </c>
      <c r="C912" s="7" t="s">
        <v>2552</v>
      </c>
      <c r="D912" s="9" t="s">
        <v>2555</v>
      </c>
      <c r="E912" s="7" t="s">
        <v>2496</v>
      </c>
      <c r="F912" s="7" t="s">
        <v>1060</v>
      </c>
      <c r="G912" s="7" t="s">
        <v>2556</v>
      </c>
      <c r="H912" s="7">
        <v>1.4510000000000001</v>
      </c>
      <c r="I912" s="7">
        <v>2</v>
      </c>
      <c r="J912" s="7">
        <v>800</v>
      </c>
      <c r="K912" s="7">
        <v>600</v>
      </c>
      <c r="L912" s="7">
        <v>150</v>
      </c>
      <c r="M912" s="7">
        <v>30</v>
      </c>
      <c r="N912" s="7">
        <v>120</v>
      </c>
      <c r="O912" s="7">
        <v>1000</v>
      </c>
      <c r="P912" s="7">
        <v>1100</v>
      </c>
    </row>
    <row r="913" spans="1:16" s="10" customFormat="1">
      <c r="A913" s="7">
        <f>IF(B913="","",SUBTOTAL(103,$B$2:B913))</f>
        <v>912</v>
      </c>
      <c r="B913" s="8" t="s">
        <v>2494</v>
      </c>
      <c r="C913" s="7" t="s">
        <v>2552</v>
      </c>
      <c r="D913" s="9" t="s">
        <v>2557</v>
      </c>
      <c r="E913" s="7" t="s">
        <v>2514</v>
      </c>
      <c r="F913" s="7" t="s">
        <v>1060</v>
      </c>
      <c r="G913" s="7" t="s">
        <v>2558</v>
      </c>
      <c r="H913" s="7">
        <v>1.4510000000000001</v>
      </c>
      <c r="I913" s="7">
        <v>2</v>
      </c>
      <c r="J913" s="7">
        <v>800</v>
      </c>
      <c r="K913" s="7">
        <v>600</v>
      </c>
      <c r="L913" s="7">
        <v>150</v>
      </c>
      <c r="M913" s="7">
        <v>30</v>
      </c>
      <c r="N913" s="7">
        <v>120</v>
      </c>
      <c r="O913" s="7">
        <v>1000</v>
      </c>
      <c r="P913" s="7">
        <v>1100</v>
      </c>
    </row>
    <row r="914" spans="1:16" s="10" customFormat="1">
      <c r="A914" s="7">
        <f>IF(B914="","",SUBTOTAL(103,$B$2:B914))</f>
        <v>913</v>
      </c>
      <c r="B914" s="8" t="s">
        <v>2559</v>
      </c>
      <c r="C914" s="7" t="s">
        <v>2560</v>
      </c>
      <c r="D914" s="9" t="s">
        <v>2561</v>
      </c>
      <c r="E914" s="7" t="s">
        <v>2562</v>
      </c>
      <c r="F914" s="7" t="s">
        <v>2563</v>
      </c>
      <c r="G914" s="7" t="s">
        <v>2564</v>
      </c>
      <c r="H914" s="7">
        <v>6.0999999999999999E-2</v>
      </c>
      <c r="I914" s="7">
        <v>48</v>
      </c>
      <c r="J914" s="7">
        <v>800</v>
      </c>
      <c r="K914" s="7">
        <v>600</v>
      </c>
      <c r="L914" s="7">
        <v>150</v>
      </c>
      <c r="M914" s="7">
        <v>30</v>
      </c>
      <c r="N914" s="7">
        <v>60</v>
      </c>
      <c r="O914" s="7">
        <v>41</v>
      </c>
      <c r="P914" s="7">
        <v>250</v>
      </c>
    </row>
    <row r="915" spans="1:16" s="10" customFormat="1">
      <c r="A915" s="7">
        <f>IF(B915="","",SUBTOTAL(103,$B$2:B915))</f>
        <v>914</v>
      </c>
      <c r="B915" s="8" t="s">
        <v>2559</v>
      </c>
      <c r="C915" s="7" t="s">
        <v>2560</v>
      </c>
      <c r="D915" s="9" t="s">
        <v>2565</v>
      </c>
      <c r="E915" s="7" t="s">
        <v>2562</v>
      </c>
      <c r="F915" s="7" t="s">
        <v>2566</v>
      </c>
      <c r="G915" s="7" t="s">
        <v>2567</v>
      </c>
      <c r="H915" s="7">
        <v>6.0999999999999999E-2</v>
      </c>
      <c r="I915" s="7">
        <v>48</v>
      </c>
      <c r="J915" s="7">
        <v>800</v>
      </c>
      <c r="K915" s="7">
        <v>600</v>
      </c>
      <c r="L915" s="7">
        <v>150</v>
      </c>
      <c r="M915" s="7">
        <v>30</v>
      </c>
      <c r="N915" s="7">
        <v>60</v>
      </c>
      <c r="O915" s="7">
        <v>41</v>
      </c>
      <c r="P915" s="7">
        <v>250</v>
      </c>
    </row>
    <row r="916" spans="1:16" s="10" customFormat="1">
      <c r="A916" s="7">
        <f>IF(B916="","",SUBTOTAL(103,$B$2:B916))</f>
        <v>915</v>
      </c>
      <c r="B916" s="8" t="s">
        <v>2559</v>
      </c>
      <c r="C916" s="7" t="s">
        <v>2568</v>
      </c>
      <c r="D916" s="9" t="s">
        <v>2569</v>
      </c>
      <c r="E916" s="7" t="s">
        <v>2562</v>
      </c>
      <c r="F916" s="7" t="s">
        <v>2570</v>
      </c>
      <c r="G916" s="7" t="s">
        <v>2571</v>
      </c>
      <c r="H916" s="7">
        <v>2.4E-2</v>
      </c>
      <c r="I916" s="7">
        <v>68</v>
      </c>
      <c r="J916" s="7">
        <v>800</v>
      </c>
      <c r="K916" s="7">
        <v>600</v>
      </c>
      <c r="L916" s="7">
        <v>150</v>
      </c>
      <c r="M916" s="7">
        <v>30</v>
      </c>
      <c r="N916" s="7">
        <v>60</v>
      </c>
      <c r="O916" s="7">
        <v>30</v>
      </c>
      <c r="P916" s="7">
        <v>200</v>
      </c>
    </row>
    <row r="917" spans="1:16" s="10" customFormat="1">
      <c r="A917" s="7">
        <f>IF(B917="","",SUBTOTAL(103,$B$2:B917))</f>
        <v>916</v>
      </c>
      <c r="B917" s="8" t="s">
        <v>2559</v>
      </c>
      <c r="C917" s="7" t="s">
        <v>2568</v>
      </c>
      <c r="D917" s="9" t="s">
        <v>2572</v>
      </c>
      <c r="E917" s="7" t="s">
        <v>2562</v>
      </c>
      <c r="F917" s="7" t="s">
        <v>2573</v>
      </c>
      <c r="G917" s="7" t="s">
        <v>2574</v>
      </c>
      <c r="H917" s="7">
        <v>2.4E-2</v>
      </c>
      <c r="I917" s="7">
        <v>68</v>
      </c>
      <c r="J917" s="7">
        <v>800</v>
      </c>
      <c r="K917" s="7">
        <v>600</v>
      </c>
      <c r="L917" s="7">
        <v>150</v>
      </c>
      <c r="M917" s="7">
        <v>30</v>
      </c>
      <c r="N917" s="7">
        <v>60</v>
      </c>
      <c r="O917" s="7">
        <v>30</v>
      </c>
      <c r="P917" s="7">
        <v>200</v>
      </c>
    </row>
    <row r="918" spans="1:16" s="10" customFormat="1">
      <c r="A918" s="7">
        <f>IF(B918="","",SUBTOTAL(103,$B$2:B918))</f>
        <v>917</v>
      </c>
      <c r="B918" s="8" t="s">
        <v>2559</v>
      </c>
      <c r="C918" s="7" t="s">
        <v>2575</v>
      </c>
      <c r="D918" s="9" t="s">
        <v>2576</v>
      </c>
      <c r="E918" s="7" t="s">
        <v>2562</v>
      </c>
      <c r="F918" s="7" t="s">
        <v>2577</v>
      </c>
      <c r="G918" s="7" t="s">
        <v>2578</v>
      </c>
      <c r="H918" s="7">
        <v>0.316</v>
      </c>
      <c r="I918" s="7">
        <v>18</v>
      </c>
      <c r="J918" s="7">
        <v>800</v>
      </c>
      <c r="K918" s="7">
        <v>600</v>
      </c>
      <c r="L918" s="7">
        <v>150</v>
      </c>
      <c r="M918" s="7">
        <v>30</v>
      </c>
      <c r="N918" s="7">
        <v>60</v>
      </c>
      <c r="O918" s="7">
        <v>100</v>
      </c>
      <c r="P918" s="7">
        <v>330</v>
      </c>
    </row>
    <row r="919" spans="1:16" s="10" customFormat="1">
      <c r="A919" s="7">
        <f>IF(B919="","",SUBTOTAL(103,$B$2:B919))</f>
        <v>918</v>
      </c>
      <c r="B919" s="8" t="s">
        <v>2559</v>
      </c>
      <c r="C919" s="7" t="s">
        <v>2575</v>
      </c>
      <c r="D919" s="9" t="s">
        <v>2579</v>
      </c>
      <c r="E919" s="7" t="s">
        <v>2562</v>
      </c>
      <c r="F919" s="7" t="s">
        <v>2580</v>
      </c>
      <c r="G919" s="7" t="s">
        <v>2581</v>
      </c>
      <c r="H919" s="7">
        <v>0.316</v>
      </c>
      <c r="I919" s="7">
        <v>18</v>
      </c>
      <c r="J919" s="7">
        <v>800</v>
      </c>
      <c r="K919" s="7">
        <v>600</v>
      </c>
      <c r="L919" s="7">
        <v>150</v>
      </c>
      <c r="M919" s="7">
        <v>30</v>
      </c>
      <c r="N919" s="7">
        <v>60</v>
      </c>
      <c r="O919" s="7">
        <v>100</v>
      </c>
      <c r="P919" s="7">
        <v>330</v>
      </c>
    </row>
    <row r="920" spans="1:16" s="10" customFormat="1">
      <c r="A920" s="7">
        <f>IF(B920="","",SUBTOTAL(103,$B$2:B920))</f>
        <v>919</v>
      </c>
      <c r="B920" s="8" t="s">
        <v>2559</v>
      </c>
      <c r="C920" s="7" t="s">
        <v>2582</v>
      </c>
      <c r="D920" s="9" t="s">
        <v>2583</v>
      </c>
      <c r="E920" s="7" t="s">
        <v>2562</v>
      </c>
      <c r="F920" s="7" t="s">
        <v>2584</v>
      </c>
      <c r="G920" s="7" t="s">
        <v>2585</v>
      </c>
      <c r="H920" s="7">
        <v>0.23100000000000001</v>
      </c>
      <c r="I920" s="7">
        <v>22</v>
      </c>
      <c r="J920" s="7">
        <v>800</v>
      </c>
      <c r="K920" s="7">
        <v>600</v>
      </c>
      <c r="L920" s="7">
        <v>150</v>
      </c>
      <c r="M920" s="7">
        <v>30</v>
      </c>
      <c r="N920" s="7">
        <v>60</v>
      </c>
      <c r="O920" s="7">
        <v>90</v>
      </c>
      <c r="P920" s="7">
        <v>315</v>
      </c>
    </row>
    <row r="921" spans="1:16" s="10" customFormat="1">
      <c r="A921" s="7">
        <f>IF(B921="","",SUBTOTAL(103,$B$2:B921))</f>
        <v>920</v>
      </c>
      <c r="B921" s="8" t="s">
        <v>2559</v>
      </c>
      <c r="C921" s="7" t="s">
        <v>2582</v>
      </c>
      <c r="D921" s="9" t="s">
        <v>2586</v>
      </c>
      <c r="E921" s="7" t="s">
        <v>2562</v>
      </c>
      <c r="F921" s="7" t="s">
        <v>2587</v>
      </c>
      <c r="G921" s="7" t="s">
        <v>2588</v>
      </c>
      <c r="H921" s="7">
        <v>0.23100000000000001</v>
      </c>
      <c r="I921" s="7">
        <v>22</v>
      </c>
      <c r="J921" s="7">
        <v>800</v>
      </c>
      <c r="K921" s="7">
        <v>600</v>
      </c>
      <c r="L921" s="7">
        <v>150</v>
      </c>
      <c r="M921" s="7">
        <v>30</v>
      </c>
      <c r="N921" s="7">
        <v>60</v>
      </c>
      <c r="O921" s="7">
        <v>90</v>
      </c>
      <c r="P921" s="7">
        <v>315</v>
      </c>
    </row>
    <row r="922" spans="1:16" s="10" customFormat="1">
      <c r="A922" s="7">
        <f>IF(B922="","",SUBTOTAL(103,$B$2:B922))</f>
        <v>921</v>
      </c>
      <c r="B922" s="8" t="s">
        <v>2559</v>
      </c>
      <c r="C922" s="7" t="s">
        <v>2589</v>
      </c>
      <c r="D922" s="9" t="s">
        <v>2590</v>
      </c>
      <c r="E922" s="7" t="s">
        <v>2562</v>
      </c>
      <c r="F922" s="7" t="s">
        <v>2591</v>
      </c>
      <c r="G922" s="7" t="s">
        <v>2592</v>
      </c>
      <c r="H922" s="7">
        <v>0.13200000000000001</v>
      </c>
      <c r="I922" s="7">
        <v>28</v>
      </c>
      <c r="J922" s="7">
        <v>800</v>
      </c>
      <c r="K922" s="7">
        <v>600</v>
      </c>
      <c r="L922" s="7">
        <v>150</v>
      </c>
      <c r="M922" s="7">
        <v>30</v>
      </c>
      <c r="N922" s="7">
        <v>60</v>
      </c>
      <c r="O922" s="7">
        <v>70</v>
      </c>
      <c r="P922" s="7">
        <v>300</v>
      </c>
    </row>
    <row r="923" spans="1:16" s="10" customFormat="1">
      <c r="A923" s="7">
        <f>IF(B923="","",SUBTOTAL(103,$B$2:B923))</f>
        <v>922</v>
      </c>
      <c r="B923" s="8" t="s">
        <v>2559</v>
      </c>
      <c r="C923" s="7" t="s">
        <v>2589</v>
      </c>
      <c r="D923" s="9" t="s">
        <v>2593</v>
      </c>
      <c r="E923" s="7" t="s">
        <v>2562</v>
      </c>
      <c r="F923" s="7" t="s">
        <v>2594</v>
      </c>
      <c r="G923" s="7" t="s">
        <v>2595</v>
      </c>
      <c r="H923" s="7">
        <v>0.13200000000000001</v>
      </c>
      <c r="I923" s="7">
        <v>28</v>
      </c>
      <c r="J923" s="7">
        <v>800</v>
      </c>
      <c r="K923" s="7">
        <v>600</v>
      </c>
      <c r="L923" s="7">
        <v>150</v>
      </c>
      <c r="M923" s="7">
        <v>30</v>
      </c>
      <c r="N923" s="7">
        <v>60</v>
      </c>
      <c r="O923" s="7">
        <v>70</v>
      </c>
      <c r="P923" s="7">
        <v>300</v>
      </c>
    </row>
    <row r="924" spans="1:16" s="10" customFormat="1">
      <c r="A924" s="7">
        <f>IF(B924="","",SUBTOTAL(103,$B$2:B924))</f>
        <v>923</v>
      </c>
      <c r="B924" s="8" t="s">
        <v>2559</v>
      </c>
      <c r="C924" s="7" t="s">
        <v>2596</v>
      </c>
      <c r="D924" s="9" t="s">
        <v>2597</v>
      </c>
      <c r="E924" s="7" t="s">
        <v>2562</v>
      </c>
      <c r="F924" s="7" t="s">
        <v>2598</v>
      </c>
      <c r="G924" s="7" t="s">
        <v>2599</v>
      </c>
      <c r="H924" s="7">
        <v>0.69199999999999995</v>
      </c>
      <c r="I924" s="7">
        <v>8</v>
      </c>
      <c r="J924" s="7">
        <v>800</v>
      </c>
      <c r="K924" s="7">
        <v>600</v>
      </c>
      <c r="L924" s="7">
        <v>150</v>
      </c>
      <c r="M924" s="7">
        <v>30</v>
      </c>
      <c r="N924" s="7">
        <v>60</v>
      </c>
      <c r="O924" s="7">
        <v>225</v>
      </c>
      <c r="P924" s="7">
        <v>250</v>
      </c>
    </row>
    <row r="925" spans="1:16" s="10" customFormat="1">
      <c r="A925" s="7">
        <f>IF(B925="","",SUBTOTAL(103,$B$2:B925))</f>
        <v>924</v>
      </c>
      <c r="B925" s="8" t="s">
        <v>2559</v>
      </c>
      <c r="C925" s="7" t="s">
        <v>2600</v>
      </c>
      <c r="D925" s="9" t="s">
        <v>2601</v>
      </c>
      <c r="E925" s="7" t="s">
        <v>2562</v>
      </c>
      <c r="F925" s="7" t="s">
        <v>2602</v>
      </c>
      <c r="G925" s="7" t="s">
        <v>2603</v>
      </c>
      <c r="H925" s="7">
        <v>0.42399999999999999</v>
      </c>
      <c r="I925" s="7">
        <v>12</v>
      </c>
      <c r="J925" s="7">
        <v>800</v>
      </c>
      <c r="K925" s="7">
        <v>600</v>
      </c>
      <c r="L925" s="7">
        <v>150</v>
      </c>
      <c r="M925" s="7">
        <v>30</v>
      </c>
      <c r="N925" s="7">
        <v>60</v>
      </c>
      <c r="O925" s="7">
        <v>150</v>
      </c>
      <c r="P925" s="7">
        <v>500</v>
      </c>
    </row>
    <row r="926" spans="1:16" s="10" customFormat="1">
      <c r="A926" s="7">
        <f>IF(B926="","",SUBTOTAL(103,$B$2:B926))</f>
        <v>925</v>
      </c>
      <c r="B926" s="8" t="s">
        <v>2559</v>
      </c>
      <c r="C926" s="7" t="s">
        <v>2600</v>
      </c>
      <c r="D926" s="9" t="s">
        <v>2604</v>
      </c>
      <c r="E926" s="7" t="s">
        <v>2562</v>
      </c>
      <c r="F926" s="7" t="s">
        <v>2605</v>
      </c>
      <c r="G926" s="7" t="s">
        <v>2606</v>
      </c>
      <c r="H926" s="7">
        <v>0.42399999999999999</v>
      </c>
      <c r="I926" s="7">
        <v>12</v>
      </c>
      <c r="J926" s="7">
        <v>800</v>
      </c>
      <c r="K926" s="7">
        <v>600</v>
      </c>
      <c r="L926" s="7">
        <v>150</v>
      </c>
      <c r="M926" s="7">
        <v>30</v>
      </c>
      <c r="N926" s="7">
        <v>60</v>
      </c>
      <c r="O926" s="7">
        <v>150</v>
      </c>
      <c r="P926" s="7">
        <v>500</v>
      </c>
    </row>
    <row r="927" spans="1:16" s="10" customFormat="1">
      <c r="A927" s="7">
        <f>IF(B927="","",SUBTOTAL(103,$B$2:B927))</f>
        <v>926</v>
      </c>
      <c r="B927" s="8" t="s">
        <v>2559</v>
      </c>
      <c r="C927" s="7" t="s">
        <v>2607</v>
      </c>
      <c r="D927" s="9" t="s">
        <v>2608</v>
      </c>
      <c r="E927" s="7" t="s">
        <v>2562</v>
      </c>
      <c r="F927" s="7" t="s">
        <v>2609</v>
      </c>
      <c r="G927" s="7" t="s">
        <v>2610</v>
      </c>
      <c r="H927" s="7">
        <v>0.08</v>
      </c>
      <c r="I927" s="7">
        <v>38</v>
      </c>
      <c r="J927" s="7">
        <v>800</v>
      </c>
      <c r="K927" s="7">
        <v>600</v>
      </c>
      <c r="L927" s="7">
        <v>150</v>
      </c>
      <c r="M927" s="7">
        <v>30</v>
      </c>
      <c r="N927" s="7">
        <v>60</v>
      </c>
      <c r="O927" s="7">
        <v>50</v>
      </c>
      <c r="P927" s="7">
        <v>275</v>
      </c>
    </row>
    <row r="928" spans="1:16" s="10" customFormat="1">
      <c r="A928" s="7">
        <f>IF(B928="","",SUBTOTAL(103,$B$2:B928))</f>
        <v>927</v>
      </c>
      <c r="B928" s="8" t="s">
        <v>2559</v>
      </c>
      <c r="C928" s="7" t="s">
        <v>2607</v>
      </c>
      <c r="D928" s="9" t="s">
        <v>2611</v>
      </c>
      <c r="E928" s="7" t="s">
        <v>2562</v>
      </c>
      <c r="F928" s="7" t="s">
        <v>2612</v>
      </c>
      <c r="G928" s="7" t="s">
        <v>2613</v>
      </c>
      <c r="H928" s="7">
        <v>0.08</v>
      </c>
      <c r="I928" s="7">
        <v>38</v>
      </c>
      <c r="J928" s="7">
        <v>800</v>
      </c>
      <c r="K928" s="7">
        <v>600</v>
      </c>
      <c r="L928" s="7">
        <v>150</v>
      </c>
      <c r="M928" s="7">
        <v>30</v>
      </c>
      <c r="N928" s="7">
        <v>60</v>
      </c>
      <c r="O928" s="7">
        <v>50</v>
      </c>
      <c r="P928" s="7">
        <v>275</v>
      </c>
    </row>
    <row r="929" spans="1:16" s="10" customFormat="1">
      <c r="A929" s="7">
        <f>IF(B929="","",SUBTOTAL(103,$B$2:B929))</f>
        <v>928</v>
      </c>
      <c r="B929" s="8" t="s">
        <v>2559</v>
      </c>
      <c r="C929" s="7" t="s">
        <v>2614</v>
      </c>
      <c r="D929" s="9" t="s">
        <v>2615</v>
      </c>
      <c r="E929" s="7" t="s">
        <v>2562</v>
      </c>
      <c r="F929" s="7" t="s">
        <v>2616</v>
      </c>
      <c r="G929" s="7" t="s">
        <v>2617</v>
      </c>
      <c r="H929" s="7">
        <v>3.6999999999999998E-2</v>
      </c>
      <c r="I929" s="7">
        <v>56</v>
      </c>
      <c r="J929" s="7">
        <v>800</v>
      </c>
      <c r="K929" s="7">
        <v>600</v>
      </c>
      <c r="L929" s="7">
        <v>150</v>
      </c>
      <c r="M929" s="7">
        <v>30</v>
      </c>
      <c r="N929" s="7">
        <v>60</v>
      </c>
      <c r="O929" s="7">
        <v>34</v>
      </c>
      <c r="P929" s="7">
        <v>225</v>
      </c>
    </row>
    <row r="930" spans="1:16" s="10" customFormat="1">
      <c r="A930" s="7">
        <f>IF(B930="","",SUBTOTAL(103,$B$2:B930))</f>
        <v>929</v>
      </c>
      <c r="B930" s="8" t="s">
        <v>2559</v>
      </c>
      <c r="C930" s="7" t="s">
        <v>2614</v>
      </c>
      <c r="D930" s="9" t="s">
        <v>2618</v>
      </c>
      <c r="E930" s="7" t="s">
        <v>2562</v>
      </c>
      <c r="F930" s="7" t="s">
        <v>2619</v>
      </c>
      <c r="G930" s="7" t="s">
        <v>2620</v>
      </c>
      <c r="H930" s="7">
        <v>3.6999999999999998E-2</v>
      </c>
      <c r="I930" s="7">
        <v>56</v>
      </c>
      <c r="J930" s="7">
        <v>800</v>
      </c>
      <c r="K930" s="7">
        <v>600</v>
      </c>
      <c r="L930" s="7">
        <v>150</v>
      </c>
      <c r="M930" s="7">
        <v>30</v>
      </c>
      <c r="N930" s="7">
        <v>60</v>
      </c>
      <c r="O930" s="7">
        <v>34</v>
      </c>
      <c r="P930" s="7">
        <v>225</v>
      </c>
    </row>
    <row r="931" spans="1:16" s="10" customFormat="1">
      <c r="A931" s="7">
        <f>IF(B931="","",SUBTOTAL(103,$B$2:B931))</f>
        <v>930</v>
      </c>
      <c r="B931" s="8" t="s">
        <v>2559</v>
      </c>
      <c r="C931" s="7" t="s">
        <v>2596</v>
      </c>
      <c r="D931" s="9" t="s">
        <v>2621</v>
      </c>
      <c r="E931" s="7" t="s">
        <v>2562</v>
      </c>
      <c r="F931" s="7" t="s">
        <v>2622</v>
      </c>
      <c r="G931" s="7" t="s">
        <v>2623</v>
      </c>
      <c r="H931" s="7">
        <v>0.69199999999999995</v>
      </c>
      <c r="I931" s="7">
        <v>8</v>
      </c>
      <c r="J931" s="7">
        <v>800</v>
      </c>
      <c r="K931" s="7">
        <v>600</v>
      </c>
      <c r="L931" s="7">
        <v>150</v>
      </c>
      <c r="M931" s="7">
        <v>30</v>
      </c>
      <c r="N931" s="7">
        <v>60</v>
      </c>
      <c r="O931" s="7">
        <v>225</v>
      </c>
      <c r="P931" s="7">
        <v>250</v>
      </c>
    </row>
    <row r="932" spans="1:16" s="10" customFormat="1">
      <c r="A932" s="7">
        <f>IF(B932="","",SUBTOTAL(103,$B$2:B932))</f>
        <v>931</v>
      </c>
      <c r="B932" s="8" t="s">
        <v>2559</v>
      </c>
      <c r="C932" s="7" t="s">
        <v>2624</v>
      </c>
      <c r="D932" s="9" t="s">
        <v>2625</v>
      </c>
      <c r="E932" s="7" t="s">
        <v>2562</v>
      </c>
      <c r="F932" s="7" t="s">
        <v>2626</v>
      </c>
      <c r="G932" s="7" t="s">
        <v>2627</v>
      </c>
      <c r="H932" s="7">
        <v>1.28</v>
      </c>
      <c r="I932" s="7">
        <v>3</v>
      </c>
      <c r="J932" s="7">
        <v>800</v>
      </c>
      <c r="K932" s="7">
        <v>600</v>
      </c>
      <c r="L932" s="7">
        <v>150</v>
      </c>
      <c r="M932" s="7">
        <v>30</v>
      </c>
      <c r="N932" s="7">
        <v>60</v>
      </c>
      <c r="O932" s="7">
        <v>650</v>
      </c>
      <c r="P932" s="7">
        <v>675</v>
      </c>
    </row>
    <row r="933" spans="1:16" s="10" customFormat="1">
      <c r="A933" s="7">
        <f>IF(B933="","",SUBTOTAL(103,$B$2:B933))</f>
        <v>932</v>
      </c>
      <c r="B933" s="8" t="s">
        <v>2559</v>
      </c>
      <c r="C933" s="7" t="s">
        <v>2624</v>
      </c>
      <c r="D933" s="9" t="s">
        <v>2628</v>
      </c>
      <c r="E933" s="7" t="s">
        <v>2562</v>
      </c>
      <c r="F933" s="7" t="s">
        <v>2629</v>
      </c>
      <c r="G933" s="7" t="s">
        <v>2630</v>
      </c>
      <c r="H933" s="7">
        <v>1.28</v>
      </c>
      <c r="I933" s="7">
        <v>3</v>
      </c>
      <c r="J933" s="7">
        <v>800</v>
      </c>
      <c r="K933" s="7">
        <v>600</v>
      </c>
      <c r="L933" s="7">
        <v>150</v>
      </c>
      <c r="M933" s="7">
        <v>30</v>
      </c>
      <c r="N933" s="7">
        <v>60</v>
      </c>
      <c r="O933" s="7">
        <v>650</v>
      </c>
      <c r="P933" s="7">
        <v>675</v>
      </c>
    </row>
    <row r="934" spans="1:16" s="10" customFormat="1">
      <c r="A934" s="7">
        <f>IF(B934="","",SUBTOTAL(103,$B$2:B934))</f>
        <v>933</v>
      </c>
      <c r="B934" s="8" t="s">
        <v>2559</v>
      </c>
      <c r="C934" s="7" t="s">
        <v>2631</v>
      </c>
      <c r="D934" s="9" t="s">
        <v>2632</v>
      </c>
      <c r="E934" s="7" t="s">
        <v>2562</v>
      </c>
      <c r="F934" s="7" t="s">
        <v>2633</v>
      </c>
      <c r="G934" s="7" t="s">
        <v>2634</v>
      </c>
      <c r="H934" s="7">
        <v>1.96</v>
      </c>
      <c r="I934" s="7">
        <v>3</v>
      </c>
      <c r="J934" s="7">
        <v>800</v>
      </c>
      <c r="K934" s="7">
        <v>600</v>
      </c>
      <c r="L934" s="7">
        <v>150</v>
      </c>
      <c r="M934" s="7">
        <v>30</v>
      </c>
      <c r="N934" s="7">
        <v>60</v>
      </c>
      <c r="O934" s="7">
        <v>650</v>
      </c>
      <c r="P934" s="7">
        <v>675</v>
      </c>
    </row>
    <row r="935" spans="1:16" s="10" customFormat="1">
      <c r="A935" s="7">
        <f>IF(B935="","",SUBTOTAL(103,$B$2:B935))</f>
        <v>934</v>
      </c>
      <c r="B935" s="8" t="s">
        <v>2559</v>
      </c>
      <c r="C935" s="7" t="s">
        <v>2631</v>
      </c>
      <c r="D935" s="9" t="s">
        <v>2635</v>
      </c>
      <c r="E935" s="7" t="s">
        <v>2562</v>
      </c>
      <c r="F935" s="7" t="s">
        <v>2636</v>
      </c>
      <c r="G935" s="7" t="str">
        <f>E935&amp;F935</f>
        <v>MBC-OM-06NPS4 304 NPT 毛坯</v>
      </c>
      <c r="H935" s="7">
        <v>1.96</v>
      </c>
      <c r="I935" s="7">
        <v>3</v>
      </c>
      <c r="J935" s="7">
        <v>800</v>
      </c>
      <c r="K935" s="7">
        <v>600</v>
      </c>
      <c r="L935" s="7">
        <v>150</v>
      </c>
      <c r="M935" s="7">
        <v>30</v>
      </c>
      <c r="N935" s="7">
        <v>60</v>
      </c>
      <c r="O935" s="7">
        <v>650</v>
      </c>
      <c r="P935" s="7">
        <v>675</v>
      </c>
    </row>
    <row r="936" spans="1:16" s="10" customFormat="1">
      <c r="A936" s="7">
        <f>IF(B936="","",SUBTOTAL(103,$B$2:B936))</f>
        <v>935</v>
      </c>
      <c r="B936" s="8" t="s">
        <v>2637</v>
      </c>
      <c r="C936" s="7" t="s">
        <v>2638</v>
      </c>
      <c r="D936" s="9" t="s">
        <v>2639</v>
      </c>
      <c r="E936" s="7" t="s">
        <v>2640</v>
      </c>
      <c r="F936" s="7" t="s">
        <v>2641</v>
      </c>
      <c r="G936" s="7" t="s">
        <v>2642</v>
      </c>
      <c r="H936" s="7">
        <v>0.13</v>
      </c>
      <c r="I936" s="7">
        <v>24</v>
      </c>
      <c r="J936" s="7">
        <v>800</v>
      </c>
      <c r="K936" s="7">
        <v>600</v>
      </c>
      <c r="L936" s="7">
        <v>150</v>
      </c>
      <c r="M936" s="7">
        <v>30</v>
      </c>
      <c r="N936" s="7">
        <v>60</v>
      </c>
      <c r="O936" s="7">
        <v>75</v>
      </c>
      <c r="P936" s="7">
        <v>264</v>
      </c>
    </row>
    <row r="937" spans="1:16" s="10" customFormat="1">
      <c r="A937" s="7">
        <f>IF(B937="","",SUBTOTAL(103,$B$2:B937))</f>
        <v>936</v>
      </c>
      <c r="B937" s="8" t="s">
        <v>2637</v>
      </c>
      <c r="C937" s="7" t="s">
        <v>2638</v>
      </c>
      <c r="D937" s="9" t="s">
        <v>2643</v>
      </c>
      <c r="E937" s="7" t="s">
        <v>2640</v>
      </c>
      <c r="F937" s="7" t="s">
        <v>406</v>
      </c>
      <c r="G937" s="7" t="s">
        <v>2644</v>
      </c>
      <c r="H937" s="7">
        <v>0.13</v>
      </c>
      <c r="I937" s="7">
        <v>24</v>
      </c>
      <c r="J937" s="7">
        <v>800</v>
      </c>
      <c r="K937" s="7">
        <v>600</v>
      </c>
      <c r="L937" s="7">
        <v>150</v>
      </c>
      <c r="M937" s="7">
        <v>30</v>
      </c>
      <c r="N937" s="7">
        <v>60</v>
      </c>
      <c r="O937" s="7">
        <v>75</v>
      </c>
      <c r="P937" s="7">
        <v>264</v>
      </c>
    </row>
    <row r="938" spans="1:16" s="10" customFormat="1">
      <c r="A938" s="7">
        <f>IF(B938="","",SUBTOTAL(103,$B$2:B938))</f>
        <v>937</v>
      </c>
      <c r="B938" s="8" t="s">
        <v>2637</v>
      </c>
      <c r="C938" s="7" t="s">
        <v>2645</v>
      </c>
      <c r="D938" s="9" t="s">
        <v>2646</v>
      </c>
      <c r="E938" s="7" t="s">
        <v>2640</v>
      </c>
      <c r="F938" s="7" t="s">
        <v>2647</v>
      </c>
      <c r="G938" s="7" t="s">
        <v>2648</v>
      </c>
      <c r="H938" s="7">
        <v>0.12</v>
      </c>
      <c r="I938" s="7">
        <v>28</v>
      </c>
      <c r="J938" s="7">
        <v>800</v>
      </c>
      <c r="K938" s="7">
        <v>600</v>
      </c>
      <c r="L938" s="7">
        <v>150</v>
      </c>
      <c r="M938" s="7">
        <v>30</v>
      </c>
      <c r="N938" s="7">
        <v>60</v>
      </c>
      <c r="O938" s="7">
        <v>70</v>
      </c>
      <c r="P938" s="7">
        <v>198</v>
      </c>
    </row>
    <row r="939" spans="1:16" s="10" customFormat="1">
      <c r="A939" s="7">
        <f>IF(B939="","",SUBTOTAL(103,$B$2:B939))</f>
        <v>938</v>
      </c>
      <c r="B939" s="8" t="s">
        <v>2637</v>
      </c>
      <c r="C939" s="7" t="s">
        <v>2649</v>
      </c>
      <c r="D939" s="9" t="s">
        <v>2650</v>
      </c>
      <c r="E939" s="7" t="s">
        <v>2640</v>
      </c>
      <c r="F939" s="7" t="s">
        <v>2651</v>
      </c>
      <c r="G939" s="7" t="s">
        <v>2652</v>
      </c>
      <c r="H939" s="7">
        <v>0.21</v>
      </c>
      <c r="I939" s="7">
        <v>24</v>
      </c>
      <c r="J939" s="7">
        <v>800</v>
      </c>
      <c r="K939" s="7">
        <v>600</v>
      </c>
      <c r="L939" s="7">
        <v>150</v>
      </c>
      <c r="M939" s="7">
        <v>30</v>
      </c>
      <c r="N939" s="7">
        <v>60</v>
      </c>
      <c r="O939" s="7">
        <v>75</v>
      </c>
      <c r="P939" s="7">
        <v>276</v>
      </c>
    </row>
    <row r="940" spans="1:16" s="10" customFormat="1">
      <c r="A940" s="7">
        <f>IF(B940="","",SUBTOTAL(103,$B$2:B940))</f>
        <v>939</v>
      </c>
      <c r="B940" s="8" t="s">
        <v>547</v>
      </c>
      <c r="C940" s="7" t="s">
        <v>576</v>
      </c>
      <c r="D940" s="9" t="s">
        <v>2653</v>
      </c>
      <c r="E940" s="7" t="s">
        <v>2654</v>
      </c>
      <c r="F940" s="7" t="s">
        <v>2655</v>
      </c>
      <c r="G940" s="7" t="s">
        <v>2656</v>
      </c>
      <c r="H940" s="7">
        <v>0.69499999999999995</v>
      </c>
      <c r="I940" s="7">
        <v>8</v>
      </c>
      <c r="J940" s="7">
        <v>800</v>
      </c>
      <c r="K940" s="7">
        <v>600</v>
      </c>
      <c r="L940" s="7">
        <v>150</v>
      </c>
      <c r="M940" s="7">
        <v>30</v>
      </c>
      <c r="N940" s="7">
        <v>240</v>
      </c>
      <c r="O940" s="7">
        <v>225</v>
      </c>
      <c r="P940" s="7">
        <v>300</v>
      </c>
    </row>
    <row r="941" spans="1:16" s="10" customFormat="1">
      <c r="A941" s="7">
        <f>IF(B941="","",SUBTOTAL(103,$B$2:B941))</f>
        <v>940</v>
      </c>
      <c r="B941" s="8" t="s">
        <v>666</v>
      </c>
      <c r="C941" s="7" t="s">
        <v>2657</v>
      </c>
      <c r="D941" s="9" t="s">
        <v>2658</v>
      </c>
      <c r="E941" s="7" t="s">
        <v>2659</v>
      </c>
      <c r="F941" s="7" t="s">
        <v>589</v>
      </c>
      <c r="G941" s="7" t="s">
        <v>2660</v>
      </c>
      <c r="H941" s="7">
        <v>0.47</v>
      </c>
      <c r="I941" s="7">
        <v>8</v>
      </c>
      <c r="J941" s="7">
        <v>800</v>
      </c>
      <c r="K941" s="7">
        <v>600</v>
      </c>
      <c r="L941" s="7">
        <v>150</v>
      </c>
      <c r="M941" s="7">
        <v>30</v>
      </c>
      <c r="N941" s="7">
        <v>60</v>
      </c>
      <c r="O941" s="7">
        <v>225</v>
      </c>
      <c r="P941" s="7">
        <v>300</v>
      </c>
    </row>
    <row r="942" spans="1:16" s="10" customFormat="1">
      <c r="A942" s="7">
        <f>IF(B942="","",SUBTOTAL(103,$B$2:B942))</f>
        <v>941</v>
      </c>
      <c r="B942" s="8" t="s">
        <v>666</v>
      </c>
      <c r="C942" s="7" t="s">
        <v>2657</v>
      </c>
      <c r="D942" s="9" t="s">
        <v>2661</v>
      </c>
      <c r="E942" s="7" t="s">
        <v>2659</v>
      </c>
      <c r="F942" s="7" t="s">
        <v>596</v>
      </c>
      <c r="G942" s="7" t="s">
        <v>2662</v>
      </c>
      <c r="H942" s="7">
        <v>0.47</v>
      </c>
      <c r="I942" s="7">
        <v>8</v>
      </c>
      <c r="J942" s="7">
        <v>800</v>
      </c>
      <c r="K942" s="7">
        <v>600</v>
      </c>
      <c r="L942" s="7">
        <v>150</v>
      </c>
      <c r="M942" s="7">
        <v>30</v>
      </c>
      <c r="N942" s="7">
        <v>60</v>
      </c>
      <c r="O942" s="7">
        <v>225</v>
      </c>
      <c r="P942" s="7">
        <v>300</v>
      </c>
    </row>
    <row r="943" spans="1:16" s="10" customFormat="1">
      <c r="A943" s="7">
        <f>IF(B943="","",SUBTOTAL(103,$B$2:B943))</f>
        <v>942</v>
      </c>
      <c r="B943" s="8" t="s">
        <v>666</v>
      </c>
      <c r="C943" s="7" t="s">
        <v>2657</v>
      </c>
      <c r="D943" s="9" t="s">
        <v>2663</v>
      </c>
      <c r="E943" s="7" t="s">
        <v>2664</v>
      </c>
      <c r="F943" s="7" t="s">
        <v>598</v>
      </c>
      <c r="G943" s="7" t="str">
        <f>E943&amp;F943</f>
        <v>KI KV-080-RD 阀盖毛坯NPS1 CL800 ASTM A995-CD3MN</v>
      </c>
      <c r="H943" s="7">
        <v>0.47</v>
      </c>
      <c r="I943" s="7">
        <v>12</v>
      </c>
      <c r="J943" s="7">
        <v>800</v>
      </c>
      <c r="K943" s="7">
        <v>600</v>
      </c>
      <c r="L943" s="7">
        <v>150</v>
      </c>
      <c r="M943" s="7">
        <v>30</v>
      </c>
      <c r="N943" s="7">
        <v>60</v>
      </c>
      <c r="O943" s="7">
        <v>225</v>
      </c>
      <c r="P943" s="7">
        <v>300</v>
      </c>
    </row>
    <row r="944" spans="1:16" s="10" customFormat="1">
      <c r="A944" s="7">
        <f>IF(B944="","",SUBTOTAL(103,$B$2:B944))</f>
        <v>943</v>
      </c>
      <c r="B944" s="8" t="s">
        <v>666</v>
      </c>
      <c r="C944" s="7" t="s">
        <v>2657</v>
      </c>
      <c r="D944" s="9" t="s">
        <v>2665</v>
      </c>
      <c r="E944" s="7" t="s">
        <v>2664</v>
      </c>
      <c r="F944" s="7" t="s">
        <v>2666</v>
      </c>
      <c r="G944" s="7" t="str">
        <f>E944&amp;F944</f>
        <v>KI KV-080-RD 阀盖毛坯NPS1 CL800 ASTM A351-CN7M</v>
      </c>
      <c r="H944" s="7">
        <v>0.61399999999999999</v>
      </c>
      <c r="I944" s="7">
        <v>12</v>
      </c>
      <c r="J944" s="7">
        <v>800</v>
      </c>
      <c r="K944" s="7">
        <v>600</v>
      </c>
      <c r="L944" s="7">
        <v>150</v>
      </c>
      <c r="M944" s="7">
        <v>30</v>
      </c>
      <c r="N944" s="7">
        <v>60</v>
      </c>
      <c r="O944" s="7">
        <v>225</v>
      </c>
      <c r="P944" s="7">
        <v>300</v>
      </c>
    </row>
    <row r="945" spans="1:16" s="10" customFormat="1">
      <c r="A945" s="7">
        <f>IF(B945="","",SUBTOTAL(103,$B$2:B945))</f>
        <v>944</v>
      </c>
      <c r="B945" s="8" t="s">
        <v>666</v>
      </c>
      <c r="C945" s="7" t="s">
        <v>2657</v>
      </c>
      <c r="D945" s="9" t="s">
        <v>2667</v>
      </c>
      <c r="E945" s="7" t="s">
        <v>2659</v>
      </c>
      <c r="F945" s="7" t="s">
        <v>581</v>
      </c>
      <c r="G945" s="7" t="s">
        <v>2668</v>
      </c>
      <c r="H945" s="7">
        <v>0.47</v>
      </c>
      <c r="I945" s="7">
        <v>8</v>
      </c>
      <c r="J945" s="7">
        <v>800</v>
      </c>
      <c r="K945" s="7">
        <v>600</v>
      </c>
      <c r="L945" s="7">
        <v>150</v>
      </c>
      <c r="M945" s="7">
        <v>30</v>
      </c>
      <c r="N945" s="7">
        <v>60</v>
      </c>
      <c r="O945" s="7">
        <v>225</v>
      </c>
      <c r="P945" s="7">
        <v>300</v>
      </c>
    </row>
    <row r="946" spans="1:16" s="10" customFormat="1">
      <c r="A946" s="7">
        <f>IF(B946="","",SUBTOTAL(103,$B$2:B946))</f>
        <v>945</v>
      </c>
      <c r="B946" s="8" t="s">
        <v>666</v>
      </c>
      <c r="C946" s="7" t="s">
        <v>2669</v>
      </c>
      <c r="D946" s="9" t="s">
        <v>2670</v>
      </c>
      <c r="E946" s="7" t="s">
        <v>2659</v>
      </c>
      <c r="F946" s="7" t="s">
        <v>606</v>
      </c>
      <c r="G946" s="7" t="s">
        <v>2671</v>
      </c>
      <c r="H946" s="7">
        <v>0.21</v>
      </c>
      <c r="I946" s="7">
        <v>20</v>
      </c>
      <c r="J946" s="7">
        <v>800</v>
      </c>
      <c r="K946" s="7">
        <v>600</v>
      </c>
      <c r="L946" s="7">
        <v>150</v>
      </c>
      <c r="M946" s="7">
        <v>30</v>
      </c>
      <c r="N946" s="7">
        <v>60</v>
      </c>
      <c r="O946" s="7">
        <v>95</v>
      </c>
      <c r="P946" s="7">
        <v>264</v>
      </c>
    </row>
    <row r="947" spans="1:16" s="10" customFormat="1">
      <c r="A947" s="7">
        <f>IF(B947="","",SUBTOTAL(103,$B$2:B947))</f>
        <v>946</v>
      </c>
      <c r="B947" s="8" t="s">
        <v>666</v>
      </c>
      <c r="C947" s="7" t="s">
        <v>2669</v>
      </c>
      <c r="D947" s="9" t="s">
        <v>2672</v>
      </c>
      <c r="E947" s="7" t="s">
        <v>2664</v>
      </c>
      <c r="F947" s="7" t="s">
        <v>608</v>
      </c>
      <c r="G947" s="7" t="str">
        <f>E947&amp;F947</f>
        <v>KI KV-080-RD 阀盖毛坯NPS1/2 CL800 ASTM A216-WCB</v>
      </c>
      <c r="H947" s="7">
        <v>0.126</v>
      </c>
      <c r="I947" s="7">
        <v>12</v>
      </c>
      <c r="J947" s="7">
        <v>800</v>
      </c>
      <c r="K947" s="7">
        <v>600</v>
      </c>
      <c r="L947" s="7">
        <v>150</v>
      </c>
      <c r="M947" s="7">
        <v>30</v>
      </c>
      <c r="N947" s="7">
        <v>60</v>
      </c>
      <c r="O947" s="7">
        <v>95</v>
      </c>
      <c r="P947" s="7">
        <v>264</v>
      </c>
    </row>
    <row r="948" spans="1:16" s="10" customFormat="1">
      <c r="A948" s="7">
        <f>IF(B948="","",SUBTOTAL(103,$B$2:B948))</f>
        <v>947</v>
      </c>
      <c r="B948" s="8" t="s">
        <v>666</v>
      </c>
      <c r="C948" s="7" t="s">
        <v>2669</v>
      </c>
      <c r="D948" s="9" t="s">
        <v>2673</v>
      </c>
      <c r="E948" s="7" t="s">
        <v>2659</v>
      </c>
      <c r="F948" s="7" t="s">
        <v>610</v>
      </c>
      <c r="G948" s="7" t="s">
        <v>2674</v>
      </c>
      <c r="H948" s="7">
        <v>0.21</v>
      </c>
      <c r="I948" s="7">
        <v>20</v>
      </c>
      <c r="J948" s="7">
        <v>800</v>
      </c>
      <c r="K948" s="7">
        <v>600</v>
      </c>
      <c r="L948" s="7">
        <v>150</v>
      </c>
      <c r="M948" s="7">
        <v>30</v>
      </c>
      <c r="N948" s="7">
        <v>60</v>
      </c>
      <c r="O948" s="7">
        <v>95</v>
      </c>
      <c r="P948" s="7">
        <v>264</v>
      </c>
    </row>
    <row r="949" spans="1:16" s="10" customFormat="1">
      <c r="A949" s="7">
        <f>IF(B949="","",SUBTOTAL(103,$B$2:B949))</f>
        <v>948</v>
      </c>
      <c r="B949" s="8" t="s">
        <v>666</v>
      </c>
      <c r="C949" s="7" t="s">
        <v>2669</v>
      </c>
      <c r="D949" s="9" t="s">
        <v>2675</v>
      </c>
      <c r="E949" s="7" t="s">
        <v>2664</v>
      </c>
      <c r="F949" s="7" t="s">
        <v>2676</v>
      </c>
      <c r="G949" s="7" t="str">
        <f>E949&amp;F949</f>
        <v>KI KV-080-RD 阀盖毛坯NPS1/2 CL800 ASTM A351-CN7M</v>
      </c>
      <c r="H949" s="7">
        <v>0.126</v>
      </c>
      <c r="I949" s="7">
        <v>20</v>
      </c>
      <c r="J949" s="7">
        <v>800</v>
      </c>
      <c r="K949" s="7">
        <v>600</v>
      </c>
      <c r="L949" s="7">
        <v>150</v>
      </c>
      <c r="M949" s="7">
        <v>30</v>
      </c>
      <c r="N949" s="7">
        <v>60</v>
      </c>
      <c r="O949" s="7">
        <v>95</v>
      </c>
      <c r="P949" s="7">
        <v>264</v>
      </c>
    </row>
    <row r="950" spans="1:16" s="10" customFormat="1">
      <c r="A950" s="7">
        <f>IF(B950="","",SUBTOTAL(103,$B$2:B950))</f>
        <v>949</v>
      </c>
      <c r="B950" s="8" t="s">
        <v>666</v>
      </c>
      <c r="C950" s="7" t="s">
        <v>2669</v>
      </c>
      <c r="D950" s="9" t="s">
        <v>2677</v>
      </c>
      <c r="E950" s="7" t="s">
        <v>2659</v>
      </c>
      <c r="F950" s="7" t="s">
        <v>617</v>
      </c>
      <c r="G950" s="7" t="s">
        <v>2678</v>
      </c>
      <c r="H950" s="7">
        <v>0.21</v>
      </c>
      <c r="I950" s="7">
        <v>20</v>
      </c>
      <c r="J950" s="7">
        <v>800</v>
      </c>
      <c r="K950" s="7">
        <v>600</v>
      </c>
      <c r="L950" s="7">
        <v>150</v>
      </c>
      <c r="M950" s="7">
        <v>30</v>
      </c>
      <c r="N950" s="7">
        <v>60</v>
      </c>
      <c r="O950" s="7">
        <v>95</v>
      </c>
      <c r="P950" s="7">
        <v>264</v>
      </c>
    </row>
    <row r="951" spans="1:16" s="10" customFormat="1">
      <c r="A951" s="7">
        <f>IF(B951="","",SUBTOTAL(103,$B$2:B951))</f>
        <v>950</v>
      </c>
      <c r="B951" s="8" t="s">
        <v>666</v>
      </c>
      <c r="C951" s="7" t="s">
        <v>2669</v>
      </c>
      <c r="D951" s="9" t="s">
        <v>2679</v>
      </c>
      <c r="E951" s="7" t="s">
        <v>2664</v>
      </c>
      <c r="F951" s="7" t="s">
        <v>619</v>
      </c>
      <c r="G951" s="7" t="str">
        <f>E951&amp;F951</f>
        <v>KI KV-080-RD 阀盖毛坯NPS1/2 CL800 ASTM A995-CD3MN</v>
      </c>
      <c r="H951" s="7">
        <v>0.126</v>
      </c>
      <c r="I951" s="7">
        <v>12</v>
      </c>
      <c r="J951" s="7">
        <v>800</v>
      </c>
      <c r="K951" s="7">
        <v>600</v>
      </c>
      <c r="L951" s="7">
        <v>150</v>
      </c>
      <c r="M951" s="7">
        <v>30</v>
      </c>
      <c r="N951" s="7">
        <v>60</v>
      </c>
      <c r="O951" s="7">
        <v>95</v>
      </c>
      <c r="P951" s="7">
        <v>264</v>
      </c>
    </row>
    <row r="952" spans="1:16" s="10" customFormat="1">
      <c r="A952" s="7">
        <f>IF(B952="","",SUBTOTAL(103,$B$2:B952))</f>
        <v>951</v>
      </c>
      <c r="B952" s="8" t="s">
        <v>666</v>
      </c>
      <c r="C952" s="7" t="s">
        <v>2680</v>
      </c>
      <c r="D952" s="9" t="s">
        <v>2681</v>
      </c>
      <c r="E952" s="7" t="s">
        <v>2659</v>
      </c>
      <c r="F952" s="7" t="s">
        <v>2682</v>
      </c>
      <c r="G952" s="7" t="s">
        <v>2683</v>
      </c>
      <c r="H952" s="7">
        <v>0.85</v>
      </c>
      <c r="I952" s="7">
        <v>6</v>
      </c>
      <c r="J952" s="7">
        <v>800</v>
      </c>
      <c r="K952" s="7">
        <v>600</v>
      </c>
      <c r="L952" s="7">
        <v>150</v>
      </c>
      <c r="M952" s="7">
        <v>30</v>
      </c>
      <c r="N952" s="7">
        <v>60</v>
      </c>
      <c r="O952" s="7">
        <v>310</v>
      </c>
      <c r="P952" s="7">
        <v>420</v>
      </c>
    </row>
    <row r="953" spans="1:16" s="10" customFormat="1">
      <c r="A953" s="7">
        <f>IF(B953="","",SUBTOTAL(103,$B$2:B953))</f>
        <v>952</v>
      </c>
      <c r="B953" s="8" t="s">
        <v>666</v>
      </c>
      <c r="C953" s="7" t="s">
        <v>2657</v>
      </c>
      <c r="D953" s="9" t="s">
        <v>2684</v>
      </c>
      <c r="E953" s="7" t="s">
        <v>2659</v>
      </c>
      <c r="F953" s="7" t="s">
        <v>2685</v>
      </c>
      <c r="G953" s="7" t="s">
        <v>2686</v>
      </c>
      <c r="H953" s="7">
        <v>0.85</v>
      </c>
      <c r="I953" s="7">
        <v>6</v>
      </c>
      <c r="J953" s="7">
        <v>800</v>
      </c>
      <c r="K953" s="7">
        <v>600</v>
      </c>
      <c r="L953" s="7">
        <v>150</v>
      </c>
      <c r="M953" s="7">
        <v>30</v>
      </c>
      <c r="N953" s="7">
        <v>60</v>
      </c>
      <c r="O953" s="7">
        <v>310</v>
      </c>
      <c r="P953" s="7">
        <v>420</v>
      </c>
    </row>
    <row r="954" spans="1:16" s="10" customFormat="1">
      <c r="A954" s="7">
        <f>IF(B954="","",SUBTOTAL(103,$B$2:B954))</f>
        <v>953</v>
      </c>
      <c r="B954" s="8" t="s">
        <v>666</v>
      </c>
      <c r="C954" s="7" t="s">
        <v>2680</v>
      </c>
      <c r="D954" s="9" t="s">
        <v>2687</v>
      </c>
      <c r="E954" s="7" t="s">
        <v>2659</v>
      </c>
      <c r="F954" s="7" t="s">
        <v>2688</v>
      </c>
      <c r="G954" s="7" t="s">
        <v>2689</v>
      </c>
      <c r="H954" s="7">
        <v>0.85</v>
      </c>
      <c r="I954" s="7">
        <v>6</v>
      </c>
      <c r="J954" s="7">
        <v>800</v>
      </c>
      <c r="K954" s="7">
        <v>600</v>
      </c>
      <c r="L954" s="7">
        <v>150</v>
      </c>
      <c r="M954" s="7">
        <v>30</v>
      </c>
      <c r="N954" s="7">
        <v>60</v>
      </c>
      <c r="O954" s="7">
        <v>310</v>
      </c>
      <c r="P954" s="7">
        <v>420</v>
      </c>
    </row>
    <row r="955" spans="1:16" s="10" customFormat="1">
      <c r="A955" s="7">
        <f>IF(B955="","",SUBTOTAL(103,$B$2:B955))</f>
        <v>954</v>
      </c>
      <c r="B955" s="8" t="s">
        <v>666</v>
      </c>
      <c r="C955" s="7" t="s">
        <v>2690</v>
      </c>
      <c r="D955" s="9" t="s">
        <v>2691</v>
      </c>
      <c r="E955" s="7" t="s">
        <v>2659</v>
      </c>
      <c r="F955" s="7" t="s">
        <v>566</v>
      </c>
      <c r="G955" s="7" t="s">
        <v>2692</v>
      </c>
      <c r="H955" s="7">
        <v>1.49</v>
      </c>
      <c r="I955" s="7">
        <v>6</v>
      </c>
      <c r="J955" s="7">
        <v>800</v>
      </c>
      <c r="K955" s="7">
        <v>600</v>
      </c>
      <c r="L955" s="7">
        <v>150</v>
      </c>
      <c r="M955" s="7">
        <v>30</v>
      </c>
      <c r="N955" s="7">
        <v>60</v>
      </c>
      <c r="O955" s="7">
        <v>310</v>
      </c>
      <c r="P955" s="7">
        <v>420</v>
      </c>
    </row>
    <row r="956" spans="1:16" s="10" customFormat="1">
      <c r="A956" s="7">
        <f>IF(B956="","",SUBTOTAL(103,$B$2:B956))</f>
        <v>955</v>
      </c>
      <c r="B956" s="8" t="s">
        <v>666</v>
      </c>
      <c r="C956" s="7" t="s">
        <v>2690</v>
      </c>
      <c r="D956" s="9" t="s">
        <v>2693</v>
      </c>
      <c r="E956" s="7" t="s">
        <v>2659</v>
      </c>
      <c r="F956" s="7" t="s">
        <v>2694</v>
      </c>
      <c r="G956" s="7" t="s">
        <v>2695</v>
      </c>
      <c r="H956" s="7">
        <v>1.49</v>
      </c>
      <c r="I956" s="7">
        <v>6</v>
      </c>
      <c r="J956" s="7">
        <v>800</v>
      </c>
      <c r="K956" s="7">
        <v>600</v>
      </c>
      <c r="L956" s="7">
        <v>150</v>
      </c>
      <c r="M956" s="7">
        <v>30</v>
      </c>
      <c r="N956" s="7">
        <v>60</v>
      </c>
      <c r="O956" s="7">
        <v>310</v>
      </c>
      <c r="P956" s="7">
        <v>420</v>
      </c>
    </row>
    <row r="957" spans="1:16" s="10" customFormat="1">
      <c r="A957" s="7">
        <f>IF(B957="","",SUBTOTAL(103,$B$2:B957))</f>
        <v>956</v>
      </c>
      <c r="B957" s="8" t="s">
        <v>666</v>
      </c>
      <c r="C957" s="7" t="s">
        <v>2690</v>
      </c>
      <c r="D957" s="9" t="s">
        <v>2696</v>
      </c>
      <c r="E957" s="7" t="s">
        <v>2659</v>
      </c>
      <c r="F957" s="7" t="s">
        <v>2697</v>
      </c>
      <c r="G957" s="7" t="s">
        <v>2698</v>
      </c>
      <c r="H957" s="7">
        <v>1.4890000000000001</v>
      </c>
      <c r="I957" s="7">
        <v>6</v>
      </c>
      <c r="J957" s="7">
        <v>800</v>
      </c>
      <c r="K957" s="7">
        <v>600</v>
      </c>
      <c r="L957" s="7">
        <v>150</v>
      </c>
      <c r="M957" s="7">
        <v>30</v>
      </c>
      <c r="N957" s="7">
        <v>60</v>
      </c>
      <c r="O957" s="7">
        <v>310</v>
      </c>
      <c r="P957" s="7">
        <v>420</v>
      </c>
    </row>
    <row r="958" spans="1:16" s="10" customFormat="1">
      <c r="A958" s="7">
        <f>IF(B958="","",SUBTOTAL(103,$B$2:B958))</f>
        <v>957</v>
      </c>
      <c r="B958" s="8" t="s">
        <v>666</v>
      </c>
      <c r="C958" s="7" t="s">
        <v>2699</v>
      </c>
      <c r="D958" s="9" t="s">
        <v>2700</v>
      </c>
      <c r="E958" s="7" t="s">
        <v>2659</v>
      </c>
      <c r="F958" s="7" t="s">
        <v>652</v>
      </c>
      <c r="G958" s="7" t="s">
        <v>2701</v>
      </c>
      <c r="H958" s="7">
        <v>0.29899999999999999</v>
      </c>
      <c r="I958" s="7">
        <v>16</v>
      </c>
      <c r="J958" s="7">
        <v>800</v>
      </c>
      <c r="K958" s="7">
        <v>600</v>
      </c>
      <c r="L958" s="7">
        <v>150</v>
      </c>
      <c r="M958" s="7">
        <v>30</v>
      </c>
      <c r="N958" s="7">
        <v>60</v>
      </c>
      <c r="O958" s="7">
        <v>125</v>
      </c>
      <c r="P958" s="7">
        <v>276</v>
      </c>
    </row>
    <row r="959" spans="1:16" s="10" customFormat="1">
      <c r="A959" s="7">
        <f>IF(B959="","",SUBTOTAL(103,$B$2:B959))</f>
        <v>958</v>
      </c>
      <c r="B959" s="8" t="s">
        <v>666</v>
      </c>
      <c r="C959" s="7" t="s">
        <v>2699</v>
      </c>
      <c r="D959" s="9" t="s">
        <v>2702</v>
      </c>
      <c r="E959" s="7" t="s">
        <v>2664</v>
      </c>
      <c r="F959" s="7" t="s">
        <v>654</v>
      </c>
      <c r="G959" s="7" t="str">
        <f>E959&amp;F959</f>
        <v>KI KV-080-RD 阀盖毛坯NPS3/4 CL800 ASTM A216-WCB</v>
      </c>
      <c r="H959" s="7">
        <v>0.29899999999999999</v>
      </c>
      <c r="I959" s="7">
        <v>12</v>
      </c>
      <c r="J959" s="7">
        <v>800</v>
      </c>
      <c r="K959" s="7">
        <v>600</v>
      </c>
      <c r="L959" s="7">
        <v>150</v>
      </c>
      <c r="M959" s="7">
        <v>30</v>
      </c>
      <c r="N959" s="7">
        <v>60</v>
      </c>
      <c r="O959" s="7">
        <v>125</v>
      </c>
      <c r="P959" s="7">
        <v>276</v>
      </c>
    </row>
    <row r="960" spans="1:16" s="10" customFormat="1" ht="15" customHeight="1">
      <c r="A960" s="7">
        <f>IF(B960="","",SUBTOTAL(103,$B$2:B960))</f>
        <v>959</v>
      </c>
      <c r="B960" s="8" t="s">
        <v>666</v>
      </c>
      <c r="C960" s="7" t="s">
        <v>2699</v>
      </c>
      <c r="D960" s="9" t="s">
        <v>2703</v>
      </c>
      <c r="E960" s="7" t="s">
        <v>2659</v>
      </c>
      <c r="F960" s="7" t="s">
        <v>656</v>
      </c>
      <c r="G960" s="7" t="s">
        <v>2704</v>
      </c>
      <c r="H960" s="7">
        <v>0.3</v>
      </c>
      <c r="I960" s="7">
        <v>16</v>
      </c>
      <c r="J960" s="7">
        <v>800</v>
      </c>
      <c r="K960" s="7">
        <v>600</v>
      </c>
      <c r="L960" s="7">
        <v>150</v>
      </c>
      <c r="M960" s="7">
        <v>30</v>
      </c>
      <c r="N960" s="7">
        <v>60</v>
      </c>
      <c r="O960" s="7">
        <v>125</v>
      </c>
      <c r="P960" s="7">
        <v>276</v>
      </c>
    </row>
    <row r="961" spans="1:16" s="10" customFormat="1">
      <c r="A961" s="7">
        <f>IF(B961="","",SUBTOTAL(103,$B$2:B961))</f>
        <v>960</v>
      </c>
      <c r="B961" s="8" t="s">
        <v>666</v>
      </c>
      <c r="C961" s="7" t="s">
        <v>2699</v>
      </c>
      <c r="D961" s="9" t="s">
        <v>2705</v>
      </c>
      <c r="E961" s="7" t="s">
        <v>2664</v>
      </c>
      <c r="F961" s="7" t="s">
        <v>2706</v>
      </c>
      <c r="G961" s="7" t="str">
        <f>E961&amp;F961</f>
        <v>KI KV-080-RD 阀盖毛坯NPS3/4 CL800 ASTM A351-CN7M</v>
      </c>
      <c r="H961" s="7">
        <v>0.29899999999999999</v>
      </c>
      <c r="I961" s="7">
        <v>16</v>
      </c>
      <c r="J961" s="7">
        <v>800</v>
      </c>
      <c r="K961" s="7">
        <v>600</v>
      </c>
      <c r="L961" s="7">
        <v>150</v>
      </c>
      <c r="M961" s="7">
        <v>30</v>
      </c>
      <c r="N961" s="7">
        <v>60</v>
      </c>
      <c r="O961" s="7">
        <v>125</v>
      </c>
      <c r="P961" s="7">
        <v>276</v>
      </c>
    </row>
    <row r="962" spans="1:16" s="10" customFormat="1">
      <c r="A962" s="7">
        <f>IF(B962="","",SUBTOTAL(103,$B$2:B962))</f>
        <v>961</v>
      </c>
      <c r="B962" s="8" t="s">
        <v>666</v>
      </c>
      <c r="C962" s="7" t="s">
        <v>2699</v>
      </c>
      <c r="D962" s="9" t="s">
        <v>2707</v>
      </c>
      <c r="E962" s="7" t="s">
        <v>2659</v>
      </c>
      <c r="F962" s="7" t="s">
        <v>663</v>
      </c>
      <c r="G962" s="7" t="s">
        <v>2708</v>
      </c>
      <c r="H962" s="7">
        <v>0.29899999999999999</v>
      </c>
      <c r="I962" s="7">
        <v>16</v>
      </c>
      <c r="J962" s="7">
        <v>800</v>
      </c>
      <c r="K962" s="7">
        <v>600</v>
      </c>
      <c r="L962" s="7">
        <v>150</v>
      </c>
      <c r="M962" s="7">
        <v>30</v>
      </c>
      <c r="N962" s="7">
        <v>60</v>
      </c>
      <c r="O962" s="7">
        <v>125</v>
      </c>
      <c r="P962" s="7">
        <v>276</v>
      </c>
    </row>
    <row r="963" spans="1:16" s="10" customFormat="1">
      <c r="A963" s="7">
        <f>IF(B963="","",SUBTOTAL(103,$B$2:B963))</f>
        <v>962</v>
      </c>
      <c r="B963" s="8" t="s">
        <v>666</v>
      </c>
      <c r="C963" s="7" t="s">
        <v>2699</v>
      </c>
      <c r="D963" s="9" t="s">
        <v>2709</v>
      </c>
      <c r="E963" s="7" t="s">
        <v>2664</v>
      </c>
      <c r="F963" s="7" t="s">
        <v>665</v>
      </c>
      <c r="G963" s="7" t="str">
        <f>E963&amp;F963</f>
        <v>KI KV-080-RD 阀盖毛坯NPS3/4 CL800 ASTM A995-CD3MN</v>
      </c>
      <c r="H963" s="7">
        <v>0.29899999999999999</v>
      </c>
      <c r="I963" s="7">
        <v>12</v>
      </c>
      <c r="J963" s="7">
        <v>800</v>
      </c>
      <c r="K963" s="7">
        <v>600</v>
      </c>
      <c r="L963" s="7">
        <v>150</v>
      </c>
      <c r="M963" s="7">
        <v>30</v>
      </c>
      <c r="N963" s="7">
        <v>60</v>
      </c>
      <c r="O963" s="7">
        <v>125</v>
      </c>
      <c r="P963" s="7">
        <v>276</v>
      </c>
    </row>
    <row r="964" spans="1:16" s="10" customFormat="1">
      <c r="A964" s="7">
        <f>IF(B964="","",SUBTOTAL(103,$B$2:B964))</f>
        <v>963</v>
      </c>
      <c r="B964" s="8" t="s">
        <v>666</v>
      </c>
      <c r="C964" s="7" t="s">
        <v>2657</v>
      </c>
      <c r="D964" s="9" t="s">
        <v>2710</v>
      </c>
      <c r="E964" s="7" t="s">
        <v>668</v>
      </c>
      <c r="F964" s="7" t="s">
        <v>2711</v>
      </c>
      <c r="G964" s="7" t="s">
        <v>2712</v>
      </c>
      <c r="H964" s="7">
        <v>0.47</v>
      </c>
      <c r="I964" s="7">
        <v>8</v>
      </c>
      <c r="J964" s="7">
        <v>800</v>
      </c>
      <c r="K964" s="7">
        <v>600</v>
      </c>
      <c r="L964" s="7">
        <v>150</v>
      </c>
      <c r="M964" s="7">
        <v>30</v>
      </c>
      <c r="N964" s="7">
        <v>60</v>
      </c>
      <c r="O964" s="7">
        <v>225</v>
      </c>
      <c r="P964" s="7">
        <v>300</v>
      </c>
    </row>
    <row r="965" spans="1:16" s="10" customFormat="1">
      <c r="A965" s="7">
        <f>IF(B965="","",SUBTOTAL(103,$B$2:B965))</f>
        <v>964</v>
      </c>
      <c r="B965" s="8" t="s">
        <v>666</v>
      </c>
      <c r="C965" s="7" t="s">
        <v>2657</v>
      </c>
      <c r="D965" s="9" t="s">
        <v>2713</v>
      </c>
      <c r="E965" s="7" t="s">
        <v>2659</v>
      </c>
      <c r="F965" s="7" t="s">
        <v>591</v>
      </c>
      <c r="G965" s="7" t="str">
        <f>E965&amp;F965</f>
        <v>KI KV-080 阀盖毛坯 (NACE)NPS1 2000WOG ASTM A351-CF3M</v>
      </c>
      <c r="H965" s="7">
        <v>0.47</v>
      </c>
      <c r="I965" s="7">
        <v>8</v>
      </c>
      <c r="J965" s="7">
        <v>800</v>
      </c>
      <c r="K965" s="7">
        <v>600</v>
      </c>
      <c r="L965" s="7">
        <v>150</v>
      </c>
      <c r="M965" s="7">
        <v>30</v>
      </c>
      <c r="N965" s="7">
        <v>60</v>
      </c>
      <c r="O965" s="7">
        <v>225</v>
      </c>
      <c r="P965" s="7">
        <v>300</v>
      </c>
    </row>
    <row r="966" spans="1:16" s="10" customFormat="1">
      <c r="A966" s="7">
        <f>IF(B966="","",SUBTOTAL(103,$B$2:B966))</f>
        <v>965</v>
      </c>
      <c r="B966" s="8" t="s">
        <v>666</v>
      </c>
      <c r="C966" s="7" t="s">
        <v>2657</v>
      </c>
      <c r="D966" s="9" t="s">
        <v>2714</v>
      </c>
      <c r="E966" s="7" t="s">
        <v>668</v>
      </c>
      <c r="F966" s="7" t="s">
        <v>2655</v>
      </c>
      <c r="G966" s="7" t="s">
        <v>2715</v>
      </c>
      <c r="H966" s="7">
        <v>0.47</v>
      </c>
      <c r="I966" s="7">
        <v>8</v>
      </c>
      <c r="J966" s="7">
        <v>800</v>
      </c>
      <c r="K966" s="7">
        <v>600</v>
      </c>
      <c r="L966" s="7">
        <v>150</v>
      </c>
      <c r="M966" s="7">
        <v>30</v>
      </c>
      <c r="N966" s="7">
        <v>60</v>
      </c>
      <c r="O966" s="7">
        <v>225</v>
      </c>
      <c r="P966" s="7">
        <v>300</v>
      </c>
    </row>
    <row r="967" spans="1:16" s="10" customFormat="1">
      <c r="A967" s="7">
        <f>IF(B967="","",SUBTOTAL(103,$B$2:B967))</f>
        <v>966</v>
      </c>
      <c r="B967" s="8" t="s">
        <v>666</v>
      </c>
      <c r="C967" s="7" t="s">
        <v>2657</v>
      </c>
      <c r="D967" s="9" t="s">
        <v>2716</v>
      </c>
      <c r="E967" s="7" t="s">
        <v>2717</v>
      </c>
      <c r="F967" s="7" t="s">
        <v>593</v>
      </c>
      <c r="G967" s="7" t="s">
        <v>2718</v>
      </c>
      <c r="H967" s="7">
        <v>0.47</v>
      </c>
      <c r="I967" s="7">
        <v>12</v>
      </c>
      <c r="J967" s="7">
        <v>800</v>
      </c>
      <c r="K967" s="7">
        <v>600</v>
      </c>
      <c r="L967" s="7">
        <v>150</v>
      </c>
      <c r="M967" s="7">
        <v>30</v>
      </c>
      <c r="N967" s="7">
        <v>60</v>
      </c>
      <c r="O967" s="7">
        <v>225</v>
      </c>
      <c r="P967" s="7">
        <v>300</v>
      </c>
    </row>
    <row r="968" spans="1:16" s="10" customFormat="1">
      <c r="A968" s="7">
        <f>IF(B968="","",SUBTOTAL(103,$B$2:B968))</f>
        <v>967</v>
      </c>
      <c r="B968" s="8" t="s">
        <v>666</v>
      </c>
      <c r="C968" s="7" t="s">
        <v>2657</v>
      </c>
      <c r="D968" s="9" t="s">
        <v>2719</v>
      </c>
      <c r="E968" s="7" t="s">
        <v>2664</v>
      </c>
      <c r="F968" s="7" t="s">
        <v>593</v>
      </c>
      <c r="G968" s="7" t="str">
        <f>E968&amp;F968</f>
        <v>KI KV-080-RD 阀盖毛坯NPS1 CL800 ASTM A351-CF3M</v>
      </c>
      <c r="H968" s="7">
        <v>0.47</v>
      </c>
      <c r="I968" s="7">
        <v>12</v>
      </c>
      <c r="J968" s="7">
        <v>800</v>
      </c>
      <c r="K968" s="7">
        <v>600</v>
      </c>
      <c r="L968" s="7">
        <v>150</v>
      </c>
      <c r="M968" s="7">
        <v>30</v>
      </c>
      <c r="N968" s="7">
        <v>60</v>
      </c>
      <c r="O968" s="7">
        <v>225</v>
      </c>
      <c r="P968" s="7">
        <v>300</v>
      </c>
    </row>
    <row r="969" spans="1:16" s="10" customFormat="1">
      <c r="A969" s="7">
        <f>IF(B969="","",SUBTOTAL(103,$B$2:B969))</f>
        <v>968</v>
      </c>
      <c r="B969" s="8" t="s">
        <v>666</v>
      </c>
      <c r="C969" s="7" t="s">
        <v>2657</v>
      </c>
      <c r="D969" s="9" t="s">
        <v>2720</v>
      </c>
      <c r="E969" s="7" t="s">
        <v>2721</v>
      </c>
      <c r="F969" s="7" t="s">
        <v>593</v>
      </c>
      <c r="G969" s="7" t="str">
        <f>E969&amp;F969</f>
        <v>KI KV-C80 阀盖毛坯 (不需做深冷处理，借080-RD换字块，NACE)NPS1 CL800 ASTM A351-CF3M</v>
      </c>
      <c r="H969" s="7">
        <v>0.47</v>
      </c>
      <c r="I969" s="7">
        <v>12</v>
      </c>
      <c r="J969" s="7">
        <v>800</v>
      </c>
      <c r="K969" s="7">
        <v>600</v>
      </c>
      <c r="L969" s="7">
        <v>150</v>
      </c>
      <c r="M969" s="7">
        <v>30</v>
      </c>
      <c r="N969" s="7">
        <v>60</v>
      </c>
      <c r="O969" s="7">
        <v>225</v>
      </c>
      <c r="P969" s="7">
        <v>300</v>
      </c>
    </row>
    <row r="970" spans="1:16" s="10" customFormat="1">
      <c r="A970" s="7">
        <f>IF(B970="","",SUBTOTAL(103,$B$2:B970))</f>
        <v>969</v>
      </c>
      <c r="B970" s="8" t="s">
        <v>666</v>
      </c>
      <c r="C970" s="7" t="s">
        <v>2657</v>
      </c>
      <c r="D970" s="9" t="s">
        <v>2722</v>
      </c>
      <c r="E970" s="7" t="s">
        <v>2723</v>
      </c>
      <c r="F970" s="7" t="s">
        <v>593</v>
      </c>
      <c r="G970" s="7" t="str">
        <f>E970&amp;F970</f>
        <v>KI KV-C80-HP 阀盖毛坯 (不需做深冷处理，借080-RD添加（HP）字块，NACE)NPS1 CL800 ASTM A351-CF3M</v>
      </c>
      <c r="H970" s="7">
        <v>0.47</v>
      </c>
      <c r="I970" s="7">
        <v>12</v>
      </c>
      <c r="J970" s="7">
        <v>800</v>
      </c>
      <c r="K970" s="7">
        <v>600</v>
      </c>
      <c r="L970" s="7">
        <v>150</v>
      </c>
      <c r="M970" s="7">
        <v>30</v>
      </c>
      <c r="N970" s="7">
        <v>60</v>
      </c>
      <c r="O970" s="7">
        <v>225</v>
      </c>
      <c r="P970" s="7">
        <v>300</v>
      </c>
    </row>
    <row r="971" spans="1:16" s="10" customFormat="1">
      <c r="A971" s="7">
        <f>IF(B971="","",SUBTOTAL(103,$B$2:B971))</f>
        <v>970</v>
      </c>
      <c r="B971" s="8" t="s">
        <v>666</v>
      </c>
      <c r="C971" s="7" t="s">
        <v>2657</v>
      </c>
      <c r="D971" s="9" t="s">
        <v>2724</v>
      </c>
      <c r="E971" s="7" t="s">
        <v>2725</v>
      </c>
      <c r="F971" s="7" t="s">
        <v>2726</v>
      </c>
      <c r="G971" s="7" t="s">
        <v>2727</v>
      </c>
      <c r="H971" s="7">
        <v>0.26</v>
      </c>
      <c r="I971" s="7">
        <v>68</v>
      </c>
      <c r="J971" s="7">
        <v>800</v>
      </c>
      <c r="K971" s="7">
        <v>600</v>
      </c>
      <c r="L971" s="7">
        <v>150</v>
      </c>
      <c r="M971" s="7">
        <v>30</v>
      </c>
      <c r="N971" s="7">
        <v>60</v>
      </c>
      <c r="O971" s="7">
        <v>50</v>
      </c>
      <c r="P971" s="7">
        <v>300</v>
      </c>
    </row>
    <row r="972" spans="1:16" s="10" customFormat="1">
      <c r="A972" s="7">
        <f>IF(B972="","",SUBTOTAL(103,$B$2:B972))</f>
        <v>971</v>
      </c>
      <c r="B972" s="8" t="s">
        <v>666</v>
      </c>
      <c r="C972" s="7" t="s">
        <v>2657</v>
      </c>
      <c r="D972" s="9" t="s">
        <v>2728</v>
      </c>
      <c r="E972" s="7" t="s">
        <v>2729</v>
      </c>
      <c r="F972" s="7" t="s">
        <v>2726</v>
      </c>
      <c r="G972" s="7" t="str">
        <f>E972&amp;F972</f>
        <v>KI KV-080-RD 填料压盖毛坯NPS1 CL800 ASTM A351-CF8M</v>
      </c>
      <c r="H972" s="7">
        <v>5.2999999999999999E-2</v>
      </c>
      <c r="I972" s="7">
        <v>68</v>
      </c>
      <c r="J972" s="7">
        <v>800</v>
      </c>
      <c r="K972" s="7">
        <v>600</v>
      </c>
      <c r="L972" s="7">
        <v>150</v>
      </c>
      <c r="M972" s="7">
        <v>30</v>
      </c>
      <c r="N972" s="7">
        <v>60</v>
      </c>
      <c r="O972" s="7">
        <v>50</v>
      </c>
      <c r="P972" s="7">
        <v>300</v>
      </c>
    </row>
    <row r="973" spans="1:16" s="10" customFormat="1">
      <c r="A973" s="7">
        <f>IF(B973="","",SUBTOTAL(103,$B$2:B973))</f>
        <v>972</v>
      </c>
      <c r="B973" s="8" t="s">
        <v>666</v>
      </c>
      <c r="C973" s="7" t="s">
        <v>2657</v>
      </c>
      <c r="D973" s="9" t="s">
        <v>2730</v>
      </c>
      <c r="E973" s="7" t="s">
        <v>2729</v>
      </c>
      <c r="F973" s="7" t="s">
        <v>2666</v>
      </c>
      <c r="G973" s="7" t="str">
        <f>E973&amp;F973</f>
        <v>KI KV-080-RD 填料压盖毛坯NPS1 CL800 ASTM A351-CN7M</v>
      </c>
      <c r="H973" s="7">
        <v>5.2999999999999999E-2</v>
      </c>
      <c r="I973" s="7">
        <v>68</v>
      </c>
      <c r="J973" s="7">
        <v>800</v>
      </c>
      <c r="K973" s="7">
        <v>600</v>
      </c>
      <c r="L973" s="7">
        <v>150</v>
      </c>
      <c r="M973" s="7">
        <v>30</v>
      </c>
      <c r="N973" s="7">
        <v>60</v>
      </c>
      <c r="O973" s="7">
        <v>50</v>
      </c>
      <c r="P973" s="7">
        <v>300</v>
      </c>
    </row>
    <row r="974" spans="1:16" s="10" customFormat="1">
      <c r="A974" s="7">
        <f>IF(B974="","",SUBTOTAL(103,$B$2:B974))</f>
        <v>973</v>
      </c>
      <c r="B974" s="8" t="s">
        <v>666</v>
      </c>
      <c r="C974" s="7" t="s">
        <v>2657</v>
      </c>
      <c r="D974" s="9" t="s">
        <v>2731</v>
      </c>
      <c r="E974" s="7" t="s">
        <v>2732</v>
      </c>
      <c r="F974" s="7" t="s">
        <v>2726</v>
      </c>
      <c r="G974" s="7" t="str">
        <f>E974&amp;F974</f>
        <v>KI KV-C80 填料压盖毛坯NPS1 CL800 ASTM A351-CF8M</v>
      </c>
      <c r="H974" s="7">
        <v>5.2999999999999999E-2</v>
      </c>
      <c r="I974" s="7">
        <v>56</v>
      </c>
      <c r="J974" s="7">
        <v>800</v>
      </c>
      <c r="K974" s="7">
        <v>600</v>
      </c>
      <c r="L974" s="7">
        <v>150</v>
      </c>
      <c r="M974" s="7">
        <v>30</v>
      </c>
      <c r="N974" s="7">
        <v>60</v>
      </c>
      <c r="O974" s="7">
        <v>50</v>
      </c>
      <c r="P974" s="7">
        <v>300</v>
      </c>
    </row>
    <row r="975" spans="1:16" s="10" customFormat="1">
      <c r="A975" s="7">
        <f>IF(B975="","",SUBTOTAL(103,$B$2:B975))</f>
        <v>974</v>
      </c>
      <c r="B975" s="8" t="s">
        <v>666</v>
      </c>
      <c r="C975" s="7" t="s">
        <v>2657</v>
      </c>
      <c r="D975" s="9" t="s">
        <v>2733</v>
      </c>
      <c r="E975" s="7" t="s">
        <v>668</v>
      </c>
      <c r="F975" s="7" t="s">
        <v>581</v>
      </c>
      <c r="G975" s="7" t="s">
        <v>2734</v>
      </c>
      <c r="H975" s="7">
        <v>0.47</v>
      </c>
      <c r="I975" s="7">
        <v>8</v>
      </c>
      <c r="J975" s="7">
        <v>800</v>
      </c>
      <c r="K975" s="7">
        <v>600</v>
      </c>
      <c r="L975" s="7">
        <v>150</v>
      </c>
      <c r="M975" s="7">
        <v>30</v>
      </c>
      <c r="N975" s="7">
        <v>60</v>
      </c>
      <c r="O975" s="7">
        <v>225</v>
      </c>
      <c r="P975" s="7">
        <v>300</v>
      </c>
    </row>
    <row r="976" spans="1:16" s="10" customFormat="1">
      <c r="A976" s="7">
        <f>IF(B976="","",SUBTOTAL(103,$B$2:B976))</f>
        <v>975</v>
      </c>
      <c r="B976" s="8" t="s">
        <v>666</v>
      </c>
      <c r="C976" s="7" t="s">
        <v>2657</v>
      </c>
      <c r="D976" s="9" t="s">
        <v>2735</v>
      </c>
      <c r="E976" s="7" t="s">
        <v>2717</v>
      </c>
      <c r="F976" s="7" t="s">
        <v>587</v>
      </c>
      <c r="G976" s="7" t="s">
        <v>2736</v>
      </c>
      <c r="H976" s="7">
        <v>0.47</v>
      </c>
      <c r="I976" s="7">
        <v>12</v>
      </c>
      <c r="J976" s="7">
        <v>800</v>
      </c>
      <c r="K976" s="7">
        <v>600</v>
      </c>
      <c r="L976" s="7">
        <v>150</v>
      </c>
      <c r="M976" s="7">
        <v>30</v>
      </c>
      <c r="N976" s="7">
        <v>60</v>
      </c>
      <c r="O976" s="7">
        <v>50</v>
      </c>
      <c r="P976" s="7">
        <v>300</v>
      </c>
    </row>
    <row r="977" spans="1:16" s="10" customFormat="1">
      <c r="A977" s="7">
        <f>IF(B977="","",SUBTOTAL(103,$B$2:B977))</f>
        <v>976</v>
      </c>
      <c r="B977" s="8" t="s">
        <v>666</v>
      </c>
      <c r="C977" s="7" t="s">
        <v>2657</v>
      </c>
      <c r="D977" s="9" t="s">
        <v>2737</v>
      </c>
      <c r="E977" s="7" t="s">
        <v>2664</v>
      </c>
      <c r="F977" s="7" t="s">
        <v>587</v>
      </c>
      <c r="G977" s="7" t="str">
        <f>E977&amp;F977</f>
        <v>KI KV-080-RD 阀盖毛坯NPS1 CL800 ASTM A216-WCB</v>
      </c>
      <c r="H977" s="7">
        <v>0.47</v>
      </c>
      <c r="I977" s="7">
        <v>12</v>
      </c>
      <c r="J977" s="7">
        <v>800</v>
      </c>
      <c r="K977" s="7">
        <v>600</v>
      </c>
      <c r="L977" s="7">
        <v>150</v>
      </c>
      <c r="M977" s="7">
        <v>30</v>
      </c>
      <c r="N977" s="7">
        <v>60</v>
      </c>
      <c r="O977" s="7">
        <v>50</v>
      </c>
      <c r="P977" s="7">
        <v>300</v>
      </c>
    </row>
    <row r="978" spans="1:16" s="10" customFormat="1">
      <c r="A978" s="7">
        <f>IF(B978="","",SUBTOTAL(103,$B$2:B978))</f>
        <v>977</v>
      </c>
      <c r="B978" s="8" t="s">
        <v>666</v>
      </c>
      <c r="C978" s="7" t="s">
        <v>2669</v>
      </c>
      <c r="D978" s="9" t="s">
        <v>2738</v>
      </c>
      <c r="E978" s="7" t="s">
        <v>668</v>
      </c>
      <c r="F978" s="7" t="s">
        <v>2739</v>
      </c>
      <c r="G978" s="7" t="s">
        <v>2740</v>
      </c>
      <c r="H978" s="7">
        <v>0.21</v>
      </c>
      <c r="I978" s="7">
        <v>20</v>
      </c>
      <c r="J978" s="7">
        <v>800</v>
      </c>
      <c r="K978" s="7">
        <v>600</v>
      </c>
      <c r="L978" s="7">
        <v>150</v>
      </c>
      <c r="M978" s="7">
        <v>30</v>
      </c>
      <c r="N978" s="7">
        <v>60</v>
      </c>
      <c r="O978" s="7">
        <v>95</v>
      </c>
      <c r="P978" s="11">
        <v>420</v>
      </c>
    </row>
    <row r="979" spans="1:16" s="10" customFormat="1">
      <c r="A979" s="7">
        <f>IF(B979="","",SUBTOTAL(103,$B$2:B979))</f>
        <v>978</v>
      </c>
      <c r="B979" s="8" t="s">
        <v>666</v>
      </c>
      <c r="C979" s="7" t="s">
        <v>2669</v>
      </c>
      <c r="D979" s="9" t="s">
        <v>2741</v>
      </c>
      <c r="E979" s="7" t="s">
        <v>2659</v>
      </c>
      <c r="F979" s="7" t="s">
        <v>612</v>
      </c>
      <c r="G979" s="7" t="str">
        <f>E979&amp;F979</f>
        <v>KI KV-080 阀盖毛坯 (NACE)NPS1/2 2000WOG ASTM A351-CF3M</v>
      </c>
      <c r="H979" s="7">
        <v>0.21</v>
      </c>
      <c r="I979" s="7">
        <v>20</v>
      </c>
      <c r="J979" s="7">
        <v>800</v>
      </c>
      <c r="K979" s="7">
        <v>600</v>
      </c>
      <c r="L979" s="7">
        <v>150</v>
      </c>
      <c r="M979" s="7">
        <v>30</v>
      </c>
      <c r="N979" s="7">
        <v>60</v>
      </c>
      <c r="O979" s="7">
        <v>95</v>
      </c>
      <c r="P979" s="11">
        <v>420</v>
      </c>
    </row>
    <row r="980" spans="1:16" s="10" customFormat="1">
      <c r="A980" s="7">
        <f>IF(B980="","",SUBTOTAL(103,$B$2:B980))</f>
        <v>979</v>
      </c>
      <c r="B980" s="8" t="s">
        <v>666</v>
      </c>
      <c r="C980" s="7" t="s">
        <v>2669</v>
      </c>
      <c r="D980" s="9" t="s">
        <v>2742</v>
      </c>
      <c r="E980" s="7" t="s">
        <v>668</v>
      </c>
      <c r="F980" s="7" t="s">
        <v>151</v>
      </c>
      <c r="G980" s="7" t="s">
        <v>2743</v>
      </c>
      <c r="H980" s="7">
        <v>0.21</v>
      </c>
      <c r="I980" s="7">
        <v>20</v>
      </c>
      <c r="J980" s="7">
        <v>800</v>
      </c>
      <c r="K980" s="7">
        <v>600</v>
      </c>
      <c r="L980" s="7">
        <v>150</v>
      </c>
      <c r="M980" s="7">
        <v>30</v>
      </c>
      <c r="N980" s="7">
        <v>60</v>
      </c>
      <c r="O980" s="7">
        <v>95</v>
      </c>
      <c r="P980" s="7">
        <v>264</v>
      </c>
    </row>
    <row r="981" spans="1:16" s="10" customFormat="1">
      <c r="A981" s="7">
        <f>IF(B981="","",SUBTOTAL(103,$B$2:B981))</f>
        <v>980</v>
      </c>
      <c r="B981" s="8" t="s">
        <v>666</v>
      </c>
      <c r="C981" s="7" t="s">
        <v>2669</v>
      </c>
      <c r="D981" s="9" t="s">
        <v>2744</v>
      </c>
      <c r="E981" s="7" t="s">
        <v>2725</v>
      </c>
      <c r="F981" s="7" t="s">
        <v>2745</v>
      </c>
      <c r="G981" s="7" t="s">
        <v>2746</v>
      </c>
      <c r="H981" s="7">
        <v>0.06</v>
      </c>
      <c r="I981" s="7">
        <v>78</v>
      </c>
      <c r="J981" s="7">
        <v>800</v>
      </c>
      <c r="K981" s="7">
        <v>600</v>
      </c>
      <c r="L981" s="7">
        <v>150</v>
      </c>
      <c r="M981" s="7">
        <v>30</v>
      </c>
      <c r="N981" s="7">
        <v>60</v>
      </c>
      <c r="O981" s="7">
        <v>50</v>
      </c>
      <c r="P981" s="7">
        <v>264</v>
      </c>
    </row>
    <row r="982" spans="1:16" s="10" customFormat="1">
      <c r="A982" s="7">
        <f>IF(B982="","",SUBTOTAL(103,$B$2:B982))</f>
        <v>981</v>
      </c>
      <c r="B982" s="8" t="s">
        <v>666</v>
      </c>
      <c r="C982" s="7" t="s">
        <v>2669</v>
      </c>
      <c r="D982" s="9" t="s">
        <v>2747</v>
      </c>
      <c r="E982" s="7" t="s">
        <v>2729</v>
      </c>
      <c r="F982" s="7" t="s">
        <v>2745</v>
      </c>
      <c r="G982" s="7" t="str">
        <f>E982&amp;F982</f>
        <v>KI KV-080-RD 填料压盖毛坯NPS1/2 CL800 ASTM A351-CF8M</v>
      </c>
      <c r="H982" s="7">
        <v>2.8000000000000001E-2</v>
      </c>
      <c r="I982" s="7">
        <v>78</v>
      </c>
      <c r="J982" s="7">
        <v>800</v>
      </c>
      <c r="K982" s="7">
        <v>600</v>
      </c>
      <c r="L982" s="7">
        <v>150</v>
      </c>
      <c r="M982" s="7">
        <v>30</v>
      </c>
      <c r="N982" s="7">
        <v>60</v>
      </c>
      <c r="O982" s="7">
        <v>50</v>
      </c>
      <c r="P982" s="7">
        <v>264</v>
      </c>
    </row>
    <row r="983" spans="1:16" s="10" customFormat="1">
      <c r="A983" s="7">
        <f>IF(B983="","",SUBTOTAL(103,$B$2:B983))</f>
        <v>982</v>
      </c>
      <c r="B983" s="8" t="s">
        <v>666</v>
      </c>
      <c r="C983" s="7" t="s">
        <v>2669</v>
      </c>
      <c r="D983" s="9" t="s">
        <v>2748</v>
      </c>
      <c r="E983" s="7" t="s">
        <v>2729</v>
      </c>
      <c r="F983" s="7" t="s">
        <v>2676</v>
      </c>
      <c r="G983" s="7" t="str">
        <f>E983&amp;F983</f>
        <v>KI KV-080-RD 填料压盖毛坯NPS1/2 CL800 ASTM A351-CN7M</v>
      </c>
      <c r="H983" s="7">
        <v>2.8000000000000001E-2</v>
      </c>
      <c r="I983" s="7">
        <v>78</v>
      </c>
      <c r="J983" s="7">
        <v>800</v>
      </c>
      <c r="K983" s="7">
        <v>600</v>
      </c>
      <c r="L983" s="7">
        <v>150</v>
      </c>
      <c r="M983" s="7">
        <v>30</v>
      </c>
      <c r="N983" s="7">
        <v>60</v>
      </c>
      <c r="O983" s="7">
        <v>50</v>
      </c>
      <c r="P983" s="7">
        <v>264</v>
      </c>
    </row>
    <row r="984" spans="1:16" s="10" customFormat="1">
      <c r="A984" s="7">
        <f>IF(B984="","",SUBTOTAL(103,$B$2:B984))</f>
        <v>983</v>
      </c>
      <c r="B984" s="8" t="s">
        <v>666</v>
      </c>
      <c r="C984" s="7" t="s">
        <v>2669</v>
      </c>
      <c r="D984" s="9" t="s">
        <v>2749</v>
      </c>
      <c r="E984" s="7" t="s">
        <v>2717</v>
      </c>
      <c r="F984" s="7" t="s">
        <v>614</v>
      </c>
      <c r="G984" s="7" t="s">
        <v>2750</v>
      </c>
      <c r="H984" s="7">
        <v>0.126</v>
      </c>
      <c r="I984" s="7">
        <v>24</v>
      </c>
      <c r="J984" s="7">
        <v>800</v>
      </c>
      <c r="K984" s="7">
        <v>600</v>
      </c>
      <c r="L984" s="7">
        <v>150</v>
      </c>
      <c r="M984" s="7">
        <v>30</v>
      </c>
      <c r="N984" s="7">
        <v>60</v>
      </c>
      <c r="O984" s="7">
        <v>150</v>
      </c>
      <c r="P984" s="7">
        <v>600</v>
      </c>
    </row>
    <row r="985" spans="1:16" s="10" customFormat="1">
      <c r="A985" s="7">
        <f>IF(B985="","",SUBTOTAL(103,$B$2:B985))</f>
        <v>984</v>
      </c>
      <c r="B985" s="8" t="s">
        <v>666</v>
      </c>
      <c r="C985" s="7" t="s">
        <v>2669</v>
      </c>
      <c r="D985" s="9" t="s">
        <v>2751</v>
      </c>
      <c r="E985" s="7" t="s">
        <v>2664</v>
      </c>
      <c r="F985" s="7" t="s">
        <v>614</v>
      </c>
      <c r="G985" s="7" t="str">
        <f>E985&amp;F985</f>
        <v>KI KV-080-RD 阀盖毛坯NPS1/2 CL800 ASTM A351-CF3M</v>
      </c>
      <c r="H985" s="7">
        <v>0.126</v>
      </c>
      <c r="I985" s="7">
        <v>12</v>
      </c>
      <c r="J985" s="7">
        <v>800</v>
      </c>
      <c r="K985" s="7">
        <v>600</v>
      </c>
      <c r="L985" s="7">
        <v>150</v>
      </c>
      <c r="M985" s="7">
        <v>30</v>
      </c>
      <c r="N985" s="7">
        <v>60</v>
      </c>
      <c r="O985" s="7">
        <v>150</v>
      </c>
      <c r="P985" s="7">
        <v>600</v>
      </c>
    </row>
    <row r="986" spans="1:16" s="10" customFormat="1">
      <c r="A986" s="7">
        <f>IF(B986="","",SUBTOTAL(103,$B$2:B986))</f>
        <v>985</v>
      </c>
      <c r="B986" s="8" t="s">
        <v>666</v>
      </c>
      <c r="C986" s="7" t="s">
        <v>2669</v>
      </c>
      <c r="D986" s="9" t="s">
        <v>2752</v>
      </c>
      <c r="E986" s="7" t="s">
        <v>2723</v>
      </c>
      <c r="F986" s="7" t="s">
        <v>614</v>
      </c>
      <c r="G986" s="7" t="str">
        <f>E986&amp;F986</f>
        <v>KI KV-C80-HP 阀盖毛坯 (不需做深冷处理，借080-RD添加（HP）字块，NACE)NPS1/2 CL800 ASTM A351-CF3M</v>
      </c>
      <c r="H986" s="7">
        <v>0.126</v>
      </c>
      <c r="I986" s="7">
        <v>12</v>
      </c>
      <c r="J986" s="7">
        <v>800</v>
      </c>
      <c r="K986" s="7">
        <v>600</v>
      </c>
      <c r="L986" s="7">
        <v>150</v>
      </c>
      <c r="M986" s="7">
        <v>30</v>
      </c>
      <c r="N986" s="7">
        <v>60</v>
      </c>
      <c r="O986" s="7">
        <v>150</v>
      </c>
      <c r="P986" s="7">
        <v>600</v>
      </c>
    </row>
    <row r="987" spans="1:16" s="10" customFormat="1">
      <c r="A987" s="7">
        <f>IF(B987="","",SUBTOTAL(103,$B$2:B987))</f>
        <v>986</v>
      </c>
      <c r="B987" s="8" t="s">
        <v>666</v>
      </c>
      <c r="C987" s="7" t="s">
        <v>2669</v>
      </c>
      <c r="D987" s="9" t="s">
        <v>2753</v>
      </c>
      <c r="E987" s="7" t="s">
        <v>2721</v>
      </c>
      <c r="F987" s="7" t="s">
        <v>614</v>
      </c>
      <c r="G987" s="7" t="str">
        <f>E987&amp;F987</f>
        <v>KI KV-C80 阀盖毛坯 (不需做深冷处理，借080-RD换字块，NACE)NPS1/2 CL800 ASTM A351-CF3M</v>
      </c>
      <c r="H987" s="7">
        <v>0.126</v>
      </c>
      <c r="I987" s="7">
        <v>24</v>
      </c>
      <c r="J987" s="7">
        <v>800</v>
      </c>
      <c r="K987" s="7">
        <v>600</v>
      </c>
      <c r="L987" s="7">
        <v>150</v>
      </c>
      <c r="M987" s="7">
        <v>30</v>
      </c>
      <c r="N987" s="7">
        <v>60</v>
      </c>
      <c r="O987" s="7">
        <v>150</v>
      </c>
      <c r="P987" s="7">
        <v>600</v>
      </c>
    </row>
    <row r="988" spans="1:16" s="10" customFormat="1">
      <c r="A988" s="7">
        <f>IF(B988="","",SUBTOTAL(103,$B$2:B988))</f>
        <v>987</v>
      </c>
      <c r="B988" s="8" t="s">
        <v>666</v>
      </c>
      <c r="C988" s="7" t="s">
        <v>2669</v>
      </c>
      <c r="D988" s="9" t="s">
        <v>2754</v>
      </c>
      <c r="E988" s="7" t="s">
        <v>2717</v>
      </c>
      <c r="F988" s="7" t="s">
        <v>608</v>
      </c>
      <c r="G988" s="7" t="s">
        <v>2755</v>
      </c>
      <c r="H988" s="7">
        <v>0.126</v>
      </c>
      <c r="I988" s="7">
        <v>24</v>
      </c>
      <c r="J988" s="7">
        <v>800</v>
      </c>
      <c r="K988" s="7">
        <v>600</v>
      </c>
      <c r="L988" s="7">
        <v>150</v>
      </c>
      <c r="M988" s="7">
        <v>30</v>
      </c>
      <c r="N988" s="7">
        <v>60</v>
      </c>
      <c r="O988" s="7">
        <v>150</v>
      </c>
      <c r="P988" s="7">
        <v>600</v>
      </c>
    </row>
    <row r="989" spans="1:16" s="10" customFormat="1">
      <c r="A989" s="7">
        <f>IF(B989="","",SUBTOTAL(103,$B$2:B989))</f>
        <v>988</v>
      </c>
      <c r="B989" s="8" t="s">
        <v>666</v>
      </c>
      <c r="C989" s="7" t="s">
        <v>2669</v>
      </c>
      <c r="D989" s="9" t="s">
        <v>2756</v>
      </c>
      <c r="E989" s="7" t="s">
        <v>668</v>
      </c>
      <c r="F989" s="7" t="s">
        <v>2757</v>
      </c>
      <c r="G989" s="7" t="s">
        <v>2758</v>
      </c>
      <c r="H989" s="7">
        <v>0.21</v>
      </c>
      <c r="I989" s="7">
        <v>20</v>
      </c>
      <c r="J989" s="7">
        <v>800</v>
      </c>
      <c r="K989" s="7">
        <v>600</v>
      </c>
      <c r="L989" s="7">
        <v>150</v>
      </c>
      <c r="M989" s="7">
        <v>30</v>
      </c>
      <c r="N989" s="7">
        <v>60</v>
      </c>
      <c r="O989" s="7">
        <v>95</v>
      </c>
      <c r="P989" s="7">
        <v>264</v>
      </c>
    </row>
    <row r="990" spans="1:16" s="10" customFormat="1">
      <c r="A990" s="7">
        <f>IF(B990="","",SUBTOTAL(103,$B$2:B990))</f>
        <v>989</v>
      </c>
      <c r="B990" s="8" t="s">
        <v>666</v>
      </c>
      <c r="C990" s="7" t="s">
        <v>2759</v>
      </c>
      <c r="D990" s="9" t="s">
        <v>2760</v>
      </c>
      <c r="E990" s="7" t="s">
        <v>668</v>
      </c>
      <c r="F990" s="7" t="s">
        <v>2761</v>
      </c>
      <c r="G990" s="7" t="s">
        <v>2762</v>
      </c>
      <c r="H990" s="7">
        <v>0.151</v>
      </c>
      <c r="I990" s="7">
        <v>24</v>
      </c>
      <c r="J990" s="7">
        <v>800</v>
      </c>
      <c r="K990" s="7">
        <v>600</v>
      </c>
      <c r="L990" s="7">
        <v>150</v>
      </c>
      <c r="M990" s="7">
        <v>30</v>
      </c>
      <c r="N990" s="7">
        <v>60</v>
      </c>
      <c r="O990" s="7">
        <v>75</v>
      </c>
      <c r="P990" s="7">
        <v>198</v>
      </c>
    </row>
    <row r="991" spans="1:16" s="10" customFormat="1">
      <c r="A991" s="7">
        <f>IF(B991="","",SUBTOTAL(103,$B$2:B991))</f>
        <v>990</v>
      </c>
      <c r="B991" s="8" t="s">
        <v>666</v>
      </c>
      <c r="C991" s="7" t="s">
        <v>2759</v>
      </c>
      <c r="D991" s="9" t="s">
        <v>2763</v>
      </c>
      <c r="E991" s="7" t="s">
        <v>668</v>
      </c>
      <c r="F991" s="7" t="s">
        <v>56</v>
      </c>
      <c r="G991" s="7" t="str">
        <f>E991&amp;F991</f>
        <v>KI KV-080 阀盖毛坯NPS1/4 1000WOG CF8M</v>
      </c>
      <c r="H991" s="7">
        <v>0.151</v>
      </c>
      <c r="I991" s="7">
        <v>24</v>
      </c>
      <c r="J991" s="7">
        <v>800</v>
      </c>
      <c r="K991" s="7">
        <v>600</v>
      </c>
      <c r="L991" s="7">
        <v>150</v>
      </c>
      <c r="M991" s="7">
        <v>30</v>
      </c>
      <c r="N991" s="7">
        <v>60</v>
      </c>
      <c r="O991" s="7">
        <v>75</v>
      </c>
      <c r="P991" s="7">
        <v>198</v>
      </c>
    </row>
    <row r="992" spans="1:16" s="10" customFormat="1">
      <c r="A992" s="7">
        <f>IF(B992="","",SUBTOTAL(103,$B$2:B992))</f>
        <v>991</v>
      </c>
      <c r="B992" s="8" t="s">
        <v>666</v>
      </c>
      <c r="C992" s="7" t="s">
        <v>2680</v>
      </c>
      <c r="D992" s="9" t="s">
        <v>2764</v>
      </c>
      <c r="E992" s="7" t="s">
        <v>668</v>
      </c>
      <c r="F992" s="7" t="s">
        <v>2765</v>
      </c>
      <c r="G992" s="7" t="s">
        <v>2766</v>
      </c>
      <c r="H992" s="7">
        <v>0.85</v>
      </c>
      <c r="I992" s="7">
        <v>6</v>
      </c>
      <c r="J992" s="7">
        <v>800</v>
      </c>
      <c r="K992" s="7">
        <v>600</v>
      </c>
      <c r="L992" s="7">
        <v>150</v>
      </c>
      <c r="M992" s="7">
        <v>30</v>
      </c>
      <c r="N992" s="7">
        <v>60</v>
      </c>
      <c r="O992" s="7">
        <v>310</v>
      </c>
      <c r="P992" s="7">
        <v>420</v>
      </c>
    </row>
    <row r="993" spans="1:16" s="10" customFormat="1">
      <c r="A993" s="7">
        <f>IF(B993="","",SUBTOTAL(103,$B$2:B993))</f>
        <v>992</v>
      </c>
      <c r="B993" s="8" t="s">
        <v>666</v>
      </c>
      <c r="C993" s="7" t="s">
        <v>2680</v>
      </c>
      <c r="D993" s="9" t="s">
        <v>2767</v>
      </c>
      <c r="E993" s="7" t="s">
        <v>2659</v>
      </c>
      <c r="F993" s="7" t="s">
        <v>636</v>
      </c>
      <c r="G993" s="7" t="str">
        <f>E993&amp;F993</f>
        <v>KI KV-080 阀盖毛坯 (NACE)NPS11/2 1500WOG ASTM A351-CF3M</v>
      </c>
      <c r="H993" s="7">
        <v>0.85</v>
      </c>
      <c r="I993" s="7">
        <v>6</v>
      </c>
      <c r="J993" s="7">
        <v>800</v>
      </c>
      <c r="K993" s="7">
        <v>600</v>
      </c>
      <c r="L993" s="7">
        <v>150</v>
      </c>
      <c r="M993" s="7">
        <v>30</v>
      </c>
      <c r="N993" s="7">
        <v>60</v>
      </c>
      <c r="O993" s="7">
        <v>310</v>
      </c>
      <c r="P993" s="7">
        <v>420</v>
      </c>
    </row>
    <row r="994" spans="1:16" s="10" customFormat="1">
      <c r="A994" s="7">
        <f>IF(B994="","",SUBTOTAL(103,$B$2:B994))</f>
        <v>993</v>
      </c>
      <c r="B994" s="8" t="s">
        <v>666</v>
      </c>
      <c r="C994" s="7" t="s">
        <v>2680</v>
      </c>
      <c r="D994" s="9" t="s">
        <v>2768</v>
      </c>
      <c r="E994" s="7" t="s">
        <v>2664</v>
      </c>
      <c r="F994" s="7" t="s">
        <v>638</v>
      </c>
      <c r="G994" s="7" t="str">
        <f>E994&amp;F994</f>
        <v>KI KV-080-RD 阀盖毛坯NPS11/2 CL600 ASTM A351-CF3M</v>
      </c>
      <c r="H994" s="7">
        <v>0.85</v>
      </c>
      <c r="I994" s="7">
        <v>6</v>
      </c>
      <c r="J994" s="7">
        <v>800</v>
      </c>
      <c r="K994" s="7">
        <v>600</v>
      </c>
      <c r="L994" s="7">
        <v>150</v>
      </c>
      <c r="M994" s="7">
        <v>30</v>
      </c>
      <c r="N994" s="7">
        <v>60</v>
      </c>
      <c r="O994" s="7">
        <v>310</v>
      </c>
      <c r="P994" s="7">
        <v>420</v>
      </c>
    </row>
    <row r="995" spans="1:16" s="10" customFormat="1">
      <c r="A995" s="7">
        <f>IF(B995="","",SUBTOTAL(103,$B$2:B995))</f>
        <v>994</v>
      </c>
      <c r="B995" s="8" t="s">
        <v>666</v>
      </c>
      <c r="C995" s="7" t="s">
        <v>2680</v>
      </c>
      <c r="D995" s="9" t="s">
        <v>2769</v>
      </c>
      <c r="E995" s="7" t="s">
        <v>2717</v>
      </c>
      <c r="F995" s="7" t="s">
        <v>638</v>
      </c>
      <c r="G995" s="7" t="s">
        <v>2770</v>
      </c>
      <c r="H995" s="7">
        <v>0.85</v>
      </c>
      <c r="I995" s="7">
        <v>6</v>
      </c>
      <c r="J995" s="7">
        <v>800</v>
      </c>
      <c r="K995" s="7">
        <v>600</v>
      </c>
      <c r="L995" s="7">
        <v>150</v>
      </c>
      <c r="M995" s="7">
        <v>30</v>
      </c>
      <c r="N995" s="7">
        <v>60</v>
      </c>
      <c r="O995" s="7">
        <v>310</v>
      </c>
      <c r="P995" s="7">
        <v>420</v>
      </c>
    </row>
    <row r="996" spans="1:16" s="10" customFormat="1">
      <c r="A996" s="7">
        <f>IF(B996="","",SUBTOTAL(103,$B$2:B996))</f>
        <v>995</v>
      </c>
      <c r="B996" s="8" t="s">
        <v>666</v>
      </c>
      <c r="C996" s="7" t="s">
        <v>2680</v>
      </c>
      <c r="D996" s="9" t="s">
        <v>2771</v>
      </c>
      <c r="E996" s="7" t="s">
        <v>2721</v>
      </c>
      <c r="F996" s="7" t="s">
        <v>638</v>
      </c>
      <c r="G996" s="7" t="str">
        <f>E996&amp;F996</f>
        <v>KI KV-C80 阀盖毛坯 (不需做深冷处理，借080-RD换字块，NACE)NPS11/2 CL600 ASTM A351-CF3M</v>
      </c>
      <c r="H996" s="7">
        <v>0.98</v>
      </c>
      <c r="I996" s="7">
        <v>6</v>
      </c>
      <c r="J996" s="7">
        <v>800</v>
      </c>
      <c r="K996" s="7">
        <v>600</v>
      </c>
      <c r="L996" s="7">
        <v>150</v>
      </c>
      <c r="M996" s="7">
        <v>30</v>
      </c>
      <c r="N996" s="7">
        <v>60</v>
      </c>
      <c r="O996" s="7">
        <v>310</v>
      </c>
      <c r="P996" s="7">
        <v>420</v>
      </c>
    </row>
    <row r="997" spans="1:16" s="10" customFormat="1">
      <c r="A997" s="7">
        <f>IF(B997="","",SUBTOTAL(103,$B$2:B997))</f>
        <v>996</v>
      </c>
      <c r="B997" s="8" t="s">
        <v>666</v>
      </c>
      <c r="C997" s="7" t="s">
        <v>2680</v>
      </c>
      <c r="D997" s="9" t="s">
        <v>2772</v>
      </c>
      <c r="E997" s="7" t="s">
        <v>2723</v>
      </c>
      <c r="F997" s="7" t="s">
        <v>638</v>
      </c>
      <c r="G997" s="7" t="str">
        <f>E997&amp;F997</f>
        <v>KI KV-C80-HP 阀盖毛坯 (不需做深冷处理，借080-RD添加（HP）字块，NACE)NPS11/2 CL600 ASTM A351-CF3M</v>
      </c>
      <c r="H997" s="7">
        <v>0.85</v>
      </c>
      <c r="I997" s="7">
        <v>6</v>
      </c>
      <c r="J997" s="7">
        <v>800</v>
      </c>
      <c r="K997" s="7">
        <v>600</v>
      </c>
      <c r="L997" s="7">
        <v>150</v>
      </c>
      <c r="M997" s="7">
        <v>30</v>
      </c>
      <c r="N997" s="7">
        <v>60</v>
      </c>
      <c r="O997" s="7">
        <v>310</v>
      </c>
      <c r="P997" s="7">
        <v>420</v>
      </c>
    </row>
    <row r="998" spans="1:16" s="10" customFormat="1">
      <c r="A998" s="7">
        <f>IF(B998="","",SUBTOTAL(103,$B$2:B998))</f>
        <v>997</v>
      </c>
      <c r="B998" s="8" t="s">
        <v>666</v>
      </c>
      <c r="C998" s="7" t="s">
        <v>2680</v>
      </c>
      <c r="D998" s="9" t="s">
        <v>2773</v>
      </c>
      <c r="E998" s="7" t="s">
        <v>668</v>
      </c>
      <c r="F998" s="7" t="s">
        <v>2688</v>
      </c>
      <c r="G998" s="7" t="s">
        <v>2774</v>
      </c>
      <c r="H998" s="7">
        <v>0.85</v>
      </c>
      <c r="I998" s="7">
        <v>6</v>
      </c>
      <c r="J998" s="7">
        <v>800</v>
      </c>
      <c r="K998" s="7">
        <v>600</v>
      </c>
      <c r="L998" s="7">
        <v>150</v>
      </c>
      <c r="M998" s="7">
        <v>30</v>
      </c>
      <c r="N998" s="7">
        <v>60</v>
      </c>
      <c r="O998" s="7">
        <v>310</v>
      </c>
      <c r="P998" s="7">
        <v>420</v>
      </c>
    </row>
    <row r="999" spans="1:16" s="10" customFormat="1">
      <c r="A999" s="7">
        <f>IF(B999="","",SUBTOTAL(103,$B$2:B999))</f>
        <v>998</v>
      </c>
      <c r="B999" s="8" t="s">
        <v>666</v>
      </c>
      <c r="C999" s="7" t="s">
        <v>2680</v>
      </c>
      <c r="D999" s="9" t="s">
        <v>2775</v>
      </c>
      <c r="E999" s="7" t="s">
        <v>2725</v>
      </c>
      <c r="F999" s="7" t="s">
        <v>2776</v>
      </c>
      <c r="G999" s="7" t="s">
        <v>2777</v>
      </c>
      <c r="H999" s="7">
        <v>0.22</v>
      </c>
      <c r="I999" s="7">
        <v>36</v>
      </c>
      <c r="J999" s="7">
        <v>800</v>
      </c>
      <c r="K999" s="7">
        <v>600</v>
      </c>
      <c r="L999" s="7">
        <v>150</v>
      </c>
      <c r="M999" s="7">
        <v>30</v>
      </c>
      <c r="N999" s="7">
        <v>60</v>
      </c>
      <c r="O999" s="7">
        <v>100</v>
      </c>
      <c r="P999" s="7">
        <v>420</v>
      </c>
    </row>
    <row r="1000" spans="1:16" s="10" customFormat="1">
      <c r="A1000" s="7">
        <f>IF(B1000="","",SUBTOTAL(103,$B$2:B1000))</f>
        <v>999</v>
      </c>
      <c r="B1000" s="8" t="s">
        <v>666</v>
      </c>
      <c r="C1000" s="7" t="s">
        <v>2680</v>
      </c>
      <c r="D1000" s="9" t="s">
        <v>2778</v>
      </c>
      <c r="E1000" s="7" t="s">
        <v>2729</v>
      </c>
      <c r="F1000" s="7" t="s">
        <v>2776</v>
      </c>
      <c r="G1000" s="7" t="str">
        <f>E1000&amp;F1000</f>
        <v>KI KV-080-RD 填料压盖毛坯NPS11/2 CL600 ASTM A351-CF8M</v>
      </c>
      <c r="H1000" s="7">
        <v>9.7000000000000003E-2</v>
      </c>
      <c r="I1000" s="7">
        <v>36</v>
      </c>
      <c r="J1000" s="7">
        <v>800</v>
      </c>
      <c r="K1000" s="7">
        <v>600</v>
      </c>
      <c r="L1000" s="7">
        <v>150</v>
      </c>
      <c r="M1000" s="7">
        <v>30</v>
      </c>
      <c r="N1000" s="7">
        <v>60</v>
      </c>
      <c r="O1000" s="7">
        <v>100</v>
      </c>
      <c r="P1000" s="7">
        <v>420</v>
      </c>
    </row>
    <row r="1001" spans="1:16" s="10" customFormat="1">
      <c r="A1001" s="7">
        <f>IF(B1001="","",SUBTOTAL(103,$B$2:B1001))</f>
        <v>1000</v>
      </c>
      <c r="B1001" s="8" t="s">
        <v>666</v>
      </c>
      <c r="C1001" s="7" t="s">
        <v>2680</v>
      </c>
      <c r="D1001" s="9" t="s">
        <v>2779</v>
      </c>
      <c r="E1001" s="7" t="s">
        <v>2732</v>
      </c>
      <c r="F1001" s="7" t="s">
        <v>2776</v>
      </c>
      <c r="G1001" s="7" t="str">
        <f>E1001&amp;F1001</f>
        <v>KI KV-C80 填料压盖毛坯NPS11/2 CL600 ASTM A351-CF8M</v>
      </c>
      <c r="H1001" s="7">
        <v>0.21</v>
      </c>
      <c r="I1001" s="7">
        <v>56</v>
      </c>
      <c r="J1001" s="7">
        <v>800</v>
      </c>
      <c r="K1001" s="7">
        <v>600</v>
      </c>
      <c r="L1001" s="7">
        <v>150</v>
      </c>
      <c r="M1001" s="7">
        <v>30</v>
      </c>
      <c r="N1001" s="7">
        <v>60</v>
      </c>
      <c r="O1001" s="7">
        <v>100</v>
      </c>
      <c r="P1001" s="7">
        <v>420</v>
      </c>
    </row>
    <row r="1002" spans="1:16" s="10" customFormat="1">
      <c r="A1002" s="7">
        <f>IF(B1002="","",SUBTOTAL(103,$B$2:B1002))</f>
        <v>1001</v>
      </c>
      <c r="B1002" s="8" t="s">
        <v>666</v>
      </c>
      <c r="C1002" s="7" t="s">
        <v>2680</v>
      </c>
      <c r="D1002" s="9" t="s">
        <v>2780</v>
      </c>
      <c r="E1002" s="7" t="s">
        <v>2717</v>
      </c>
      <c r="F1002" s="7" t="s">
        <v>634</v>
      </c>
      <c r="G1002" s="7" t="s">
        <v>2781</v>
      </c>
      <c r="H1002" s="7">
        <v>0.85</v>
      </c>
      <c r="I1002" s="7">
        <v>6</v>
      </c>
      <c r="J1002" s="7">
        <v>800</v>
      </c>
      <c r="K1002" s="7">
        <v>600</v>
      </c>
      <c r="L1002" s="7">
        <v>150</v>
      </c>
      <c r="M1002" s="7">
        <v>30</v>
      </c>
      <c r="N1002" s="7">
        <v>60</v>
      </c>
      <c r="O1002" s="7">
        <v>100</v>
      </c>
      <c r="P1002" s="7">
        <v>420</v>
      </c>
    </row>
    <row r="1003" spans="1:16" s="10" customFormat="1">
      <c r="A1003" s="7">
        <f>IF(B1003="","",SUBTOTAL(103,$B$2:B1003))</f>
        <v>1002</v>
      </c>
      <c r="B1003" s="8" t="s">
        <v>666</v>
      </c>
      <c r="C1003" s="7" t="s">
        <v>2680</v>
      </c>
      <c r="D1003" s="9" t="s">
        <v>2782</v>
      </c>
      <c r="E1003" s="7" t="s">
        <v>2664</v>
      </c>
      <c r="F1003" s="7" t="s">
        <v>634</v>
      </c>
      <c r="G1003" s="7" t="s">
        <v>2781</v>
      </c>
      <c r="H1003" s="7">
        <v>0.85</v>
      </c>
      <c r="I1003" s="7">
        <v>6</v>
      </c>
      <c r="J1003" s="7">
        <v>800</v>
      </c>
      <c r="K1003" s="7">
        <v>600</v>
      </c>
      <c r="L1003" s="7">
        <v>150</v>
      </c>
      <c r="M1003" s="7">
        <v>30</v>
      </c>
      <c r="N1003" s="7">
        <v>60</v>
      </c>
      <c r="O1003" s="7">
        <v>100</v>
      </c>
      <c r="P1003" s="7">
        <v>420</v>
      </c>
    </row>
    <row r="1004" spans="1:16" s="10" customFormat="1">
      <c r="A1004" s="7">
        <f>IF(B1004="","",SUBTOTAL(103,$B$2:B1004))</f>
        <v>1003</v>
      </c>
      <c r="B1004" s="8" t="s">
        <v>666</v>
      </c>
      <c r="C1004" s="7" t="s">
        <v>2783</v>
      </c>
      <c r="D1004" s="9" t="s">
        <v>2784</v>
      </c>
      <c r="E1004" s="7" t="s">
        <v>668</v>
      </c>
      <c r="F1004" s="7" t="s">
        <v>2785</v>
      </c>
      <c r="G1004" s="7" t="s">
        <v>2786</v>
      </c>
      <c r="H1004" s="7">
        <v>0.66</v>
      </c>
      <c r="I1004" s="7">
        <v>8</v>
      </c>
      <c r="J1004" s="7">
        <v>800</v>
      </c>
      <c r="K1004" s="7">
        <v>600</v>
      </c>
      <c r="L1004" s="7">
        <v>150</v>
      </c>
      <c r="M1004" s="7">
        <v>30</v>
      </c>
      <c r="N1004" s="7">
        <v>60</v>
      </c>
      <c r="O1004" s="7">
        <v>225</v>
      </c>
      <c r="P1004" s="7">
        <v>300</v>
      </c>
    </row>
    <row r="1005" spans="1:16" s="10" customFormat="1">
      <c r="A1005" s="7">
        <f>IF(B1005="","",SUBTOTAL(103,$B$2:B1005))</f>
        <v>1004</v>
      </c>
      <c r="B1005" s="8" t="s">
        <v>666</v>
      </c>
      <c r="C1005" s="7" t="s">
        <v>2783</v>
      </c>
      <c r="D1005" s="9" t="s">
        <v>2787</v>
      </c>
      <c r="E1005" s="7" t="s">
        <v>668</v>
      </c>
      <c r="F1005" s="7" t="s">
        <v>644</v>
      </c>
      <c r="G1005" s="7" t="s">
        <v>2788</v>
      </c>
      <c r="H1005" s="7">
        <v>0.66</v>
      </c>
      <c r="I1005" s="7">
        <v>8</v>
      </c>
      <c r="J1005" s="7">
        <v>800</v>
      </c>
      <c r="K1005" s="7">
        <v>600</v>
      </c>
      <c r="L1005" s="7">
        <v>150</v>
      </c>
      <c r="M1005" s="7">
        <v>30</v>
      </c>
      <c r="N1005" s="7">
        <v>60</v>
      </c>
      <c r="O1005" s="7">
        <v>225</v>
      </c>
      <c r="P1005" s="7">
        <v>300</v>
      </c>
    </row>
    <row r="1006" spans="1:16" s="10" customFormat="1">
      <c r="A1006" s="7">
        <f>IF(B1006="","",SUBTOTAL(103,$B$2:B1006))</f>
        <v>1005</v>
      </c>
      <c r="B1006" s="8" t="s">
        <v>666</v>
      </c>
      <c r="C1006" s="7" t="s">
        <v>2690</v>
      </c>
      <c r="D1006" s="9" t="s">
        <v>2789</v>
      </c>
      <c r="E1006" s="7" t="s">
        <v>668</v>
      </c>
      <c r="F1006" s="7" t="s">
        <v>2790</v>
      </c>
      <c r="G1006" s="7" t="s">
        <v>2791</v>
      </c>
      <c r="H1006" s="7">
        <v>1.4890000000000001</v>
      </c>
      <c r="I1006" s="7">
        <v>6</v>
      </c>
      <c r="J1006" s="7">
        <v>800</v>
      </c>
      <c r="K1006" s="7">
        <v>600</v>
      </c>
      <c r="L1006" s="7">
        <v>150</v>
      </c>
      <c r="M1006" s="7">
        <v>30</v>
      </c>
      <c r="N1006" s="7">
        <v>60</v>
      </c>
      <c r="O1006" s="7">
        <v>310</v>
      </c>
      <c r="P1006" s="7">
        <v>420</v>
      </c>
    </row>
    <row r="1007" spans="1:16" s="10" customFormat="1">
      <c r="A1007" s="7">
        <f>IF(B1007="","",SUBTOTAL(103,$B$2:B1007))</f>
        <v>1006</v>
      </c>
      <c r="B1007" s="8" t="s">
        <v>666</v>
      </c>
      <c r="C1007" s="7" t="s">
        <v>2690</v>
      </c>
      <c r="D1007" s="9" t="s">
        <v>2792</v>
      </c>
      <c r="E1007" s="7" t="s">
        <v>2659</v>
      </c>
      <c r="F1007" s="7" t="s">
        <v>571</v>
      </c>
      <c r="G1007" s="7" t="str">
        <f>E1007&amp;F1007</f>
        <v>KI KV-080 阀盖毛坯 (NACE)NPS2 1500WOG ASTM A351-CF3M</v>
      </c>
      <c r="H1007" s="7">
        <v>1.4890000000000001</v>
      </c>
      <c r="I1007" s="7">
        <v>6</v>
      </c>
      <c r="J1007" s="7">
        <v>800</v>
      </c>
      <c r="K1007" s="7">
        <v>600</v>
      </c>
      <c r="L1007" s="7">
        <v>150</v>
      </c>
      <c r="M1007" s="7">
        <v>30</v>
      </c>
      <c r="N1007" s="7">
        <v>60</v>
      </c>
      <c r="O1007" s="7">
        <v>310</v>
      </c>
      <c r="P1007" s="7">
        <v>420</v>
      </c>
    </row>
    <row r="1008" spans="1:16" s="10" customFormat="1">
      <c r="A1008" s="7">
        <f>IF(B1008="","",SUBTOTAL(103,$B$2:B1008))</f>
        <v>1007</v>
      </c>
      <c r="B1008" s="8" t="s">
        <v>666</v>
      </c>
      <c r="C1008" s="7" t="s">
        <v>2690</v>
      </c>
      <c r="D1008" s="9" t="s">
        <v>2793</v>
      </c>
      <c r="E1008" s="7" t="s">
        <v>2664</v>
      </c>
      <c r="F1008" s="7" t="s">
        <v>573</v>
      </c>
      <c r="G1008" s="7" t="str">
        <f>E1008&amp;F1008</f>
        <v>KI KV-080-RD 阀盖毛坯NPS2 CL600 ASTM A351-CF3M</v>
      </c>
      <c r="H1008" s="7">
        <v>5.68</v>
      </c>
      <c r="I1008" s="7">
        <v>4</v>
      </c>
      <c r="J1008" s="7">
        <v>800</v>
      </c>
      <c r="K1008" s="7">
        <v>600</v>
      </c>
      <c r="L1008" s="7">
        <v>150</v>
      </c>
      <c r="M1008" s="7">
        <v>30</v>
      </c>
      <c r="N1008" s="7">
        <v>60</v>
      </c>
      <c r="O1008" s="7">
        <v>310</v>
      </c>
      <c r="P1008" s="7">
        <v>420</v>
      </c>
    </row>
    <row r="1009" spans="1:16" s="10" customFormat="1">
      <c r="A1009" s="7">
        <f>IF(B1009="","",SUBTOTAL(103,$B$2:B1009))</f>
        <v>1008</v>
      </c>
      <c r="B1009" s="8" t="s">
        <v>666</v>
      </c>
      <c r="C1009" s="7" t="s">
        <v>2690</v>
      </c>
      <c r="D1009" s="9" t="s">
        <v>2794</v>
      </c>
      <c r="E1009" s="7" t="s">
        <v>2717</v>
      </c>
      <c r="F1009" s="7" t="s">
        <v>573</v>
      </c>
      <c r="G1009" s="7" t="str">
        <f>E1009&amp;F1009</f>
        <v>KI KV-080-ND 阀盖毛坯NPS2 CL600 ASTM A351-CF3M</v>
      </c>
      <c r="H1009" s="7">
        <v>5.68</v>
      </c>
      <c r="I1009" s="7">
        <v>4</v>
      </c>
      <c r="J1009" s="7">
        <v>800</v>
      </c>
      <c r="K1009" s="7">
        <v>600</v>
      </c>
      <c r="L1009" s="7">
        <v>150</v>
      </c>
      <c r="M1009" s="7">
        <v>30</v>
      </c>
      <c r="N1009" s="7">
        <v>60</v>
      </c>
      <c r="O1009" s="7">
        <v>310</v>
      </c>
      <c r="P1009" s="7">
        <v>420</v>
      </c>
    </row>
    <row r="1010" spans="1:16" s="10" customFormat="1">
      <c r="A1010" s="7">
        <f>IF(B1010="","",SUBTOTAL(103,$B$2:B1010))</f>
        <v>1009</v>
      </c>
      <c r="B1010" s="8" t="s">
        <v>666</v>
      </c>
      <c r="C1010" s="7" t="s">
        <v>2690</v>
      </c>
      <c r="D1010" s="9" t="s">
        <v>2795</v>
      </c>
      <c r="E1010" s="7" t="s">
        <v>2721</v>
      </c>
      <c r="F1010" s="7" t="s">
        <v>573</v>
      </c>
      <c r="G1010" s="7" t="str">
        <f>E1010&amp;F1010</f>
        <v>KI KV-C80 阀盖毛坯 (不需做深冷处理，借080-RD换字块，NACE)NPS2 CL600 ASTM A351-CF3M</v>
      </c>
      <c r="H1010" s="7">
        <v>1.71</v>
      </c>
      <c r="I1010" s="7">
        <v>2</v>
      </c>
      <c r="J1010" s="7">
        <v>800</v>
      </c>
      <c r="K1010" s="7">
        <v>600</v>
      </c>
      <c r="L1010" s="7">
        <v>150</v>
      </c>
      <c r="M1010" s="7">
        <v>30</v>
      </c>
      <c r="N1010" s="7">
        <v>60</v>
      </c>
      <c r="O1010" s="7">
        <v>310</v>
      </c>
      <c r="P1010" s="7">
        <v>420</v>
      </c>
    </row>
    <row r="1011" spans="1:16" s="10" customFormat="1">
      <c r="A1011" s="7">
        <f>IF(B1011="","",SUBTOTAL(103,$B$2:B1011))</f>
        <v>1010</v>
      </c>
      <c r="B1011" s="8" t="s">
        <v>666</v>
      </c>
      <c r="C1011" s="7" t="s">
        <v>2690</v>
      </c>
      <c r="D1011" s="9" t="s">
        <v>2796</v>
      </c>
      <c r="E1011" s="7" t="s">
        <v>2723</v>
      </c>
      <c r="F1011" s="7" t="s">
        <v>573</v>
      </c>
      <c r="G1011" s="7" t="str">
        <f>E1011&amp;F1011</f>
        <v>KI KV-C80-HP 阀盖毛坯 (不需做深冷处理，借080-RD添加（HP）字块，NACE)NPS2 CL600 ASTM A351-CF3M</v>
      </c>
      <c r="H1011" s="7">
        <v>1.71</v>
      </c>
      <c r="I1011" s="7">
        <v>4</v>
      </c>
      <c r="J1011" s="7">
        <v>800</v>
      </c>
      <c r="K1011" s="7">
        <v>600</v>
      </c>
      <c r="L1011" s="7">
        <v>150</v>
      </c>
      <c r="M1011" s="7">
        <v>30</v>
      </c>
      <c r="N1011" s="7">
        <v>60</v>
      </c>
      <c r="O1011" s="7">
        <v>310</v>
      </c>
      <c r="P1011" s="7">
        <v>420</v>
      </c>
    </row>
    <row r="1012" spans="1:16" s="10" customFormat="1">
      <c r="A1012" s="7">
        <f>IF(B1012="","",SUBTOTAL(103,$B$2:B1012))</f>
        <v>1011</v>
      </c>
      <c r="B1012" s="8" t="s">
        <v>666</v>
      </c>
      <c r="C1012" s="7" t="s">
        <v>2690</v>
      </c>
      <c r="D1012" s="9" t="s">
        <v>2797</v>
      </c>
      <c r="E1012" s="7" t="s">
        <v>668</v>
      </c>
      <c r="F1012" s="7" t="s">
        <v>2798</v>
      </c>
      <c r="G1012" s="7" t="s">
        <v>2799</v>
      </c>
      <c r="H1012" s="7">
        <v>1.4890000000000001</v>
      </c>
      <c r="I1012" s="7">
        <v>6</v>
      </c>
      <c r="J1012" s="7">
        <v>800</v>
      </c>
      <c r="K1012" s="7">
        <v>600</v>
      </c>
      <c r="L1012" s="7">
        <v>150</v>
      </c>
      <c r="M1012" s="7">
        <v>30</v>
      </c>
      <c r="N1012" s="7">
        <v>60</v>
      </c>
      <c r="O1012" s="7">
        <v>310</v>
      </c>
      <c r="P1012" s="7">
        <v>420</v>
      </c>
    </row>
    <row r="1013" spans="1:16" s="10" customFormat="1">
      <c r="A1013" s="7">
        <f>IF(B1013="","",SUBTOTAL(103,$B$2:B1013))</f>
        <v>1012</v>
      </c>
      <c r="B1013" s="8" t="s">
        <v>666</v>
      </c>
      <c r="C1013" s="7" t="s">
        <v>2690</v>
      </c>
      <c r="D1013" s="9" t="s">
        <v>2800</v>
      </c>
      <c r="E1013" s="7" t="s">
        <v>668</v>
      </c>
      <c r="F1013" s="7" t="s">
        <v>2697</v>
      </c>
      <c r="G1013" s="7" t="s">
        <v>2801</v>
      </c>
      <c r="H1013" s="7">
        <v>1.4890000000000001</v>
      </c>
      <c r="I1013" s="7">
        <v>6</v>
      </c>
      <c r="J1013" s="7">
        <v>800</v>
      </c>
      <c r="K1013" s="7">
        <v>600</v>
      </c>
      <c r="L1013" s="7">
        <v>150</v>
      </c>
      <c r="M1013" s="7">
        <v>30</v>
      </c>
      <c r="N1013" s="7">
        <v>60</v>
      </c>
      <c r="O1013" s="7">
        <v>310</v>
      </c>
      <c r="P1013" s="7">
        <v>420</v>
      </c>
    </row>
    <row r="1014" spans="1:16" s="10" customFormat="1">
      <c r="A1014" s="7">
        <f>IF(B1014="","",SUBTOTAL(103,$B$2:B1014))</f>
        <v>1013</v>
      </c>
      <c r="B1014" s="8" t="s">
        <v>666</v>
      </c>
      <c r="C1014" s="7" t="s">
        <v>2690</v>
      </c>
      <c r="D1014" s="9" t="s">
        <v>2802</v>
      </c>
      <c r="E1014" s="7" t="s">
        <v>2664</v>
      </c>
      <c r="F1014" s="7" t="s">
        <v>563</v>
      </c>
      <c r="G1014" s="7" t="str">
        <f>E1014&amp;F1014</f>
        <v>KI KV-080-RD 阀盖毛坯NPS2 CL600 ASTM A216-WCB</v>
      </c>
      <c r="H1014" s="7">
        <v>5.68</v>
      </c>
      <c r="I1014" s="7">
        <v>4</v>
      </c>
      <c r="J1014" s="7">
        <v>800</v>
      </c>
      <c r="K1014" s="7">
        <v>600</v>
      </c>
      <c r="L1014" s="7">
        <v>150</v>
      </c>
      <c r="M1014" s="7">
        <v>30</v>
      </c>
      <c r="N1014" s="7">
        <v>60</v>
      </c>
      <c r="O1014" s="7">
        <v>310</v>
      </c>
      <c r="P1014" s="7">
        <v>420</v>
      </c>
    </row>
    <row r="1015" spans="1:16" s="10" customFormat="1">
      <c r="A1015" s="7">
        <f>IF(B1015="","",SUBTOTAL(103,$B$2:B1015))</f>
        <v>1014</v>
      </c>
      <c r="B1015" s="8" t="s">
        <v>666</v>
      </c>
      <c r="C1015" s="7" t="s">
        <v>2699</v>
      </c>
      <c r="D1015" s="9" t="s">
        <v>2803</v>
      </c>
      <c r="E1015" s="7" t="s">
        <v>668</v>
      </c>
      <c r="F1015" s="7" t="s">
        <v>2804</v>
      </c>
      <c r="G1015" s="7" t="s">
        <v>2805</v>
      </c>
      <c r="H1015" s="7">
        <v>0.29899999999999999</v>
      </c>
      <c r="I1015" s="7">
        <v>16</v>
      </c>
      <c r="J1015" s="7">
        <v>800</v>
      </c>
      <c r="K1015" s="7">
        <v>600</v>
      </c>
      <c r="L1015" s="7">
        <v>150</v>
      </c>
      <c r="M1015" s="7">
        <v>30</v>
      </c>
      <c r="N1015" s="7">
        <v>60</v>
      </c>
      <c r="O1015" s="7">
        <v>125</v>
      </c>
      <c r="P1015" s="7">
        <v>276</v>
      </c>
    </row>
    <row r="1016" spans="1:16" s="10" customFormat="1">
      <c r="A1016" s="7">
        <f>IF(B1016="","",SUBTOTAL(103,$B$2:B1016))</f>
        <v>1015</v>
      </c>
      <c r="B1016" s="8" t="s">
        <v>666</v>
      </c>
      <c r="C1016" s="7" t="s">
        <v>2699</v>
      </c>
      <c r="D1016" s="9" t="s">
        <v>2806</v>
      </c>
      <c r="E1016" s="7" t="s">
        <v>2659</v>
      </c>
      <c r="F1016" s="7" t="s">
        <v>658</v>
      </c>
      <c r="G1016" s="7" t="str">
        <f>E1016&amp;F1016</f>
        <v>KI KV-080 阀盖毛坯 (NACE)NPS3/4 2000WOG ASTM A351-CF3M</v>
      </c>
      <c r="H1016" s="7">
        <v>0.29899999999999999</v>
      </c>
      <c r="I1016" s="7">
        <v>16</v>
      </c>
      <c r="J1016" s="7">
        <v>800</v>
      </c>
      <c r="K1016" s="7">
        <v>600</v>
      </c>
      <c r="L1016" s="7">
        <v>150</v>
      </c>
      <c r="M1016" s="7">
        <v>30</v>
      </c>
      <c r="N1016" s="7">
        <v>60</v>
      </c>
      <c r="O1016" s="7">
        <v>125</v>
      </c>
      <c r="P1016" s="7">
        <v>276</v>
      </c>
    </row>
    <row r="1017" spans="1:16" s="10" customFormat="1">
      <c r="A1017" s="7">
        <f>IF(B1017="","",SUBTOTAL(103,$B$2:B1017))</f>
        <v>1016</v>
      </c>
      <c r="B1017" s="8" t="s">
        <v>666</v>
      </c>
      <c r="C1017" s="7" t="s">
        <v>2699</v>
      </c>
      <c r="D1017" s="9" t="s">
        <v>2807</v>
      </c>
      <c r="E1017" s="7" t="s">
        <v>2664</v>
      </c>
      <c r="F1017" s="7" t="s">
        <v>660</v>
      </c>
      <c r="G1017" s="7" t="str">
        <f>E1017&amp;F1017</f>
        <v>KI KV-080-RD 阀盖毛坯NPS3/4 CL800 ASTM A351-CF3M</v>
      </c>
      <c r="H1017" s="7">
        <v>0.29899999999999999</v>
      </c>
      <c r="I1017" s="7">
        <v>12</v>
      </c>
      <c r="J1017" s="7">
        <v>800</v>
      </c>
      <c r="K1017" s="7">
        <v>600</v>
      </c>
      <c r="L1017" s="7">
        <v>150</v>
      </c>
      <c r="M1017" s="7">
        <v>30</v>
      </c>
      <c r="N1017" s="7">
        <v>60</v>
      </c>
      <c r="O1017" s="7">
        <v>125</v>
      </c>
      <c r="P1017" s="7">
        <v>276</v>
      </c>
    </row>
    <row r="1018" spans="1:16" s="10" customFormat="1">
      <c r="A1018" s="7">
        <f>IF(B1018="","",SUBTOTAL(103,$B$2:B1018))</f>
        <v>1017</v>
      </c>
      <c r="B1018" s="8" t="s">
        <v>666</v>
      </c>
      <c r="C1018" s="7" t="s">
        <v>2699</v>
      </c>
      <c r="D1018" s="9" t="s">
        <v>2808</v>
      </c>
      <c r="E1018" s="7" t="s">
        <v>2721</v>
      </c>
      <c r="F1018" s="7" t="s">
        <v>660</v>
      </c>
      <c r="G1018" s="7" t="str">
        <f>E1018&amp;F1018</f>
        <v>KI KV-C80 阀盖毛坯 (不需做深冷处理，借080-RD换字块，NACE)NPS3/4 CL800 ASTM A351-CF3M</v>
      </c>
      <c r="H1018" s="7">
        <v>0.126</v>
      </c>
      <c r="I1018" s="7">
        <v>12</v>
      </c>
      <c r="J1018" s="7">
        <v>800</v>
      </c>
      <c r="K1018" s="7">
        <v>600</v>
      </c>
      <c r="L1018" s="7">
        <v>150</v>
      </c>
      <c r="M1018" s="7">
        <v>30</v>
      </c>
      <c r="N1018" s="7">
        <v>60</v>
      </c>
      <c r="O1018" s="7">
        <v>125</v>
      </c>
      <c r="P1018" s="7">
        <v>276</v>
      </c>
    </row>
    <row r="1019" spans="1:16" s="10" customFormat="1">
      <c r="A1019" s="7">
        <f>IF(B1019="","",SUBTOTAL(103,$B$2:B1019))</f>
        <v>1018</v>
      </c>
      <c r="B1019" s="8" t="s">
        <v>666</v>
      </c>
      <c r="C1019" s="7" t="s">
        <v>2699</v>
      </c>
      <c r="D1019" s="9" t="s">
        <v>2809</v>
      </c>
      <c r="E1019" s="7" t="s">
        <v>2723</v>
      </c>
      <c r="F1019" s="7" t="s">
        <v>660</v>
      </c>
      <c r="G1019" s="7" t="str">
        <f>E1019&amp;F1019</f>
        <v>KI KV-C80-HP 阀盖毛坯 (不需做深冷处理，借080-RD添加（HP）字块，NACE)NPS3/4 CL800 ASTM A351-CF3M</v>
      </c>
      <c r="H1019" s="7">
        <v>0.126</v>
      </c>
      <c r="I1019" s="7">
        <v>4</v>
      </c>
      <c r="J1019" s="7">
        <v>800</v>
      </c>
      <c r="K1019" s="7">
        <v>600</v>
      </c>
      <c r="L1019" s="7">
        <v>150</v>
      </c>
      <c r="M1019" s="7">
        <v>30</v>
      </c>
      <c r="N1019" s="7">
        <v>60</v>
      </c>
      <c r="O1019" s="7">
        <v>125</v>
      </c>
      <c r="P1019" s="7">
        <v>276</v>
      </c>
    </row>
    <row r="1020" spans="1:16" s="10" customFormat="1">
      <c r="A1020" s="7">
        <f>IF(B1020="","",SUBTOTAL(103,$B$2:B1020))</f>
        <v>1019</v>
      </c>
      <c r="B1020" s="8" t="s">
        <v>666</v>
      </c>
      <c r="C1020" s="7" t="s">
        <v>2699</v>
      </c>
      <c r="D1020" s="9" t="s">
        <v>2810</v>
      </c>
      <c r="E1020" s="7" t="s">
        <v>668</v>
      </c>
      <c r="F1020" s="7" t="s">
        <v>2811</v>
      </c>
      <c r="G1020" s="7" t="s">
        <v>2812</v>
      </c>
      <c r="H1020" s="7">
        <v>0.29899999999999999</v>
      </c>
      <c r="I1020" s="7">
        <v>16</v>
      </c>
      <c r="J1020" s="7">
        <v>800</v>
      </c>
      <c r="K1020" s="7">
        <v>600</v>
      </c>
      <c r="L1020" s="7">
        <v>150</v>
      </c>
      <c r="M1020" s="7">
        <v>30</v>
      </c>
      <c r="N1020" s="7">
        <v>60</v>
      </c>
      <c r="O1020" s="7">
        <v>125</v>
      </c>
      <c r="P1020" s="7">
        <v>276</v>
      </c>
    </row>
    <row r="1021" spans="1:16" s="10" customFormat="1">
      <c r="A1021" s="7">
        <f>IF(B1021="","",SUBTOTAL(103,$B$2:B1021))</f>
        <v>1020</v>
      </c>
      <c r="B1021" s="8" t="s">
        <v>666</v>
      </c>
      <c r="C1021" s="7" t="s">
        <v>2699</v>
      </c>
      <c r="D1021" s="9" t="s">
        <v>2813</v>
      </c>
      <c r="E1021" s="7" t="s">
        <v>2717</v>
      </c>
      <c r="F1021" s="7" t="s">
        <v>654</v>
      </c>
      <c r="G1021" s="7" t="s">
        <v>2814</v>
      </c>
      <c r="H1021" s="7">
        <v>0.29899999999999999</v>
      </c>
      <c r="I1021" s="7">
        <v>20</v>
      </c>
      <c r="J1021" s="7">
        <v>800</v>
      </c>
      <c r="K1021" s="7">
        <v>600</v>
      </c>
      <c r="L1021" s="7">
        <v>150</v>
      </c>
      <c r="M1021" s="7">
        <v>30</v>
      </c>
      <c r="N1021" s="7">
        <v>60</v>
      </c>
      <c r="O1021" s="7">
        <v>125</v>
      </c>
      <c r="P1021" s="7">
        <v>276</v>
      </c>
    </row>
    <row r="1022" spans="1:16" s="10" customFormat="1">
      <c r="A1022" s="7">
        <f>IF(B1022="","",SUBTOTAL(103,$B$2:B1022))</f>
        <v>1021</v>
      </c>
      <c r="B1022" s="8" t="s">
        <v>666</v>
      </c>
      <c r="C1022" s="7" t="s">
        <v>2699</v>
      </c>
      <c r="D1022" s="9" t="s">
        <v>2815</v>
      </c>
      <c r="E1022" s="7" t="s">
        <v>2717</v>
      </c>
      <c r="F1022" s="7" t="s">
        <v>660</v>
      </c>
      <c r="G1022" s="7" t="s">
        <v>2816</v>
      </c>
      <c r="H1022" s="7">
        <v>0.29899999999999999</v>
      </c>
      <c r="I1022" s="7">
        <v>20</v>
      </c>
      <c r="J1022" s="7">
        <v>800</v>
      </c>
      <c r="K1022" s="7">
        <v>600</v>
      </c>
      <c r="L1022" s="7">
        <v>150</v>
      </c>
      <c r="M1022" s="7">
        <v>30</v>
      </c>
      <c r="N1022" s="7">
        <v>60</v>
      </c>
      <c r="O1022" s="7">
        <v>125</v>
      </c>
      <c r="P1022" s="7">
        <v>276</v>
      </c>
    </row>
    <row r="1023" spans="1:16" s="10" customFormat="1">
      <c r="A1023" s="7">
        <f>IF(B1023="","",SUBTOTAL(103,$B$2:B1023))</f>
        <v>1022</v>
      </c>
      <c r="B1023" s="8" t="s">
        <v>666</v>
      </c>
      <c r="C1023" s="7" t="s">
        <v>2699</v>
      </c>
      <c r="D1023" s="9" t="s">
        <v>2817</v>
      </c>
      <c r="E1023" s="7" t="s">
        <v>668</v>
      </c>
      <c r="F1023" s="7" t="s">
        <v>2818</v>
      </c>
      <c r="G1023" s="7" t="s">
        <v>2819</v>
      </c>
      <c r="H1023" s="7">
        <v>0.29899999999999999</v>
      </c>
      <c r="I1023" s="7">
        <v>16</v>
      </c>
      <c r="J1023" s="7">
        <v>800</v>
      </c>
      <c r="K1023" s="7">
        <v>600</v>
      </c>
      <c r="L1023" s="7">
        <v>150</v>
      </c>
      <c r="M1023" s="7">
        <v>30</v>
      </c>
      <c r="N1023" s="7">
        <v>60</v>
      </c>
      <c r="O1023" s="7">
        <v>125</v>
      </c>
      <c r="P1023" s="7">
        <v>276</v>
      </c>
    </row>
    <row r="1024" spans="1:16" s="10" customFormat="1">
      <c r="A1024" s="7">
        <f>IF(B1024="","",SUBTOTAL(103,$B$2:B1024))</f>
        <v>1023</v>
      </c>
      <c r="B1024" s="8" t="s">
        <v>666</v>
      </c>
      <c r="C1024" s="7" t="s">
        <v>2820</v>
      </c>
      <c r="D1024" s="9" t="s">
        <v>2821</v>
      </c>
      <c r="E1024" s="7" t="s">
        <v>668</v>
      </c>
      <c r="F1024" s="7" t="s">
        <v>2822</v>
      </c>
      <c r="G1024" s="7" t="str">
        <f>E1024&amp;F1024</f>
        <v>KI KV-080 阀盖毛坯NPS3/8 2000WOG CF8M</v>
      </c>
      <c r="H1024" s="7">
        <v>0.15</v>
      </c>
      <c r="I1024" s="7">
        <v>24</v>
      </c>
      <c r="J1024" s="7">
        <v>800</v>
      </c>
      <c r="K1024" s="7">
        <v>600</v>
      </c>
      <c r="L1024" s="7">
        <v>150</v>
      </c>
      <c r="M1024" s="7">
        <v>30</v>
      </c>
      <c r="N1024" s="7">
        <v>60</v>
      </c>
      <c r="O1024" s="7">
        <v>75</v>
      </c>
      <c r="P1024" s="7">
        <v>252</v>
      </c>
    </row>
    <row r="1025" spans="1:16" s="10" customFormat="1">
      <c r="A1025" s="7">
        <f>IF(B1025="","",SUBTOTAL(103,$B$2:B1025))</f>
        <v>1024</v>
      </c>
      <c r="B1025" s="8" t="s">
        <v>666</v>
      </c>
      <c r="C1025" s="7" t="s">
        <v>2820</v>
      </c>
      <c r="D1025" s="9" t="s">
        <v>2823</v>
      </c>
      <c r="E1025" s="7" t="s">
        <v>668</v>
      </c>
      <c r="F1025" s="7" t="s">
        <v>553</v>
      </c>
      <c r="G1025" s="7" t="s">
        <v>2824</v>
      </c>
      <c r="H1025" s="7">
        <v>0.15</v>
      </c>
      <c r="I1025" s="7">
        <v>24</v>
      </c>
      <c r="J1025" s="7">
        <v>800</v>
      </c>
      <c r="K1025" s="7">
        <v>600</v>
      </c>
      <c r="L1025" s="7">
        <v>150</v>
      </c>
      <c r="M1025" s="7">
        <v>30</v>
      </c>
      <c r="N1025" s="7">
        <v>60</v>
      </c>
      <c r="O1025" s="7">
        <v>75</v>
      </c>
      <c r="P1025" s="7">
        <v>252</v>
      </c>
    </row>
    <row r="1026" spans="1:16" s="10" customFormat="1">
      <c r="A1026" s="7">
        <f>IF(B1026="","",SUBTOTAL(103,$B$2:B1026))</f>
        <v>1025</v>
      </c>
      <c r="B1026" s="8" t="s">
        <v>2825</v>
      </c>
      <c r="C1026" s="7" t="s">
        <v>2826</v>
      </c>
      <c r="D1026" s="9" t="s">
        <v>2827</v>
      </c>
      <c r="E1026" s="7" t="s">
        <v>2828</v>
      </c>
      <c r="F1026" s="7" t="s">
        <v>2711</v>
      </c>
      <c r="G1026" s="7" t="s">
        <v>2829</v>
      </c>
      <c r="H1026" s="7">
        <v>0.51</v>
      </c>
      <c r="I1026" s="7">
        <v>8</v>
      </c>
      <c r="J1026" s="7">
        <v>800</v>
      </c>
      <c r="K1026" s="7">
        <v>600</v>
      </c>
      <c r="L1026" s="7">
        <v>150</v>
      </c>
      <c r="M1026" s="7">
        <v>30</v>
      </c>
      <c r="N1026" s="7">
        <v>60</v>
      </c>
      <c r="O1026" s="7">
        <v>225</v>
      </c>
      <c r="P1026" s="7">
        <v>300</v>
      </c>
    </row>
    <row r="1027" spans="1:16" s="10" customFormat="1">
      <c r="A1027" s="7">
        <f>IF(B1027="","",SUBTOTAL(103,$B$2:B1027))</f>
        <v>1026</v>
      </c>
      <c r="B1027" s="8" t="s">
        <v>2825</v>
      </c>
      <c r="C1027" s="7" t="s">
        <v>2830</v>
      </c>
      <c r="D1027" s="9" t="s">
        <v>2831</v>
      </c>
      <c r="E1027" s="7" t="s">
        <v>2828</v>
      </c>
      <c r="F1027" s="7" t="s">
        <v>2739</v>
      </c>
      <c r="G1027" s="7" t="s">
        <v>2832</v>
      </c>
      <c r="H1027" s="7">
        <v>0.20599999999999999</v>
      </c>
      <c r="I1027" s="7">
        <v>20</v>
      </c>
      <c r="J1027" s="7">
        <v>800</v>
      </c>
      <c r="K1027" s="7">
        <v>600</v>
      </c>
      <c r="L1027" s="7">
        <v>150</v>
      </c>
      <c r="M1027" s="7">
        <v>30</v>
      </c>
      <c r="N1027" s="7">
        <v>60</v>
      </c>
      <c r="O1027" s="7">
        <v>95</v>
      </c>
      <c r="P1027" s="7">
        <v>264</v>
      </c>
    </row>
    <row r="1028" spans="1:16" s="10" customFormat="1">
      <c r="A1028" s="7">
        <f>IF(B1028="","",SUBTOTAL(103,$B$2:B1028))</f>
        <v>1027</v>
      </c>
      <c r="B1028" s="8" t="s">
        <v>2825</v>
      </c>
      <c r="C1028" s="7" t="s">
        <v>2830</v>
      </c>
      <c r="D1028" s="9" t="s">
        <v>2833</v>
      </c>
      <c r="E1028" s="7" t="s">
        <v>2828</v>
      </c>
      <c r="F1028" s="7" t="s">
        <v>2757</v>
      </c>
      <c r="G1028" s="7" t="s">
        <v>2834</v>
      </c>
      <c r="H1028" s="7">
        <v>0.20599999999999999</v>
      </c>
      <c r="I1028" s="7">
        <v>20</v>
      </c>
      <c r="J1028" s="7">
        <v>800</v>
      </c>
      <c r="K1028" s="7">
        <v>600</v>
      </c>
      <c r="L1028" s="7">
        <v>150</v>
      </c>
      <c r="M1028" s="7">
        <v>30</v>
      </c>
      <c r="N1028" s="7">
        <v>60</v>
      </c>
      <c r="O1028" s="7">
        <v>95</v>
      </c>
      <c r="P1028" s="7">
        <v>264</v>
      </c>
    </row>
    <row r="1029" spans="1:16" s="10" customFormat="1">
      <c r="A1029" s="7">
        <f>IF(B1029="","",SUBTOTAL(103,$B$2:B1029))</f>
        <v>1028</v>
      </c>
      <c r="B1029" s="8" t="s">
        <v>2825</v>
      </c>
      <c r="C1029" s="7" t="s">
        <v>2835</v>
      </c>
      <c r="D1029" s="9" t="s">
        <v>2836</v>
      </c>
      <c r="E1029" s="7" t="s">
        <v>2828</v>
      </c>
      <c r="F1029" s="7" t="s">
        <v>2765</v>
      </c>
      <c r="G1029" s="7" t="s">
        <v>2837</v>
      </c>
      <c r="H1029" s="7">
        <v>0.85</v>
      </c>
      <c r="I1029" s="7">
        <v>6</v>
      </c>
      <c r="J1029" s="7">
        <v>800</v>
      </c>
      <c r="K1029" s="7">
        <v>600</v>
      </c>
      <c r="L1029" s="7">
        <v>150</v>
      </c>
      <c r="M1029" s="7">
        <v>30</v>
      </c>
      <c r="N1029" s="7">
        <v>60</v>
      </c>
      <c r="O1029" s="7">
        <v>310</v>
      </c>
      <c r="P1029" s="7">
        <v>420</v>
      </c>
    </row>
    <row r="1030" spans="1:16" s="10" customFormat="1">
      <c r="A1030" s="7">
        <f>IF(B1030="","",SUBTOTAL(103,$B$2:B1030))</f>
        <v>1029</v>
      </c>
      <c r="B1030" s="8" t="s">
        <v>2825</v>
      </c>
      <c r="C1030" s="7" t="s">
        <v>2835</v>
      </c>
      <c r="D1030" s="9" t="s">
        <v>2838</v>
      </c>
      <c r="E1030" s="7" t="s">
        <v>2828</v>
      </c>
      <c r="F1030" s="7" t="s">
        <v>2688</v>
      </c>
      <c r="G1030" s="7" t="s">
        <v>2839</v>
      </c>
      <c r="H1030" s="7">
        <v>0.85</v>
      </c>
      <c r="I1030" s="7">
        <v>6</v>
      </c>
      <c r="J1030" s="7">
        <v>800</v>
      </c>
      <c r="K1030" s="7">
        <v>600</v>
      </c>
      <c r="L1030" s="7">
        <v>150</v>
      </c>
      <c r="M1030" s="7">
        <v>30</v>
      </c>
      <c r="N1030" s="7">
        <v>60</v>
      </c>
      <c r="O1030" s="7">
        <v>310</v>
      </c>
      <c r="P1030" s="7">
        <v>420</v>
      </c>
    </row>
    <row r="1031" spans="1:16" s="10" customFormat="1">
      <c r="A1031" s="7">
        <f>IF(B1031="","",SUBTOTAL(103,$B$2:B1031))</f>
        <v>1030</v>
      </c>
      <c r="B1031" s="8" t="s">
        <v>2825</v>
      </c>
      <c r="C1031" s="7" t="s">
        <v>2840</v>
      </c>
      <c r="D1031" s="9" t="s">
        <v>2841</v>
      </c>
      <c r="E1031" s="7" t="s">
        <v>2828</v>
      </c>
      <c r="F1031" s="7" t="s">
        <v>2842</v>
      </c>
      <c r="G1031" s="7" t="s">
        <v>2843</v>
      </c>
      <c r="H1031" s="7">
        <v>0.67</v>
      </c>
      <c r="I1031" s="7">
        <v>8</v>
      </c>
      <c r="J1031" s="7">
        <v>800</v>
      </c>
      <c r="K1031" s="7">
        <v>600</v>
      </c>
      <c r="L1031" s="7">
        <v>150</v>
      </c>
      <c r="M1031" s="7">
        <v>30</v>
      </c>
      <c r="N1031" s="7">
        <v>60</v>
      </c>
      <c r="O1031" s="7">
        <v>225</v>
      </c>
      <c r="P1031" s="7">
        <v>300</v>
      </c>
    </row>
    <row r="1032" spans="1:16" s="10" customFormat="1">
      <c r="A1032" s="7">
        <f>IF(B1032="","",SUBTOTAL(103,$B$2:B1032))</f>
        <v>1031</v>
      </c>
      <c r="B1032" s="8" t="s">
        <v>2825</v>
      </c>
      <c r="C1032" s="7" t="s">
        <v>2840</v>
      </c>
      <c r="D1032" s="9" t="s">
        <v>2844</v>
      </c>
      <c r="E1032" s="7" t="s">
        <v>2828</v>
      </c>
      <c r="F1032" s="7" t="s">
        <v>644</v>
      </c>
      <c r="G1032" s="7" t="s">
        <v>2845</v>
      </c>
      <c r="H1032" s="7">
        <v>0.67</v>
      </c>
      <c r="I1032" s="7">
        <v>8</v>
      </c>
      <c r="J1032" s="7">
        <v>800</v>
      </c>
      <c r="K1032" s="7">
        <v>600</v>
      </c>
      <c r="L1032" s="7">
        <v>150</v>
      </c>
      <c r="M1032" s="7">
        <v>30</v>
      </c>
      <c r="N1032" s="7">
        <v>60</v>
      </c>
      <c r="O1032" s="7">
        <v>225</v>
      </c>
      <c r="P1032" s="7">
        <v>300</v>
      </c>
    </row>
    <row r="1033" spans="1:16" s="10" customFormat="1">
      <c r="A1033" s="7">
        <f>IF(B1033="","",SUBTOTAL(103,$B$2:B1033))</f>
        <v>1032</v>
      </c>
      <c r="B1033" s="8" t="s">
        <v>2825</v>
      </c>
      <c r="C1033" s="7" t="s">
        <v>2846</v>
      </c>
      <c r="D1033" s="9" t="s">
        <v>2847</v>
      </c>
      <c r="E1033" s="7" t="s">
        <v>2828</v>
      </c>
      <c r="F1033" s="7" t="s">
        <v>2790</v>
      </c>
      <c r="G1033" s="7" t="s">
        <v>2848</v>
      </c>
      <c r="H1033" s="7">
        <v>1.486</v>
      </c>
      <c r="I1033" s="7">
        <v>6</v>
      </c>
      <c r="J1033" s="7">
        <v>800</v>
      </c>
      <c r="K1033" s="7">
        <v>600</v>
      </c>
      <c r="L1033" s="7">
        <v>150</v>
      </c>
      <c r="M1033" s="7">
        <v>30</v>
      </c>
      <c r="N1033" s="7">
        <v>60</v>
      </c>
      <c r="O1033" s="7">
        <v>310</v>
      </c>
      <c r="P1033" s="7">
        <v>420</v>
      </c>
    </row>
    <row r="1034" spans="1:16" s="10" customFormat="1">
      <c r="A1034" s="7">
        <f>IF(B1034="","",SUBTOTAL(103,$B$2:B1034))</f>
        <v>1033</v>
      </c>
      <c r="B1034" s="8" t="s">
        <v>2825</v>
      </c>
      <c r="C1034" s="7" t="s">
        <v>2846</v>
      </c>
      <c r="D1034" s="9" t="s">
        <v>2849</v>
      </c>
      <c r="E1034" s="7" t="s">
        <v>2828</v>
      </c>
      <c r="F1034" s="7" t="s">
        <v>2697</v>
      </c>
      <c r="G1034" s="7" t="s">
        <v>2850</v>
      </c>
      <c r="H1034" s="7">
        <v>1.4850000000000001</v>
      </c>
      <c r="I1034" s="7">
        <v>6</v>
      </c>
      <c r="J1034" s="7">
        <v>800</v>
      </c>
      <c r="K1034" s="7">
        <v>600</v>
      </c>
      <c r="L1034" s="7">
        <v>150</v>
      </c>
      <c r="M1034" s="7">
        <v>30</v>
      </c>
      <c r="N1034" s="7">
        <v>60</v>
      </c>
      <c r="O1034" s="7">
        <v>310</v>
      </c>
      <c r="P1034" s="7">
        <v>420</v>
      </c>
    </row>
    <row r="1035" spans="1:16" s="10" customFormat="1">
      <c r="A1035" s="7">
        <f>IF(B1035="","",SUBTOTAL(103,$B$2:B1035))</f>
        <v>1034</v>
      </c>
      <c r="B1035" s="8" t="s">
        <v>2825</v>
      </c>
      <c r="C1035" s="7" t="s">
        <v>2851</v>
      </c>
      <c r="D1035" s="9" t="s">
        <v>2852</v>
      </c>
      <c r="E1035" s="7" t="s">
        <v>2828</v>
      </c>
      <c r="F1035" s="7" t="s">
        <v>2804</v>
      </c>
      <c r="G1035" s="7" t="s">
        <v>2853</v>
      </c>
      <c r="H1035" s="7">
        <v>0.30099999999999999</v>
      </c>
      <c r="I1035" s="7">
        <v>16</v>
      </c>
      <c r="J1035" s="7">
        <v>800</v>
      </c>
      <c r="K1035" s="7">
        <v>600</v>
      </c>
      <c r="L1035" s="7">
        <v>150</v>
      </c>
      <c r="M1035" s="7">
        <v>30</v>
      </c>
      <c r="N1035" s="7">
        <v>60</v>
      </c>
      <c r="O1035" s="7">
        <v>125</v>
      </c>
      <c r="P1035" s="7">
        <v>276</v>
      </c>
    </row>
    <row r="1036" spans="1:16" s="10" customFormat="1">
      <c r="A1036" s="7">
        <f>IF(B1036="","",SUBTOTAL(103,$B$2:B1036))</f>
        <v>1035</v>
      </c>
      <c r="B1036" s="8" t="s">
        <v>2825</v>
      </c>
      <c r="C1036" s="7" t="s">
        <v>2851</v>
      </c>
      <c r="D1036" s="9" t="s">
        <v>2854</v>
      </c>
      <c r="E1036" s="7" t="s">
        <v>2828</v>
      </c>
      <c r="F1036" s="7" t="s">
        <v>2818</v>
      </c>
      <c r="G1036" s="7" t="s">
        <v>2855</v>
      </c>
      <c r="H1036" s="7">
        <v>0.30099999999999999</v>
      </c>
      <c r="I1036" s="7">
        <v>16</v>
      </c>
      <c r="J1036" s="7">
        <v>800</v>
      </c>
      <c r="K1036" s="7">
        <v>600</v>
      </c>
      <c r="L1036" s="7">
        <v>150</v>
      </c>
      <c r="M1036" s="7">
        <v>30</v>
      </c>
      <c r="N1036" s="7">
        <v>60</v>
      </c>
      <c r="O1036" s="7">
        <v>125</v>
      </c>
      <c r="P1036" s="7">
        <v>276</v>
      </c>
    </row>
    <row r="1037" spans="1:16" s="10" customFormat="1">
      <c r="A1037" s="7">
        <f>IF(B1037="","",SUBTOTAL(103,$B$2:B1037))</f>
        <v>1036</v>
      </c>
      <c r="B1037" s="8" t="s">
        <v>2856</v>
      </c>
      <c r="C1037" s="7" t="s">
        <v>216</v>
      </c>
      <c r="D1037" s="9" t="s">
        <v>2857</v>
      </c>
      <c r="E1037" s="7" t="s">
        <v>2858</v>
      </c>
      <c r="F1037" s="7" t="s">
        <v>2859</v>
      </c>
      <c r="G1037" s="7" t="s">
        <v>2860</v>
      </c>
      <c r="H1037" s="7">
        <v>0.154</v>
      </c>
      <c r="I1037" s="7">
        <v>48</v>
      </c>
      <c r="J1037" s="7">
        <v>800</v>
      </c>
      <c r="K1037" s="7">
        <v>600</v>
      </c>
      <c r="L1037" s="7">
        <v>150</v>
      </c>
      <c r="M1037" s="7">
        <v>30</v>
      </c>
      <c r="N1037" s="7">
        <v>60</v>
      </c>
      <c r="O1037" s="7">
        <v>41</v>
      </c>
      <c r="P1037" s="7">
        <v>264</v>
      </c>
    </row>
    <row r="1038" spans="1:16" s="10" customFormat="1">
      <c r="A1038" s="7">
        <f>IF(B1038="","",SUBTOTAL(103,$B$2:B1038))</f>
        <v>1037</v>
      </c>
      <c r="B1038" s="8" t="s">
        <v>2856</v>
      </c>
      <c r="C1038" s="7" t="s">
        <v>236</v>
      </c>
      <c r="D1038" s="9" t="s">
        <v>2861</v>
      </c>
      <c r="E1038" s="7" t="s">
        <v>2858</v>
      </c>
      <c r="F1038" s="7" t="s">
        <v>2862</v>
      </c>
      <c r="G1038" s="7" t="s">
        <v>2863</v>
      </c>
      <c r="H1038" s="7">
        <v>0.22</v>
      </c>
      <c r="I1038" s="7">
        <v>28</v>
      </c>
      <c r="J1038" s="7">
        <v>800</v>
      </c>
      <c r="K1038" s="7">
        <v>600</v>
      </c>
      <c r="L1038" s="7">
        <v>150</v>
      </c>
      <c r="M1038" s="7">
        <v>30</v>
      </c>
      <c r="N1038" s="7">
        <v>60</v>
      </c>
      <c r="O1038" s="7">
        <v>70</v>
      </c>
      <c r="P1038" s="7">
        <v>276</v>
      </c>
    </row>
    <row r="1039" spans="1:16" s="10" customFormat="1">
      <c r="A1039" s="7">
        <f>IF(B1039="","",SUBTOTAL(103,$B$2:B1039))</f>
        <v>1038</v>
      </c>
      <c r="B1039" s="8" t="s">
        <v>2856</v>
      </c>
      <c r="C1039" s="7" t="s">
        <v>209</v>
      </c>
      <c r="D1039" s="9" t="s">
        <v>2864</v>
      </c>
      <c r="E1039" s="7" t="s">
        <v>2858</v>
      </c>
      <c r="F1039" s="7" t="s">
        <v>2865</v>
      </c>
      <c r="G1039" s="7" t="s">
        <v>2866</v>
      </c>
      <c r="H1039" s="7">
        <v>0.33</v>
      </c>
      <c r="I1039" s="7">
        <v>21</v>
      </c>
      <c r="J1039" s="7">
        <v>800</v>
      </c>
      <c r="K1039" s="7">
        <v>600</v>
      </c>
      <c r="L1039" s="7">
        <v>150</v>
      </c>
      <c r="M1039" s="7">
        <v>30</v>
      </c>
      <c r="N1039" s="7">
        <v>60</v>
      </c>
      <c r="O1039" s="7">
        <v>90</v>
      </c>
      <c r="P1039" s="7">
        <v>360</v>
      </c>
    </row>
    <row r="1040" spans="1:16" s="10" customFormat="1">
      <c r="A1040" s="7">
        <f>IF(B1040="","",SUBTOTAL(103,$B$2:B1040))</f>
        <v>1039</v>
      </c>
      <c r="B1040" s="8" t="s">
        <v>2856</v>
      </c>
      <c r="C1040" s="7" t="s">
        <v>221</v>
      </c>
      <c r="D1040" s="9" t="s">
        <v>2867</v>
      </c>
      <c r="E1040" s="7" t="s">
        <v>2858</v>
      </c>
      <c r="F1040" s="7" t="s">
        <v>2868</v>
      </c>
      <c r="G1040" s="7" t="s">
        <v>2869</v>
      </c>
      <c r="H1040" s="7">
        <v>0.67400000000000004</v>
      </c>
      <c r="I1040" s="7">
        <v>8</v>
      </c>
      <c r="J1040" s="7">
        <v>800</v>
      </c>
      <c r="K1040" s="7">
        <v>600</v>
      </c>
      <c r="L1040" s="7">
        <v>150</v>
      </c>
      <c r="M1040" s="7">
        <v>30</v>
      </c>
      <c r="N1040" s="7">
        <v>60</v>
      </c>
      <c r="O1040" s="7">
        <v>225</v>
      </c>
      <c r="P1040" s="7">
        <v>300</v>
      </c>
    </row>
    <row r="1041" spans="1:16" s="10" customFormat="1">
      <c r="A1041" s="7">
        <f>IF(B1041="","",SUBTOTAL(103,$B$2:B1041))</f>
        <v>1040</v>
      </c>
      <c r="B1041" s="8" t="s">
        <v>2856</v>
      </c>
      <c r="C1041" s="7" t="s">
        <v>231</v>
      </c>
      <c r="D1041" s="9" t="s">
        <v>2870</v>
      </c>
      <c r="E1041" s="7" t="s">
        <v>2858</v>
      </c>
      <c r="F1041" s="7" t="s">
        <v>2871</v>
      </c>
      <c r="G1041" s="7" t="s">
        <v>2872</v>
      </c>
      <c r="H1041" s="7">
        <v>1.2</v>
      </c>
      <c r="I1041" s="7">
        <v>5</v>
      </c>
      <c r="J1041" s="7">
        <v>800</v>
      </c>
      <c r="K1041" s="7">
        <v>600</v>
      </c>
      <c r="L1041" s="7">
        <v>150</v>
      </c>
      <c r="M1041" s="7">
        <v>30</v>
      </c>
      <c r="N1041" s="7">
        <v>60</v>
      </c>
      <c r="O1041" s="7">
        <v>400</v>
      </c>
      <c r="P1041" s="7">
        <v>678</v>
      </c>
    </row>
    <row r="1042" spans="1:16" s="10" customFormat="1">
      <c r="A1042" s="7">
        <f>IF(B1042="","",SUBTOTAL(103,$B$2:B1042))</f>
        <v>1041</v>
      </c>
      <c r="B1042" s="8" t="s">
        <v>2856</v>
      </c>
      <c r="C1042" s="7" t="s">
        <v>2873</v>
      </c>
      <c r="D1042" s="9" t="s">
        <v>2874</v>
      </c>
      <c r="E1042" s="7" t="s">
        <v>2858</v>
      </c>
      <c r="F1042" s="7" t="s">
        <v>688</v>
      </c>
      <c r="G1042" s="7" t="s">
        <v>2875</v>
      </c>
      <c r="H1042" s="7">
        <v>3.12</v>
      </c>
      <c r="I1042" s="7">
        <v>4</v>
      </c>
      <c r="J1042" s="7">
        <v>800</v>
      </c>
      <c r="K1042" s="7">
        <v>600</v>
      </c>
      <c r="L1042" s="7">
        <v>150</v>
      </c>
      <c r="M1042" s="7">
        <v>30</v>
      </c>
      <c r="N1042" s="7">
        <v>60</v>
      </c>
      <c r="O1042" s="7">
        <v>500</v>
      </c>
      <c r="P1042" s="7">
        <v>720</v>
      </c>
    </row>
    <row r="1043" spans="1:16" s="10" customFormat="1">
      <c r="A1043" s="7">
        <f>IF(B1043="","",SUBTOTAL(103,$B$2:B1043))</f>
        <v>1042</v>
      </c>
      <c r="B1043" s="8" t="s">
        <v>2856</v>
      </c>
      <c r="C1043" s="7" t="s">
        <v>203</v>
      </c>
      <c r="D1043" s="9" t="s">
        <v>2876</v>
      </c>
      <c r="E1043" s="7" t="s">
        <v>2858</v>
      </c>
      <c r="F1043" s="7" t="s">
        <v>691</v>
      </c>
      <c r="G1043" s="7" t="s">
        <v>2877</v>
      </c>
      <c r="H1043" s="7">
        <v>0.315</v>
      </c>
      <c r="I1043" s="7">
        <v>20</v>
      </c>
      <c r="J1043" s="7">
        <v>800</v>
      </c>
      <c r="K1043" s="7">
        <v>600</v>
      </c>
      <c r="L1043" s="7">
        <v>150</v>
      </c>
      <c r="M1043" s="7">
        <v>30</v>
      </c>
      <c r="N1043" s="7">
        <v>60</v>
      </c>
      <c r="O1043" s="7">
        <v>95</v>
      </c>
      <c r="P1043" s="7">
        <v>198</v>
      </c>
    </row>
    <row r="1044" spans="1:16" s="10" customFormat="1">
      <c r="A1044" s="7">
        <f>IF(B1044="","",SUBTOTAL(103,$B$2:B1044))</f>
        <v>1043</v>
      </c>
      <c r="B1044" s="8" t="s">
        <v>2856</v>
      </c>
      <c r="C1044" s="7" t="s">
        <v>2878</v>
      </c>
      <c r="D1044" s="9" t="s">
        <v>2879</v>
      </c>
      <c r="E1044" s="7" t="s">
        <v>2858</v>
      </c>
      <c r="F1044" s="7" t="s">
        <v>694</v>
      </c>
      <c r="G1044" s="7" t="s">
        <v>2880</v>
      </c>
      <c r="H1044" s="7">
        <v>6.47</v>
      </c>
      <c r="I1044" s="7">
        <v>3</v>
      </c>
      <c r="J1044" s="7">
        <v>800</v>
      </c>
      <c r="K1044" s="7">
        <v>600</v>
      </c>
      <c r="L1044" s="7">
        <v>150</v>
      </c>
      <c r="M1044" s="7">
        <v>30</v>
      </c>
      <c r="N1044" s="7">
        <v>60</v>
      </c>
      <c r="O1044" s="7">
        <v>650</v>
      </c>
      <c r="P1044" s="7">
        <v>810</v>
      </c>
    </row>
    <row r="1045" spans="1:16" s="10" customFormat="1">
      <c r="A1045" s="7">
        <f>IF(B1045="","",SUBTOTAL(103,$B$2:B1045))</f>
        <v>1044</v>
      </c>
      <c r="B1045" s="8" t="s">
        <v>2881</v>
      </c>
      <c r="C1045" s="7" t="s">
        <v>2882</v>
      </c>
      <c r="D1045" s="9" t="s">
        <v>2883</v>
      </c>
      <c r="E1045" s="7" t="s">
        <v>2884</v>
      </c>
      <c r="F1045" s="7" t="s">
        <v>2885</v>
      </c>
      <c r="G1045" s="7" t="s">
        <v>2886</v>
      </c>
      <c r="H1045" s="7">
        <v>0.18</v>
      </c>
      <c r="I1045" s="7">
        <v>28</v>
      </c>
      <c r="J1045" s="7">
        <v>800</v>
      </c>
      <c r="K1045" s="7">
        <v>600</v>
      </c>
      <c r="L1045" s="7">
        <v>150</v>
      </c>
      <c r="M1045" s="7">
        <v>30</v>
      </c>
      <c r="N1045" s="7">
        <v>60</v>
      </c>
      <c r="O1045" s="7">
        <v>70</v>
      </c>
      <c r="P1045" s="7">
        <v>198</v>
      </c>
    </row>
    <row r="1046" spans="1:16" s="10" customFormat="1">
      <c r="A1046" s="7">
        <f>IF(B1046="","",SUBTOTAL(103,$B$2:B1046))</f>
        <v>1045</v>
      </c>
      <c r="B1046" s="8" t="s">
        <v>2881</v>
      </c>
      <c r="C1046" s="7" t="s">
        <v>2882</v>
      </c>
      <c r="D1046" s="9" t="s">
        <v>2887</v>
      </c>
      <c r="E1046" s="7" t="s">
        <v>2884</v>
      </c>
      <c r="F1046" s="7" t="s">
        <v>56</v>
      </c>
      <c r="G1046" s="7" t="str">
        <f>E1046&amp;F1046</f>
        <v>KI KV-L30 阀盖毛坯NPS1/4 1000WOG CF8M</v>
      </c>
      <c r="H1046" s="7">
        <v>0.16700000000000001</v>
      </c>
      <c r="I1046" s="7">
        <v>28</v>
      </c>
      <c r="J1046" s="7">
        <v>800</v>
      </c>
      <c r="K1046" s="7">
        <v>600</v>
      </c>
      <c r="L1046" s="7">
        <v>150</v>
      </c>
      <c r="M1046" s="7">
        <v>30</v>
      </c>
      <c r="N1046" s="7">
        <v>60</v>
      </c>
      <c r="O1046" s="7">
        <v>70</v>
      </c>
      <c r="P1046" s="7">
        <v>198</v>
      </c>
    </row>
    <row r="1047" spans="1:16" s="10" customFormat="1">
      <c r="A1047" s="7">
        <f>IF(B1047="","",SUBTOTAL(103,$B$2:B1047))</f>
        <v>1046</v>
      </c>
      <c r="B1047" s="8" t="s">
        <v>2881</v>
      </c>
      <c r="C1047" s="7" t="s">
        <v>2888</v>
      </c>
      <c r="D1047" s="9" t="s">
        <v>2889</v>
      </c>
      <c r="E1047" s="7" t="s">
        <v>2884</v>
      </c>
      <c r="F1047" s="7" t="s">
        <v>744</v>
      </c>
      <c r="G1047" s="7" t="s">
        <v>2890</v>
      </c>
      <c r="H1047" s="7">
        <v>4.5599999999999996</v>
      </c>
      <c r="I1047" s="7">
        <v>1</v>
      </c>
      <c r="J1047" s="7">
        <v>800</v>
      </c>
      <c r="K1047" s="7">
        <v>600</v>
      </c>
      <c r="L1047" s="7">
        <v>150</v>
      </c>
      <c r="M1047" s="7">
        <v>30</v>
      </c>
      <c r="N1047" s="7">
        <v>60</v>
      </c>
      <c r="O1047" s="7">
        <v>2000</v>
      </c>
      <c r="P1047" s="7">
        <v>2460</v>
      </c>
    </row>
    <row r="1048" spans="1:16" s="10" customFormat="1">
      <c r="A1048" s="7">
        <f>IF(B1048="","",SUBTOTAL(103,$B$2:B1048))</f>
        <v>1047</v>
      </c>
      <c r="B1048" s="8" t="s">
        <v>2881</v>
      </c>
      <c r="C1048" s="7" t="s">
        <v>2888</v>
      </c>
      <c r="D1048" s="9" t="s">
        <v>2891</v>
      </c>
      <c r="E1048" s="7" t="s">
        <v>2884</v>
      </c>
      <c r="F1048" s="7" t="s">
        <v>747</v>
      </c>
      <c r="G1048" s="7" t="s">
        <v>2892</v>
      </c>
      <c r="H1048" s="7">
        <v>4.78</v>
      </c>
      <c r="I1048" s="7">
        <v>1</v>
      </c>
      <c r="J1048" s="7">
        <v>800</v>
      </c>
      <c r="K1048" s="7">
        <v>600</v>
      </c>
      <c r="L1048" s="7">
        <v>150</v>
      </c>
      <c r="M1048" s="7">
        <v>30</v>
      </c>
      <c r="N1048" s="7">
        <v>60</v>
      </c>
      <c r="O1048" s="7">
        <v>2000</v>
      </c>
      <c r="P1048" s="7">
        <v>2460</v>
      </c>
    </row>
    <row r="1049" spans="1:16" s="10" customFormat="1">
      <c r="A1049" s="7">
        <f>IF(B1049="","",SUBTOTAL(103,$B$2:B1049))</f>
        <v>1048</v>
      </c>
      <c r="B1049" s="8" t="s">
        <v>2637</v>
      </c>
      <c r="C1049" s="7" t="s">
        <v>2638</v>
      </c>
      <c r="D1049" s="9" t="s">
        <v>2893</v>
      </c>
      <c r="E1049" s="7" t="s">
        <v>2894</v>
      </c>
      <c r="F1049" s="7" t="s">
        <v>2641</v>
      </c>
      <c r="G1049" s="7" t="s">
        <v>2895</v>
      </c>
      <c r="H1049" s="7">
        <v>0.12</v>
      </c>
      <c r="I1049" s="7">
        <v>24</v>
      </c>
      <c r="J1049" s="7">
        <v>800</v>
      </c>
      <c r="K1049" s="7">
        <v>600</v>
      </c>
      <c r="L1049" s="7">
        <v>150</v>
      </c>
      <c r="M1049" s="7">
        <v>30</v>
      </c>
      <c r="N1049" s="7">
        <v>60</v>
      </c>
      <c r="O1049" s="7">
        <v>75</v>
      </c>
      <c r="P1049" s="7">
        <v>264</v>
      </c>
    </row>
    <row r="1050" spans="1:16" s="10" customFormat="1">
      <c r="A1050" s="7">
        <f>IF(B1050="","",SUBTOTAL(103,$B$2:B1050))</f>
        <v>1049</v>
      </c>
      <c r="B1050" s="8" t="s">
        <v>2637</v>
      </c>
      <c r="C1050" s="7" t="s">
        <v>2896</v>
      </c>
      <c r="D1050" s="9" t="s">
        <v>2897</v>
      </c>
      <c r="E1050" s="7" t="s">
        <v>2898</v>
      </c>
      <c r="F1050" s="7" t="s">
        <v>2899</v>
      </c>
      <c r="G1050" s="7" t="s">
        <v>2900</v>
      </c>
      <c r="H1050" s="7">
        <v>4.53</v>
      </c>
      <c r="I1050" s="7">
        <v>1</v>
      </c>
      <c r="J1050" s="7">
        <v>800</v>
      </c>
      <c r="K1050" s="7">
        <v>600</v>
      </c>
      <c r="L1050" s="7">
        <v>150</v>
      </c>
      <c r="M1050" s="7">
        <v>30</v>
      </c>
      <c r="N1050" s="7">
        <v>60</v>
      </c>
      <c r="O1050" s="7">
        <v>2000</v>
      </c>
      <c r="P1050" s="7">
        <v>2460</v>
      </c>
    </row>
    <row r="1051" spans="1:16" s="10" customFormat="1">
      <c r="A1051" s="7">
        <f>IF(B1051="","",SUBTOTAL(103,$B$2:B1051))</f>
        <v>1050</v>
      </c>
      <c r="B1051" s="8" t="s">
        <v>2901</v>
      </c>
      <c r="C1051" s="7" t="s">
        <v>2902</v>
      </c>
      <c r="D1051" s="9" t="s">
        <v>2903</v>
      </c>
      <c r="E1051" s="7" t="s">
        <v>2904</v>
      </c>
      <c r="F1051" s="7" t="s">
        <v>2905</v>
      </c>
      <c r="G1051" s="7" t="s">
        <v>2906</v>
      </c>
      <c r="H1051" s="7">
        <v>1.5549999999999999</v>
      </c>
      <c r="I1051" s="7">
        <v>0</v>
      </c>
      <c r="J1051" s="7"/>
      <c r="K1051" s="7"/>
      <c r="L1051" s="7"/>
      <c r="M1051" s="7"/>
      <c r="N1051" s="7"/>
      <c r="O1051" s="7"/>
      <c r="P1051" s="7">
        <v>0</v>
      </c>
    </row>
    <row r="1052" spans="1:16" s="10" customFormat="1">
      <c r="A1052" s="7">
        <f>IF(B1052="","",SUBTOTAL(103,$B$2:B1052))</f>
        <v>1051</v>
      </c>
      <c r="B1052" s="8" t="s">
        <v>2907</v>
      </c>
      <c r="C1052" s="7" t="s">
        <v>2908</v>
      </c>
      <c r="D1052" s="9" t="s">
        <v>2909</v>
      </c>
      <c r="E1052" s="7" t="s">
        <v>2910</v>
      </c>
      <c r="F1052" s="7" t="s">
        <v>49</v>
      </c>
      <c r="G1052" s="7" t="s">
        <v>2911</v>
      </c>
      <c r="H1052" s="7">
        <v>0.29899999999999999</v>
      </c>
      <c r="I1052" s="7">
        <v>24</v>
      </c>
      <c r="J1052" s="7">
        <v>800</v>
      </c>
      <c r="K1052" s="7">
        <v>600</v>
      </c>
      <c r="L1052" s="7">
        <v>150</v>
      </c>
      <c r="M1052" s="7">
        <v>30</v>
      </c>
      <c r="N1052" s="7">
        <v>60</v>
      </c>
      <c r="O1052" s="7">
        <v>75</v>
      </c>
      <c r="P1052" s="7">
        <v>360</v>
      </c>
    </row>
    <row r="1053" spans="1:16" s="10" customFormat="1">
      <c r="A1053" s="7">
        <f>IF(B1053="","",SUBTOTAL(103,$B$2:B1053))</f>
        <v>1052</v>
      </c>
      <c r="B1053" s="8" t="s">
        <v>2907</v>
      </c>
      <c r="C1053" s="7" t="s">
        <v>2912</v>
      </c>
      <c r="D1053" s="9" t="s">
        <v>2913</v>
      </c>
      <c r="E1053" s="7" t="s">
        <v>2910</v>
      </c>
      <c r="F1053" s="7" t="s">
        <v>53</v>
      </c>
      <c r="G1053" s="7" t="s">
        <v>2914</v>
      </c>
      <c r="H1053" s="7">
        <v>0.115</v>
      </c>
      <c r="I1053" s="7">
        <v>44</v>
      </c>
      <c r="J1053" s="7">
        <v>800</v>
      </c>
      <c r="K1053" s="7">
        <v>600</v>
      </c>
      <c r="L1053" s="7">
        <v>150</v>
      </c>
      <c r="M1053" s="7">
        <v>30</v>
      </c>
      <c r="N1053" s="7">
        <v>60</v>
      </c>
      <c r="O1053" s="7">
        <v>45</v>
      </c>
      <c r="P1053" s="7">
        <v>252</v>
      </c>
    </row>
    <row r="1054" spans="1:16" s="10" customFormat="1">
      <c r="A1054" s="7">
        <f>IF(B1054="","",SUBTOTAL(103,$B$2:B1054))</f>
        <v>1053</v>
      </c>
      <c r="B1054" s="8" t="s">
        <v>2907</v>
      </c>
      <c r="C1054" s="7" t="s">
        <v>2915</v>
      </c>
      <c r="D1054" s="9" t="s">
        <v>2916</v>
      </c>
      <c r="E1054" s="7" t="s">
        <v>2910</v>
      </c>
      <c r="F1054" s="7" t="s">
        <v>59</v>
      </c>
      <c r="G1054" s="7" t="s">
        <v>2917</v>
      </c>
      <c r="H1054" s="7">
        <v>0.68</v>
      </c>
      <c r="I1054" s="7">
        <v>10</v>
      </c>
      <c r="J1054" s="7">
        <v>800</v>
      </c>
      <c r="K1054" s="7">
        <v>600</v>
      </c>
      <c r="L1054" s="7">
        <v>150</v>
      </c>
      <c r="M1054" s="7">
        <v>30</v>
      </c>
      <c r="N1054" s="7">
        <v>60</v>
      </c>
      <c r="O1054" s="7">
        <v>195</v>
      </c>
      <c r="P1054" s="7">
        <v>360</v>
      </c>
    </row>
    <row r="1055" spans="1:16" s="10" customFormat="1">
      <c r="A1055" s="7">
        <f>IF(B1055="","",SUBTOTAL(103,$B$2:B1055))</f>
        <v>1054</v>
      </c>
      <c r="B1055" s="8" t="s">
        <v>2907</v>
      </c>
      <c r="C1055" s="7" t="s">
        <v>2918</v>
      </c>
      <c r="D1055" s="9" t="s">
        <v>2919</v>
      </c>
      <c r="E1055" s="7" t="s">
        <v>2910</v>
      </c>
      <c r="F1055" s="7" t="s">
        <v>34</v>
      </c>
      <c r="G1055" s="7" t="s">
        <v>2920</v>
      </c>
      <c r="H1055" s="7">
        <v>0.8</v>
      </c>
      <c r="I1055" s="7">
        <v>10</v>
      </c>
      <c r="J1055" s="7">
        <v>800</v>
      </c>
      <c r="K1055" s="7">
        <v>600</v>
      </c>
      <c r="L1055" s="7">
        <v>150</v>
      </c>
      <c r="M1055" s="7">
        <v>30</v>
      </c>
      <c r="N1055" s="7">
        <v>60</v>
      </c>
      <c r="O1055" s="7">
        <v>195</v>
      </c>
      <c r="P1055" s="7">
        <v>360</v>
      </c>
    </row>
    <row r="1056" spans="1:16" s="10" customFormat="1">
      <c r="A1056" s="7">
        <f>IF(B1056="","",SUBTOTAL(103,$B$2:B1056))</f>
        <v>1055</v>
      </c>
      <c r="B1056" s="8" t="s">
        <v>2907</v>
      </c>
      <c r="C1056" s="7" t="s">
        <v>2921</v>
      </c>
      <c r="D1056" s="9" t="s">
        <v>2922</v>
      </c>
      <c r="E1056" s="7" t="s">
        <v>2910</v>
      </c>
      <c r="F1056" s="7" t="s">
        <v>64</v>
      </c>
      <c r="G1056" s="7" t="s">
        <v>2923</v>
      </c>
      <c r="H1056" s="7">
        <v>1.1379999999999999</v>
      </c>
      <c r="I1056" s="7">
        <v>5</v>
      </c>
      <c r="J1056" s="7">
        <v>800</v>
      </c>
      <c r="K1056" s="7">
        <v>600</v>
      </c>
      <c r="L1056" s="7">
        <v>150</v>
      </c>
      <c r="M1056" s="7">
        <v>30</v>
      </c>
      <c r="N1056" s="7">
        <v>60</v>
      </c>
      <c r="O1056" s="7">
        <v>400</v>
      </c>
      <c r="P1056" s="7">
        <v>678</v>
      </c>
    </row>
    <row r="1057" spans="1:16" s="10" customFormat="1">
      <c r="A1057" s="7">
        <f>IF(B1057="","",SUBTOTAL(103,$B$2:B1057))</f>
        <v>1056</v>
      </c>
      <c r="B1057" s="8" t="s">
        <v>2907</v>
      </c>
      <c r="C1057" s="7" t="s">
        <v>2924</v>
      </c>
      <c r="D1057" s="9" t="s">
        <v>2925</v>
      </c>
      <c r="E1057" s="7" t="s">
        <v>2910</v>
      </c>
      <c r="F1057" s="7" t="s">
        <v>67</v>
      </c>
      <c r="G1057" s="7" t="s">
        <v>2926</v>
      </c>
      <c r="H1057" s="7">
        <v>0.16700000000000001</v>
      </c>
      <c r="I1057" s="7">
        <v>36</v>
      </c>
      <c r="J1057" s="7">
        <v>800</v>
      </c>
      <c r="K1057" s="7">
        <v>600</v>
      </c>
      <c r="L1057" s="7">
        <v>150</v>
      </c>
      <c r="M1057" s="7">
        <v>30</v>
      </c>
      <c r="N1057" s="7">
        <v>60</v>
      </c>
      <c r="O1057" s="7">
        <v>55</v>
      </c>
      <c r="P1057" s="7">
        <v>100.9188</v>
      </c>
    </row>
    <row r="1058" spans="1:16" s="10" customFormat="1">
      <c r="A1058" s="7">
        <f>IF(B1058="","",SUBTOTAL(103,$B$2:B1058))</f>
        <v>1057</v>
      </c>
      <c r="B1058" s="8" t="s">
        <v>2927</v>
      </c>
      <c r="C1058" s="7" t="s">
        <v>2928</v>
      </c>
      <c r="D1058" s="9" t="s">
        <v>2929</v>
      </c>
      <c r="E1058" s="7" t="s">
        <v>2930</v>
      </c>
      <c r="F1058" s="7" t="s">
        <v>465</v>
      </c>
      <c r="G1058" s="7" t="s">
        <v>2931</v>
      </c>
      <c r="H1058" s="7">
        <v>0.86</v>
      </c>
      <c r="I1058" s="7">
        <v>6</v>
      </c>
      <c r="J1058" s="7">
        <v>800</v>
      </c>
      <c r="K1058" s="7">
        <v>600</v>
      </c>
      <c r="L1058" s="7">
        <v>150</v>
      </c>
      <c r="M1058" s="7">
        <v>30</v>
      </c>
      <c r="N1058" s="7"/>
      <c r="O1058" s="7">
        <v>310</v>
      </c>
      <c r="P1058" s="7">
        <v>420</v>
      </c>
    </row>
    <row r="1059" spans="1:16" s="10" customFormat="1">
      <c r="A1059" s="7">
        <f>IF(B1059="","",SUBTOTAL(103,$B$2:B1059))</f>
        <v>1058</v>
      </c>
      <c r="B1059" s="8" t="s">
        <v>2927</v>
      </c>
      <c r="C1059" s="7" t="s">
        <v>2928</v>
      </c>
      <c r="D1059" s="9" t="s">
        <v>2932</v>
      </c>
      <c r="E1059" s="7" t="s">
        <v>2933</v>
      </c>
      <c r="F1059" s="7" t="s">
        <v>465</v>
      </c>
      <c r="G1059" s="7" t="str">
        <f>E1059&amp;F1059</f>
        <v>KI KV-M1F 阀盖毛坯NPS2 CL150 CF8M</v>
      </c>
      <c r="H1059" s="7">
        <v>0.86</v>
      </c>
      <c r="I1059" s="7">
        <v>6</v>
      </c>
      <c r="J1059" s="7">
        <v>800</v>
      </c>
      <c r="K1059" s="7">
        <v>600</v>
      </c>
      <c r="L1059" s="7">
        <v>150</v>
      </c>
      <c r="M1059" s="7">
        <v>30</v>
      </c>
      <c r="N1059" s="7"/>
      <c r="O1059" s="7">
        <v>310</v>
      </c>
      <c r="P1059" s="7">
        <v>420</v>
      </c>
    </row>
    <row r="1060" spans="1:16" s="10" customFormat="1">
      <c r="A1060" s="7">
        <f>IF(B1060="","",SUBTOTAL(103,$B$2:B1060))</f>
        <v>1059</v>
      </c>
      <c r="B1060" s="8" t="s">
        <v>2927</v>
      </c>
      <c r="C1060" s="7" t="s">
        <v>2928</v>
      </c>
      <c r="D1060" s="9" t="s">
        <v>2934</v>
      </c>
      <c r="E1060" s="7" t="s">
        <v>2930</v>
      </c>
      <c r="F1060" s="7" t="s">
        <v>470</v>
      </c>
      <c r="G1060" s="7" t="s">
        <v>2935</v>
      </c>
      <c r="H1060" s="7">
        <v>0.79</v>
      </c>
      <c r="I1060" s="7">
        <v>6</v>
      </c>
      <c r="J1060" s="7">
        <v>800</v>
      </c>
      <c r="K1060" s="7">
        <v>600</v>
      </c>
      <c r="L1060" s="7">
        <v>150</v>
      </c>
      <c r="M1060" s="7">
        <v>30</v>
      </c>
      <c r="N1060" s="7"/>
      <c r="O1060" s="7">
        <v>310</v>
      </c>
      <c r="P1060" s="7">
        <v>420</v>
      </c>
    </row>
    <row r="1061" spans="1:16" s="10" customFormat="1">
      <c r="A1061" s="7">
        <f>IF(B1061="","",SUBTOTAL(103,$B$2:B1061))</f>
        <v>1060</v>
      </c>
      <c r="B1061" s="8" t="s">
        <v>2927</v>
      </c>
      <c r="C1061" s="7" t="s">
        <v>2928</v>
      </c>
      <c r="D1061" s="9" t="s">
        <v>2936</v>
      </c>
      <c r="E1061" s="7" t="s">
        <v>2933</v>
      </c>
      <c r="F1061" s="7" t="s">
        <v>470</v>
      </c>
      <c r="G1061" s="7" t="str">
        <f>E1061&amp;F1061</f>
        <v>KI KV-M1F 阀盖毛坯NPS2 CL150 WCB</v>
      </c>
      <c r="H1061" s="7">
        <v>0.86</v>
      </c>
      <c r="I1061" s="7">
        <v>6</v>
      </c>
      <c r="J1061" s="7">
        <v>800</v>
      </c>
      <c r="K1061" s="7">
        <v>600</v>
      </c>
      <c r="L1061" s="7">
        <v>150</v>
      </c>
      <c r="M1061" s="7">
        <v>30</v>
      </c>
      <c r="N1061" s="7"/>
      <c r="O1061" s="7">
        <v>310</v>
      </c>
      <c r="P1061" s="7">
        <v>420</v>
      </c>
    </row>
    <row r="1062" spans="1:16" s="10" customFormat="1">
      <c r="A1062" s="7">
        <f>IF(B1062="","",SUBTOTAL(103,$B$2:B1062))</f>
        <v>1061</v>
      </c>
      <c r="B1062" s="8" t="s">
        <v>2927</v>
      </c>
      <c r="C1062" s="7" t="s">
        <v>2937</v>
      </c>
      <c r="D1062" s="9" t="s">
        <v>2938</v>
      </c>
      <c r="E1062" s="7" t="s">
        <v>2930</v>
      </c>
      <c r="F1062" s="7" t="s">
        <v>475</v>
      </c>
      <c r="G1062" s="7" t="s">
        <v>2939</v>
      </c>
      <c r="H1062" s="7">
        <v>1.76</v>
      </c>
      <c r="I1062" s="7">
        <v>4</v>
      </c>
      <c r="J1062" s="7">
        <v>800</v>
      </c>
      <c r="K1062" s="7">
        <v>600</v>
      </c>
      <c r="L1062" s="7">
        <v>150</v>
      </c>
      <c r="M1062" s="7">
        <v>30</v>
      </c>
      <c r="N1062" s="7"/>
      <c r="O1062" s="7">
        <v>500</v>
      </c>
      <c r="P1062" s="7">
        <v>720</v>
      </c>
    </row>
    <row r="1063" spans="1:16" s="10" customFormat="1">
      <c r="A1063" s="7">
        <f>IF(B1063="","",SUBTOTAL(103,$B$2:B1063))</f>
        <v>1062</v>
      </c>
      <c r="B1063" s="8" t="s">
        <v>2927</v>
      </c>
      <c r="C1063" s="7" t="s">
        <v>2937</v>
      </c>
      <c r="D1063" s="9" t="s">
        <v>2940</v>
      </c>
      <c r="E1063" s="7" t="s">
        <v>2930</v>
      </c>
      <c r="F1063" s="7" t="s">
        <v>480</v>
      </c>
      <c r="G1063" s="7" t="s">
        <v>2941</v>
      </c>
      <c r="H1063" s="7">
        <v>1.76</v>
      </c>
      <c r="I1063" s="7">
        <v>4</v>
      </c>
      <c r="J1063" s="7">
        <v>800</v>
      </c>
      <c r="K1063" s="7">
        <v>600</v>
      </c>
      <c r="L1063" s="7">
        <v>150</v>
      </c>
      <c r="M1063" s="7">
        <v>30</v>
      </c>
      <c r="N1063" s="7"/>
      <c r="O1063" s="7">
        <v>500</v>
      </c>
      <c r="P1063" s="7">
        <v>720</v>
      </c>
    </row>
    <row r="1064" spans="1:16" s="10" customFormat="1">
      <c r="A1064" s="7">
        <f>IF(B1064="","",SUBTOTAL(103,$B$2:B1064))</f>
        <v>1063</v>
      </c>
      <c r="B1064" s="8" t="s">
        <v>2927</v>
      </c>
      <c r="C1064" s="7" t="s">
        <v>2937</v>
      </c>
      <c r="D1064" s="9" t="s">
        <v>2942</v>
      </c>
      <c r="E1064" s="7" t="s">
        <v>2933</v>
      </c>
      <c r="F1064" s="7" t="s">
        <v>2943</v>
      </c>
      <c r="G1064" s="7" t="str">
        <f>E1064&amp;F1064</f>
        <v>KI KV-M1F 阀盖毛坯NPS6 CL150 CF8</v>
      </c>
      <c r="H1064" s="7">
        <v>7.2</v>
      </c>
      <c r="I1064" s="7">
        <v>1</v>
      </c>
      <c r="J1064" s="7"/>
      <c r="K1064" s="7"/>
      <c r="L1064" s="7"/>
      <c r="M1064" s="7"/>
      <c r="N1064" s="7"/>
      <c r="O1064" s="7">
        <v>3000</v>
      </c>
      <c r="P1064" s="7">
        <v>5000</v>
      </c>
    </row>
    <row r="1065" spans="1:16" s="10" customFormat="1">
      <c r="A1065" s="7">
        <f>IF(B1065="","",SUBTOTAL(103,$B$2:B1065))</f>
        <v>1064</v>
      </c>
      <c r="B1065" s="8" t="s">
        <v>2927</v>
      </c>
      <c r="C1065" s="7" t="s">
        <v>2937</v>
      </c>
      <c r="D1065" s="9" t="s">
        <v>2944</v>
      </c>
      <c r="E1065" s="7" t="s">
        <v>2930</v>
      </c>
      <c r="F1065" s="7" t="s">
        <v>2945</v>
      </c>
      <c r="G1065" s="7" t="str">
        <f>E1065&amp;F1065</f>
        <v>KI KV-M1F 阀盖毛坯 (NACE)NPS6 CL150 ASTM A351-CF8M</v>
      </c>
      <c r="H1065" s="7"/>
      <c r="I1065" s="7">
        <v>1</v>
      </c>
      <c r="J1065" s="7"/>
      <c r="K1065" s="7"/>
      <c r="L1065" s="7"/>
      <c r="M1065" s="7"/>
      <c r="N1065" s="7"/>
      <c r="O1065" s="7">
        <v>3000</v>
      </c>
      <c r="P1065" s="7">
        <v>5000</v>
      </c>
    </row>
    <row r="1066" spans="1:16" s="10" customFormat="1">
      <c r="A1066" s="7">
        <f>IF(B1066="","",SUBTOTAL(103,$B$2:B1066))</f>
        <v>1065</v>
      </c>
      <c r="B1066" s="8" t="s">
        <v>2927</v>
      </c>
      <c r="C1066" s="7" t="s">
        <v>2946</v>
      </c>
      <c r="D1066" s="9" t="s">
        <v>2947</v>
      </c>
      <c r="E1066" s="7" t="s">
        <v>2930</v>
      </c>
      <c r="F1066" s="7" t="s">
        <v>484</v>
      </c>
      <c r="G1066" s="7" t="s">
        <v>2948</v>
      </c>
      <c r="H1066" s="7">
        <v>2.21</v>
      </c>
      <c r="I1066" s="7">
        <v>3</v>
      </c>
      <c r="J1066" s="7">
        <v>800</v>
      </c>
      <c r="K1066" s="7">
        <v>600</v>
      </c>
      <c r="L1066" s="7">
        <v>150</v>
      </c>
      <c r="M1066" s="7">
        <v>30</v>
      </c>
      <c r="N1066" s="7"/>
      <c r="O1066" s="7">
        <v>650</v>
      </c>
      <c r="P1066" s="7">
        <v>810</v>
      </c>
    </row>
    <row r="1067" spans="1:16" s="10" customFormat="1">
      <c r="A1067" s="7">
        <f>IF(B1067="","",SUBTOTAL(103,$B$2:B1067))</f>
        <v>1066</v>
      </c>
      <c r="B1067" s="8" t="s">
        <v>2927</v>
      </c>
      <c r="C1067" s="7" t="s">
        <v>2946</v>
      </c>
      <c r="D1067" s="9" t="s">
        <v>2949</v>
      </c>
      <c r="E1067" s="7" t="s">
        <v>2930</v>
      </c>
      <c r="F1067" s="7" t="s">
        <v>489</v>
      </c>
      <c r="G1067" s="7" t="s">
        <v>2950</v>
      </c>
      <c r="H1067" s="7">
        <v>2.21</v>
      </c>
      <c r="I1067" s="7">
        <v>3</v>
      </c>
      <c r="J1067" s="7">
        <v>800</v>
      </c>
      <c r="K1067" s="7">
        <v>600</v>
      </c>
      <c r="L1067" s="7">
        <v>150</v>
      </c>
      <c r="M1067" s="7">
        <v>30</v>
      </c>
      <c r="N1067" s="7"/>
      <c r="O1067" s="7">
        <v>650</v>
      </c>
      <c r="P1067" s="7">
        <v>810</v>
      </c>
    </row>
    <row r="1068" spans="1:16" s="10" customFormat="1">
      <c r="A1068" s="7">
        <f>IF(B1068="","",SUBTOTAL(103,$B$2:B1068))</f>
        <v>1067</v>
      </c>
      <c r="B1068" s="8" t="s">
        <v>2927</v>
      </c>
      <c r="C1068" s="7" t="s">
        <v>2946</v>
      </c>
      <c r="D1068" s="9" t="s">
        <v>2951</v>
      </c>
      <c r="E1068" s="7" t="s">
        <v>2933</v>
      </c>
      <c r="F1068" s="7" t="s">
        <v>489</v>
      </c>
      <c r="G1068" s="7" t="str">
        <f>E1068&amp;F1068</f>
        <v>KI KV-M1F 阀盖毛坯NPS3 CL150 WCB</v>
      </c>
      <c r="H1068" s="7">
        <v>2.21</v>
      </c>
      <c r="I1068" s="7">
        <v>3</v>
      </c>
      <c r="J1068" s="7">
        <v>800</v>
      </c>
      <c r="K1068" s="7">
        <v>600</v>
      </c>
      <c r="L1068" s="7">
        <v>150</v>
      </c>
      <c r="M1068" s="7">
        <v>30</v>
      </c>
      <c r="N1068" s="7"/>
      <c r="O1068" s="7">
        <v>650</v>
      </c>
      <c r="P1068" s="7">
        <v>810</v>
      </c>
    </row>
    <row r="1069" spans="1:16" s="10" customFormat="1">
      <c r="A1069" s="7">
        <f>IF(B1069="","",SUBTOTAL(103,$B$2:B1069))</f>
        <v>1068</v>
      </c>
      <c r="B1069" s="8" t="s">
        <v>2927</v>
      </c>
      <c r="C1069" s="7" t="s">
        <v>2952</v>
      </c>
      <c r="D1069" s="9" t="s">
        <v>2953</v>
      </c>
      <c r="E1069" s="7" t="s">
        <v>2930</v>
      </c>
      <c r="F1069" s="7" t="s">
        <v>505</v>
      </c>
      <c r="G1069" s="7" t="s">
        <v>2954</v>
      </c>
      <c r="H1069" s="7">
        <v>3.03</v>
      </c>
      <c r="I1069" s="7">
        <v>3</v>
      </c>
      <c r="J1069" s="7">
        <v>800</v>
      </c>
      <c r="K1069" s="7">
        <v>600</v>
      </c>
      <c r="L1069" s="7">
        <v>150</v>
      </c>
      <c r="M1069" s="7">
        <v>30</v>
      </c>
      <c r="N1069" s="7"/>
      <c r="O1069" s="7">
        <v>650</v>
      </c>
      <c r="P1069" s="7">
        <v>810</v>
      </c>
    </row>
    <row r="1070" spans="1:16" s="10" customFormat="1">
      <c r="A1070" s="7">
        <f>IF(B1070="","",SUBTOTAL(103,$B$2:B1070))</f>
        <v>1069</v>
      </c>
      <c r="B1070" s="8" t="s">
        <v>2927</v>
      </c>
      <c r="C1070" s="7" t="s">
        <v>2952</v>
      </c>
      <c r="D1070" s="9" t="s">
        <v>2955</v>
      </c>
      <c r="E1070" s="7" t="s">
        <v>2930</v>
      </c>
      <c r="F1070" s="7" t="s">
        <v>510</v>
      </c>
      <c r="G1070" s="7" t="s">
        <v>2956</v>
      </c>
      <c r="H1070" s="7">
        <v>3.02</v>
      </c>
      <c r="I1070" s="7">
        <v>3</v>
      </c>
      <c r="J1070" s="7">
        <v>800</v>
      </c>
      <c r="K1070" s="7">
        <v>600</v>
      </c>
      <c r="L1070" s="7">
        <v>150</v>
      </c>
      <c r="M1070" s="7">
        <v>30</v>
      </c>
      <c r="N1070" s="7"/>
      <c r="O1070" s="7">
        <v>650</v>
      </c>
      <c r="P1070" s="7">
        <v>810</v>
      </c>
    </row>
    <row r="1071" spans="1:16" s="10" customFormat="1">
      <c r="A1071" s="7">
        <f>IF(B1071="","",SUBTOTAL(103,$B$2:B1071))</f>
        <v>1070</v>
      </c>
      <c r="B1071" s="8" t="s">
        <v>2927</v>
      </c>
      <c r="C1071" s="7" t="s">
        <v>2957</v>
      </c>
      <c r="D1071" s="9" t="s">
        <v>2958</v>
      </c>
      <c r="E1071" s="7" t="s">
        <v>2930</v>
      </c>
      <c r="F1071" s="7" t="s">
        <v>520</v>
      </c>
      <c r="G1071" s="7" t="str">
        <f>E1071&amp;F1071</f>
        <v>KI KV-M1F 阀盖毛坯 (NACE)NPS6 CL150 WCB</v>
      </c>
      <c r="H1071" s="7">
        <v>7.2</v>
      </c>
      <c r="I1071" s="7">
        <v>1</v>
      </c>
      <c r="J1071" s="7"/>
      <c r="K1071" s="7"/>
      <c r="L1071" s="7"/>
      <c r="M1071" s="7"/>
      <c r="N1071" s="7"/>
      <c r="O1071" s="7">
        <v>3000</v>
      </c>
      <c r="P1071" s="7">
        <v>5000</v>
      </c>
    </row>
    <row r="1072" spans="1:16" s="10" customFormat="1">
      <c r="A1072" s="7">
        <f>IF(B1072="","",SUBTOTAL(103,$B$2:B1072))</f>
        <v>1071</v>
      </c>
      <c r="B1072" s="8" t="s">
        <v>2927</v>
      </c>
      <c r="C1072" s="7" t="s">
        <v>2957</v>
      </c>
      <c r="D1072" s="9" t="s">
        <v>2959</v>
      </c>
      <c r="E1072" s="7" t="s">
        <v>2930</v>
      </c>
      <c r="F1072" s="7" t="s">
        <v>2960</v>
      </c>
      <c r="G1072" s="7" t="str">
        <f>E1072&amp;F1072</f>
        <v>KI KV-M1F 阀盖毛坯 (NACE)NPS6 CL150 316N</v>
      </c>
      <c r="H1072" s="7">
        <v>7.2</v>
      </c>
      <c r="I1072" s="7"/>
      <c r="J1072" s="7"/>
      <c r="K1072" s="7"/>
      <c r="L1072" s="7"/>
      <c r="M1072" s="7"/>
      <c r="N1072" s="7"/>
      <c r="O1072" s="7">
        <v>3000</v>
      </c>
      <c r="P1072" s="7">
        <v>5000</v>
      </c>
    </row>
    <row r="1073" spans="1:16" s="10" customFormat="1">
      <c r="A1073" s="7">
        <f>IF(B1073="","",SUBTOTAL(103,$B$2:B1073))</f>
        <v>1072</v>
      </c>
      <c r="B1073" s="8" t="s">
        <v>2927</v>
      </c>
      <c r="C1073" s="7" t="s">
        <v>2961</v>
      </c>
      <c r="D1073" s="9" t="s">
        <v>2962</v>
      </c>
      <c r="E1073" s="7" t="s">
        <v>2933</v>
      </c>
      <c r="F1073" s="7" t="s">
        <v>453</v>
      </c>
      <c r="G1073" s="7" t="s">
        <v>2963</v>
      </c>
      <c r="H1073" s="7">
        <v>0.54</v>
      </c>
      <c r="I1073" s="7">
        <v>10</v>
      </c>
      <c r="J1073" s="7"/>
      <c r="K1073" s="7"/>
      <c r="L1073" s="7"/>
      <c r="M1073" s="7"/>
      <c r="N1073" s="7"/>
      <c r="O1073" s="7">
        <v>195</v>
      </c>
      <c r="P1073" s="7">
        <v>360</v>
      </c>
    </row>
    <row r="1074" spans="1:16" s="10" customFormat="1">
      <c r="A1074" s="7">
        <f>IF(B1074="","",SUBTOTAL(103,$B$2:B1074))</f>
        <v>1073</v>
      </c>
      <c r="B1074" s="8" t="s">
        <v>378</v>
      </c>
      <c r="C1074" s="7" t="s">
        <v>2964</v>
      </c>
      <c r="D1074" s="9" t="s">
        <v>2965</v>
      </c>
      <c r="E1074" s="7" t="s">
        <v>2966</v>
      </c>
      <c r="F1074" s="7" t="s">
        <v>56</v>
      </c>
      <c r="G1074" s="7" t="s">
        <v>2967</v>
      </c>
      <c r="H1074" s="7">
        <v>0.115</v>
      </c>
      <c r="I1074" s="7">
        <v>28</v>
      </c>
      <c r="J1074" s="7">
        <v>800</v>
      </c>
      <c r="K1074" s="7">
        <v>600</v>
      </c>
      <c r="L1074" s="7">
        <v>150</v>
      </c>
      <c r="M1074" s="7">
        <v>30</v>
      </c>
      <c r="N1074" s="7">
        <v>60</v>
      </c>
      <c r="O1074" s="7">
        <v>70</v>
      </c>
      <c r="P1074" s="7">
        <v>198</v>
      </c>
    </row>
    <row r="1075" spans="1:16" s="10" customFormat="1">
      <c r="A1075" s="7">
        <f>IF(B1075="","",SUBTOTAL(103,$B$2:B1075))</f>
        <v>1074</v>
      </c>
      <c r="B1075" s="8" t="s">
        <v>378</v>
      </c>
      <c r="C1075" s="7" t="s">
        <v>2968</v>
      </c>
      <c r="D1075" s="9" t="s">
        <v>2969</v>
      </c>
      <c r="E1075" s="7" t="s">
        <v>2966</v>
      </c>
      <c r="F1075" s="7" t="s">
        <v>64</v>
      </c>
      <c r="G1075" s="7" t="s">
        <v>2970</v>
      </c>
      <c r="H1075" s="7">
        <v>1.02</v>
      </c>
      <c r="I1075" s="7">
        <v>6</v>
      </c>
      <c r="J1075" s="7">
        <v>800</v>
      </c>
      <c r="K1075" s="7">
        <v>600</v>
      </c>
      <c r="L1075" s="7">
        <v>150</v>
      </c>
      <c r="M1075" s="7">
        <v>30</v>
      </c>
      <c r="N1075" s="7">
        <v>60</v>
      </c>
      <c r="O1075" s="7">
        <v>310</v>
      </c>
      <c r="P1075" s="7">
        <v>420</v>
      </c>
    </row>
    <row r="1076" spans="1:16" s="10" customFormat="1">
      <c r="A1076" s="7">
        <f>IF(B1076="","",SUBTOTAL(103,$B$2:B1076))</f>
        <v>1075</v>
      </c>
      <c r="B1076" s="8" t="s">
        <v>378</v>
      </c>
      <c r="C1076" s="7" t="s">
        <v>2971</v>
      </c>
      <c r="D1076" s="9" t="s">
        <v>2972</v>
      </c>
      <c r="E1076" s="7" t="s">
        <v>2966</v>
      </c>
      <c r="F1076" s="7" t="s">
        <v>273</v>
      </c>
      <c r="G1076" s="7" t="s">
        <v>2973</v>
      </c>
      <c r="H1076" s="7">
        <v>1.95</v>
      </c>
      <c r="I1076" s="7">
        <v>2</v>
      </c>
      <c r="J1076" s="7">
        <v>800</v>
      </c>
      <c r="K1076" s="7">
        <v>600</v>
      </c>
      <c r="L1076" s="7">
        <v>150</v>
      </c>
      <c r="M1076" s="7">
        <v>30</v>
      </c>
      <c r="N1076" s="7">
        <v>60</v>
      </c>
      <c r="O1076" s="7">
        <v>1000</v>
      </c>
      <c r="P1076" s="7">
        <v>1320</v>
      </c>
    </row>
    <row r="1077" spans="1:16" s="10" customFormat="1">
      <c r="A1077" s="7">
        <f>IF(B1077="","",SUBTOTAL(103,$B$2:B1077))</f>
        <v>1076</v>
      </c>
      <c r="B1077" s="8" t="s">
        <v>378</v>
      </c>
      <c r="C1077" s="7" t="s">
        <v>2974</v>
      </c>
      <c r="D1077" s="9" t="s">
        <v>2975</v>
      </c>
      <c r="E1077" s="7" t="s">
        <v>2966</v>
      </c>
      <c r="F1077" s="7" t="s">
        <v>183</v>
      </c>
      <c r="G1077" s="7" t="s">
        <v>2976</v>
      </c>
      <c r="H1077" s="7">
        <v>2.67</v>
      </c>
      <c r="I1077" s="7">
        <v>2</v>
      </c>
      <c r="J1077" s="7">
        <v>800</v>
      </c>
      <c r="K1077" s="7">
        <v>600</v>
      </c>
      <c r="L1077" s="7">
        <v>150</v>
      </c>
      <c r="M1077" s="7">
        <v>30</v>
      </c>
      <c r="N1077" s="7">
        <v>60</v>
      </c>
      <c r="O1077" s="7">
        <v>1000</v>
      </c>
      <c r="P1077" s="7">
        <v>1320</v>
      </c>
    </row>
    <row r="1078" spans="1:16" s="10" customFormat="1">
      <c r="A1078" s="7">
        <f>IF(B1078="","",SUBTOTAL(103,$B$2:B1078))</f>
        <v>1077</v>
      </c>
      <c r="B1078" s="8" t="s">
        <v>378</v>
      </c>
      <c r="C1078" s="7" t="s">
        <v>2977</v>
      </c>
      <c r="D1078" s="9" t="s">
        <v>2978</v>
      </c>
      <c r="E1078" s="7" t="s">
        <v>2966</v>
      </c>
      <c r="F1078" s="7" t="s">
        <v>45</v>
      </c>
      <c r="G1078" s="7" t="s">
        <v>2979</v>
      </c>
      <c r="H1078" s="7">
        <v>0.11</v>
      </c>
      <c r="I1078" s="7">
        <v>28</v>
      </c>
      <c r="J1078" s="7">
        <v>800</v>
      </c>
      <c r="K1078" s="7">
        <v>600</v>
      </c>
      <c r="L1078" s="7">
        <v>150</v>
      </c>
      <c r="M1078" s="7">
        <v>30</v>
      </c>
      <c r="N1078" s="7">
        <v>60</v>
      </c>
      <c r="O1078" s="7">
        <v>70</v>
      </c>
      <c r="P1078" s="7">
        <v>252</v>
      </c>
    </row>
    <row r="1079" spans="1:16" s="10" customFormat="1">
      <c r="A1079" s="7">
        <f>IF(B1079="","",SUBTOTAL(103,$B$2:B1079))</f>
        <v>1078</v>
      </c>
      <c r="B1079" s="8" t="s">
        <v>378</v>
      </c>
      <c r="C1079" s="7" t="s">
        <v>379</v>
      </c>
      <c r="D1079" s="9" t="s">
        <v>2980</v>
      </c>
      <c r="E1079" s="7" t="s">
        <v>2981</v>
      </c>
      <c r="F1079" s="7" t="s">
        <v>53</v>
      </c>
      <c r="G1079" s="7" t="s">
        <v>2982</v>
      </c>
      <c r="H1079" s="7">
        <v>0.126</v>
      </c>
      <c r="I1079" s="7">
        <v>24</v>
      </c>
      <c r="J1079" s="7">
        <v>800</v>
      </c>
      <c r="K1079" s="7">
        <v>600</v>
      </c>
      <c r="L1079" s="7">
        <v>150</v>
      </c>
      <c r="M1079" s="7">
        <v>30</v>
      </c>
      <c r="N1079" s="7">
        <v>60</v>
      </c>
      <c r="O1079" s="7">
        <v>75</v>
      </c>
      <c r="P1079" s="7">
        <v>264</v>
      </c>
    </row>
    <row r="1080" spans="1:16" s="10" customFormat="1">
      <c r="A1080" s="7">
        <f>IF(B1080="","",SUBTOTAL(103,$B$2:B1080))</f>
        <v>1079</v>
      </c>
      <c r="B1080" s="8" t="s">
        <v>378</v>
      </c>
      <c r="C1080" s="7" t="s">
        <v>379</v>
      </c>
      <c r="D1080" s="9" t="s">
        <v>2983</v>
      </c>
      <c r="E1080" s="7" t="s">
        <v>2984</v>
      </c>
      <c r="F1080" s="7" t="s">
        <v>406</v>
      </c>
      <c r="G1080" s="7" t="str">
        <f>E1080&amp;F1080</f>
        <v>KI KV-M30 阀盖毛坯NPS1/2 1000WOG WCB</v>
      </c>
      <c r="H1080" s="7">
        <v>0.126</v>
      </c>
      <c r="I1080" s="7">
        <v>24</v>
      </c>
      <c r="J1080" s="7">
        <v>800</v>
      </c>
      <c r="K1080" s="7">
        <v>600</v>
      </c>
      <c r="L1080" s="7">
        <v>150</v>
      </c>
      <c r="M1080" s="7">
        <v>30</v>
      </c>
      <c r="N1080" s="7">
        <v>60</v>
      </c>
      <c r="O1080" s="7">
        <v>75</v>
      </c>
      <c r="P1080" s="7">
        <v>264</v>
      </c>
    </row>
    <row r="1081" spans="1:16" s="10" customFormat="1">
      <c r="A1081" s="7">
        <f>IF(B1081="","",SUBTOTAL(103,$B$2:B1081))</f>
        <v>1080</v>
      </c>
      <c r="B1081" s="8" t="s">
        <v>378</v>
      </c>
      <c r="C1081" s="7" t="s">
        <v>2985</v>
      </c>
      <c r="D1081" s="9" t="s">
        <v>2986</v>
      </c>
      <c r="E1081" s="7" t="s">
        <v>2981</v>
      </c>
      <c r="F1081" s="7" t="s">
        <v>744</v>
      </c>
      <c r="G1081" s="7" t="s">
        <v>2987</v>
      </c>
      <c r="H1081" s="7">
        <v>4.76</v>
      </c>
      <c r="I1081" s="7">
        <v>2</v>
      </c>
      <c r="J1081" s="7">
        <v>800</v>
      </c>
      <c r="K1081" s="7">
        <v>600</v>
      </c>
      <c r="L1081" s="7">
        <v>150</v>
      </c>
      <c r="M1081" s="7">
        <v>30</v>
      </c>
      <c r="N1081" s="7">
        <v>60</v>
      </c>
      <c r="O1081" s="7">
        <v>1000</v>
      </c>
      <c r="P1081" s="7">
        <v>1320</v>
      </c>
    </row>
    <row r="1082" spans="1:16" s="10" customFormat="1">
      <c r="A1082" s="7">
        <f>IF(B1082="","",SUBTOTAL(103,$B$2:B1082))</f>
        <v>1081</v>
      </c>
      <c r="B1082" s="8" t="s">
        <v>378</v>
      </c>
      <c r="C1082" s="7" t="s">
        <v>2985</v>
      </c>
      <c r="D1082" s="9" t="s">
        <v>2988</v>
      </c>
      <c r="E1082" s="7" t="s">
        <v>2989</v>
      </c>
      <c r="F1082" s="7" t="s">
        <v>2990</v>
      </c>
      <c r="G1082" s="7" t="str">
        <f>E1082&amp;F1082</f>
        <v>KI KV-M30 阀盖毛坯 (KV-L32/KV-L30)NPS4 1000WOG ASTM A351-CF3M</v>
      </c>
      <c r="H1082" s="7">
        <v>4.03</v>
      </c>
      <c r="I1082" s="7">
        <v>1</v>
      </c>
      <c r="J1082" s="7">
        <v>800</v>
      </c>
      <c r="K1082" s="7">
        <v>600</v>
      </c>
      <c r="L1082" s="7">
        <v>150</v>
      </c>
      <c r="M1082" s="7">
        <v>30</v>
      </c>
      <c r="N1082" s="7">
        <v>60</v>
      </c>
      <c r="O1082" s="7">
        <v>1000</v>
      </c>
      <c r="P1082" s="7">
        <v>1320</v>
      </c>
    </row>
    <row r="1083" spans="1:16" s="10" customFormat="1">
      <c r="A1083" s="7">
        <f>IF(B1083="","",SUBTOTAL(103,$B$2:B1083))</f>
        <v>1082</v>
      </c>
      <c r="B1083" s="8" t="s">
        <v>378</v>
      </c>
      <c r="C1083" s="7" t="s">
        <v>2964</v>
      </c>
      <c r="D1083" s="9" t="s">
        <v>2991</v>
      </c>
      <c r="E1083" s="7" t="s">
        <v>2984</v>
      </c>
      <c r="F1083" s="7" t="s">
        <v>2885</v>
      </c>
      <c r="G1083" s="7" t="s">
        <v>2992</v>
      </c>
      <c r="H1083" s="7">
        <v>0.115</v>
      </c>
      <c r="I1083" s="7">
        <v>28</v>
      </c>
      <c r="J1083" s="7">
        <v>800</v>
      </c>
      <c r="K1083" s="7">
        <v>600</v>
      </c>
      <c r="L1083" s="7">
        <v>150</v>
      </c>
      <c r="M1083" s="7">
        <v>30</v>
      </c>
      <c r="N1083" s="7">
        <v>60</v>
      </c>
      <c r="O1083" s="7">
        <v>70</v>
      </c>
      <c r="P1083" s="7">
        <v>198</v>
      </c>
    </row>
    <row r="1084" spans="1:16" s="10" customFormat="1">
      <c r="A1084" s="7">
        <f>IF(B1084="","",SUBTOTAL(103,$B$2:B1084))</f>
        <v>1083</v>
      </c>
      <c r="B1084" s="8" t="s">
        <v>378</v>
      </c>
      <c r="C1084" s="7" t="s">
        <v>2968</v>
      </c>
      <c r="D1084" s="9" t="s">
        <v>2993</v>
      </c>
      <c r="E1084" s="7" t="s">
        <v>2984</v>
      </c>
      <c r="F1084" s="7" t="s">
        <v>2994</v>
      </c>
      <c r="G1084" s="7" t="s">
        <v>2995</v>
      </c>
      <c r="H1084" s="7">
        <v>1.02</v>
      </c>
      <c r="I1084" s="7">
        <v>6</v>
      </c>
      <c r="J1084" s="7">
        <v>800</v>
      </c>
      <c r="K1084" s="7">
        <v>600</v>
      </c>
      <c r="L1084" s="7">
        <v>150</v>
      </c>
      <c r="M1084" s="7">
        <v>30</v>
      </c>
      <c r="N1084" s="7">
        <v>60</v>
      </c>
      <c r="O1084" s="7">
        <v>310</v>
      </c>
      <c r="P1084" s="7">
        <v>420</v>
      </c>
    </row>
    <row r="1085" spans="1:16" s="10" customFormat="1">
      <c r="A1085" s="7">
        <f>IF(B1085="","",SUBTOTAL(103,$B$2:B1085))</f>
        <v>1084</v>
      </c>
      <c r="B1085" s="8" t="s">
        <v>378</v>
      </c>
      <c r="C1085" s="7" t="s">
        <v>2971</v>
      </c>
      <c r="D1085" s="9" t="s">
        <v>2996</v>
      </c>
      <c r="E1085" s="7" t="s">
        <v>2984</v>
      </c>
      <c r="F1085" s="7" t="s">
        <v>2997</v>
      </c>
      <c r="G1085" s="7" t="s">
        <v>2998</v>
      </c>
      <c r="H1085" s="7">
        <v>1.95</v>
      </c>
      <c r="I1085" s="7">
        <v>2</v>
      </c>
      <c r="J1085" s="7">
        <v>800</v>
      </c>
      <c r="K1085" s="7">
        <v>600</v>
      </c>
      <c r="L1085" s="7">
        <v>150</v>
      </c>
      <c r="M1085" s="7">
        <v>30</v>
      </c>
      <c r="N1085" s="7">
        <v>60</v>
      </c>
      <c r="O1085" s="7">
        <v>1000</v>
      </c>
      <c r="P1085" s="7">
        <v>1320</v>
      </c>
    </row>
    <row r="1086" spans="1:16" s="10" customFormat="1">
      <c r="A1086" s="7">
        <f>IF(B1086="","",SUBTOTAL(103,$B$2:B1086))</f>
        <v>1085</v>
      </c>
      <c r="B1086" s="8" t="s">
        <v>378</v>
      </c>
      <c r="C1086" s="7" t="s">
        <v>2971</v>
      </c>
      <c r="D1086" s="9" t="s">
        <v>2999</v>
      </c>
      <c r="E1086" s="7" t="s">
        <v>2984</v>
      </c>
      <c r="F1086" s="7" t="s">
        <v>306</v>
      </c>
      <c r="G1086" s="7" t="s">
        <v>3000</v>
      </c>
      <c r="H1086" s="7">
        <v>1.95</v>
      </c>
      <c r="I1086" s="7">
        <v>2</v>
      </c>
      <c r="J1086" s="7">
        <v>800</v>
      </c>
      <c r="K1086" s="7">
        <v>600</v>
      </c>
      <c r="L1086" s="7">
        <v>150</v>
      </c>
      <c r="M1086" s="7">
        <v>30</v>
      </c>
      <c r="N1086" s="7">
        <v>60</v>
      </c>
      <c r="O1086" s="7">
        <v>1000</v>
      </c>
      <c r="P1086" s="7">
        <v>1320</v>
      </c>
    </row>
    <row r="1087" spans="1:16" s="10" customFormat="1">
      <c r="A1087" s="7">
        <f>IF(B1087="","",SUBTOTAL(103,$B$2:B1087))</f>
        <v>1086</v>
      </c>
      <c r="B1087" s="8" t="s">
        <v>378</v>
      </c>
      <c r="C1087" s="7" t="s">
        <v>2974</v>
      </c>
      <c r="D1087" s="9" t="s">
        <v>3001</v>
      </c>
      <c r="E1087" s="7" t="s">
        <v>2984</v>
      </c>
      <c r="F1087" s="7" t="s">
        <v>186</v>
      </c>
      <c r="G1087" s="7" t="s">
        <v>3002</v>
      </c>
      <c r="H1087" s="7">
        <v>2.67</v>
      </c>
      <c r="I1087" s="7">
        <v>2</v>
      </c>
      <c r="J1087" s="7">
        <v>800</v>
      </c>
      <c r="K1087" s="7">
        <v>600</v>
      </c>
      <c r="L1087" s="7">
        <v>150</v>
      </c>
      <c r="M1087" s="7">
        <v>30</v>
      </c>
      <c r="N1087" s="7">
        <v>60</v>
      </c>
      <c r="O1087" s="7">
        <v>1000</v>
      </c>
      <c r="P1087" s="7">
        <v>1320</v>
      </c>
    </row>
    <row r="1088" spans="1:16" s="10" customFormat="1">
      <c r="A1088" s="7">
        <f>IF(B1088="","",SUBTOTAL(103,$B$2:B1088))</f>
        <v>1087</v>
      </c>
      <c r="B1088" s="8" t="s">
        <v>378</v>
      </c>
      <c r="C1088" s="7" t="s">
        <v>2977</v>
      </c>
      <c r="D1088" s="9" t="s">
        <v>3003</v>
      </c>
      <c r="E1088" s="7" t="s">
        <v>2984</v>
      </c>
      <c r="F1088" s="7" t="s">
        <v>3004</v>
      </c>
      <c r="G1088" s="7" t="s">
        <v>3005</v>
      </c>
      <c r="H1088" s="7">
        <v>0.11</v>
      </c>
      <c r="I1088" s="7">
        <v>28</v>
      </c>
      <c r="J1088" s="7">
        <v>800</v>
      </c>
      <c r="K1088" s="7">
        <v>600</v>
      </c>
      <c r="L1088" s="7">
        <v>150</v>
      </c>
      <c r="M1088" s="7">
        <v>30</v>
      </c>
      <c r="N1088" s="7">
        <v>60</v>
      </c>
      <c r="O1088" s="7">
        <v>70</v>
      </c>
      <c r="P1088" s="7">
        <v>252</v>
      </c>
    </row>
    <row r="1089" spans="1:16" s="10" customFormat="1">
      <c r="A1089" s="7">
        <f>IF(B1089="","",SUBTOTAL(103,$B$2:B1089))</f>
        <v>1088</v>
      </c>
      <c r="B1089" s="8" t="s">
        <v>378</v>
      </c>
      <c r="C1089" s="7" t="s">
        <v>2977</v>
      </c>
      <c r="D1089" s="9" t="s">
        <v>3006</v>
      </c>
      <c r="E1089" s="7" t="s">
        <v>2984</v>
      </c>
      <c r="F1089" s="7" t="s">
        <v>3007</v>
      </c>
      <c r="G1089" s="7" t="str">
        <f>E1089&amp;F1089</f>
        <v>KI KV-M30 阀盖毛坯NPS3/8 1000WOG ASTM A351-CF3M</v>
      </c>
      <c r="H1089" s="7">
        <v>0.13</v>
      </c>
      <c r="I1089" s="7">
        <v>28</v>
      </c>
      <c r="J1089" s="7">
        <v>800</v>
      </c>
      <c r="K1089" s="7">
        <v>600</v>
      </c>
      <c r="L1089" s="7">
        <v>150</v>
      </c>
      <c r="M1089" s="7">
        <v>30</v>
      </c>
      <c r="N1089" s="7">
        <v>60</v>
      </c>
      <c r="O1089" s="7">
        <v>70</v>
      </c>
      <c r="P1089" s="7">
        <v>252</v>
      </c>
    </row>
    <row r="1090" spans="1:16" s="10" customFormat="1">
      <c r="A1090" s="7">
        <f>IF(B1090="","",SUBTOTAL(103,$B$2:B1090))</f>
        <v>1089</v>
      </c>
      <c r="B1090" s="8" t="s">
        <v>2637</v>
      </c>
      <c r="C1090" s="7" t="s">
        <v>3008</v>
      </c>
      <c r="D1090" s="9" t="s">
        <v>3009</v>
      </c>
      <c r="E1090" s="7" t="s">
        <v>3010</v>
      </c>
      <c r="F1090" s="7" t="s">
        <v>3011</v>
      </c>
      <c r="G1090" s="7" t="s">
        <v>3012</v>
      </c>
      <c r="H1090" s="7">
        <v>1.01</v>
      </c>
      <c r="I1090" s="7">
        <v>6</v>
      </c>
      <c r="J1090" s="7">
        <v>800</v>
      </c>
      <c r="K1090" s="7">
        <v>600</v>
      </c>
      <c r="L1090" s="7">
        <v>150</v>
      </c>
      <c r="M1090" s="7">
        <v>30</v>
      </c>
      <c r="N1090" s="7">
        <v>60</v>
      </c>
      <c r="O1090" s="7">
        <v>310</v>
      </c>
      <c r="P1090" s="7">
        <v>420</v>
      </c>
    </row>
    <row r="1091" spans="1:16" s="10" customFormat="1">
      <c r="A1091" s="7">
        <f>IF(B1091="","",SUBTOTAL(103,$B$2:B1091))</f>
        <v>1090</v>
      </c>
      <c r="B1091" s="8" t="s">
        <v>2637</v>
      </c>
      <c r="C1091" s="7" t="s">
        <v>3013</v>
      </c>
      <c r="D1091" s="9" t="s">
        <v>3014</v>
      </c>
      <c r="E1091" s="7" t="s">
        <v>3015</v>
      </c>
      <c r="F1091" s="7" t="s">
        <v>3016</v>
      </c>
      <c r="G1091" s="7" t="s">
        <v>3017</v>
      </c>
      <c r="H1091" s="7">
        <v>0.28999999999999998</v>
      </c>
      <c r="I1091" s="7">
        <v>12</v>
      </c>
      <c r="J1091" s="7">
        <v>800</v>
      </c>
      <c r="K1091" s="7">
        <v>600</v>
      </c>
      <c r="L1091" s="7">
        <v>150</v>
      </c>
      <c r="M1091" s="7">
        <v>30</v>
      </c>
      <c r="N1091" s="7">
        <v>60</v>
      </c>
      <c r="O1091" s="7">
        <v>150</v>
      </c>
      <c r="P1091" s="7">
        <v>360</v>
      </c>
    </row>
    <row r="1092" spans="1:16" s="10" customFormat="1">
      <c r="A1092" s="7">
        <f>IF(B1092="","",SUBTOTAL(103,$B$2:B1092))</f>
        <v>1091</v>
      </c>
      <c r="B1092" s="8" t="s">
        <v>2637</v>
      </c>
      <c r="C1092" s="7" t="s">
        <v>3018</v>
      </c>
      <c r="D1092" s="9" t="s">
        <v>3019</v>
      </c>
      <c r="E1092" s="7" t="s">
        <v>3015</v>
      </c>
      <c r="F1092" s="7" t="s">
        <v>3020</v>
      </c>
      <c r="G1092" s="7" t="s">
        <v>3021</v>
      </c>
      <c r="H1092" s="7">
        <v>0.57999999999999996</v>
      </c>
      <c r="I1092" s="7">
        <v>8</v>
      </c>
      <c r="J1092" s="7">
        <v>800</v>
      </c>
      <c r="K1092" s="7">
        <v>600</v>
      </c>
      <c r="L1092" s="7">
        <v>150</v>
      </c>
      <c r="M1092" s="7">
        <v>30</v>
      </c>
      <c r="N1092" s="7">
        <v>60</v>
      </c>
      <c r="O1092" s="7">
        <v>225</v>
      </c>
      <c r="P1092" s="7">
        <v>300</v>
      </c>
    </row>
    <row r="1093" spans="1:16" s="10" customFormat="1">
      <c r="A1093" s="7">
        <f>IF(B1093="","",SUBTOTAL(103,$B$2:B1093))</f>
        <v>1092</v>
      </c>
      <c r="B1093" s="8" t="s">
        <v>2637</v>
      </c>
      <c r="C1093" s="7" t="s">
        <v>3022</v>
      </c>
      <c r="D1093" s="9" t="s">
        <v>3023</v>
      </c>
      <c r="E1093" s="7" t="s">
        <v>3015</v>
      </c>
      <c r="F1093" s="7" t="s">
        <v>3024</v>
      </c>
      <c r="G1093" s="7" t="s">
        <v>3025</v>
      </c>
      <c r="H1093" s="7">
        <v>0.52</v>
      </c>
      <c r="I1093" s="7">
        <v>8</v>
      </c>
      <c r="J1093" s="7">
        <v>800</v>
      </c>
      <c r="K1093" s="7">
        <v>600</v>
      </c>
      <c r="L1093" s="7">
        <v>150</v>
      </c>
      <c r="M1093" s="7">
        <v>30</v>
      </c>
      <c r="N1093" s="7">
        <v>60</v>
      </c>
      <c r="O1093" s="7">
        <v>225</v>
      </c>
      <c r="P1093" s="7">
        <v>300</v>
      </c>
    </row>
    <row r="1094" spans="1:16" s="10" customFormat="1">
      <c r="A1094" s="7">
        <f>IF(B1094="","",SUBTOTAL(103,$B$2:B1094))</f>
        <v>1093</v>
      </c>
      <c r="B1094" s="8" t="s">
        <v>2637</v>
      </c>
      <c r="C1094" s="7" t="s">
        <v>3026</v>
      </c>
      <c r="D1094" s="9" t="s">
        <v>3027</v>
      </c>
      <c r="E1094" s="7" t="s">
        <v>3015</v>
      </c>
      <c r="F1094" s="7" t="s">
        <v>3028</v>
      </c>
      <c r="G1094" s="7" t="s">
        <v>3029</v>
      </c>
      <c r="H1094" s="7">
        <v>1.95</v>
      </c>
      <c r="I1094" s="7">
        <v>2</v>
      </c>
      <c r="J1094" s="7">
        <v>800</v>
      </c>
      <c r="K1094" s="7">
        <v>600</v>
      </c>
      <c r="L1094" s="7">
        <v>150</v>
      </c>
      <c r="M1094" s="7">
        <v>30</v>
      </c>
      <c r="N1094" s="7">
        <v>60</v>
      </c>
      <c r="O1094" s="7">
        <v>1000</v>
      </c>
      <c r="P1094" s="7">
        <v>1320</v>
      </c>
    </row>
    <row r="1095" spans="1:16" s="10" customFormat="1">
      <c r="A1095" s="7">
        <f>IF(B1095="","",SUBTOTAL(103,$B$2:B1095))</f>
        <v>1094</v>
      </c>
      <c r="B1095" s="8" t="s">
        <v>2637</v>
      </c>
      <c r="C1095" s="7" t="s">
        <v>3030</v>
      </c>
      <c r="D1095" s="9" t="s">
        <v>3031</v>
      </c>
      <c r="E1095" s="7" t="s">
        <v>3015</v>
      </c>
      <c r="F1095" s="7" t="s">
        <v>3032</v>
      </c>
      <c r="G1095" s="7" t="s">
        <v>3033</v>
      </c>
      <c r="H1095" s="7">
        <v>2.68</v>
      </c>
      <c r="I1095" s="7">
        <v>2</v>
      </c>
      <c r="J1095" s="7">
        <v>800</v>
      </c>
      <c r="K1095" s="7">
        <v>600</v>
      </c>
      <c r="L1095" s="7">
        <v>150</v>
      </c>
      <c r="M1095" s="7">
        <v>30</v>
      </c>
      <c r="N1095" s="7">
        <v>60</v>
      </c>
      <c r="O1095" s="7">
        <v>1000</v>
      </c>
      <c r="P1095" s="7">
        <v>1320</v>
      </c>
    </row>
    <row r="1096" spans="1:16" s="10" customFormat="1">
      <c r="A1096" s="7">
        <f>IF(B1096="","",SUBTOTAL(103,$B$2:B1096))</f>
        <v>1095</v>
      </c>
      <c r="B1096" s="8" t="s">
        <v>2637</v>
      </c>
      <c r="C1096" s="7" t="s">
        <v>2649</v>
      </c>
      <c r="D1096" s="9" t="s">
        <v>3034</v>
      </c>
      <c r="E1096" s="7" t="s">
        <v>3035</v>
      </c>
      <c r="F1096" s="7" t="s">
        <v>2651</v>
      </c>
      <c r="G1096" s="7" t="s">
        <v>3036</v>
      </c>
      <c r="H1096" s="7">
        <v>0.19800000000000001</v>
      </c>
      <c r="I1096" s="7">
        <v>24</v>
      </c>
      <c r="J1096" s="7">
        <v>800</v>
      </c>
      <c r="K1096" s="7">
        <v>600</v>
      </c>
      <c r="L1096" s="7">
        <v>150</v>
      </c>
      <c r="M1096" s="7">
        <v>30</v>
      </c>
      <c r="N1096" s="7">
        <v>60</v>
      </c>
      <c r="O1096" s="7">
        <v>75</v>
      </c>
      <c r="P1096" s="7">
        <v>276</v>
      </c>
    </row>
    <row r="1097" spans="1:16" s="10" customFormat="1">
      <c r="A1097" s="7">
        <f>IF(B1097="","",SUBTOTAL(103,$B$2:B1097))</f>
        <v>1096</v>
      </c>
      <c r="B1097" s="8" t="s">
        <v>547</v>
      </c>
      <c r="C1097" s="7" t="s">
        <v>576</v>
      </c>
      <c r="D1097" s="9" t="s">
        <v>3037</v>
      </c>
      <c r="E1097" s="7" t="s">
        <v>3038</v>
      </c>
      <c r="F1097" s="7" t="s">
        <v>3039</v>
      </c>
      <c r="G1097" s="7" t="s">
        <v>3040</v>
      </c>
      <c r="H1097" s="7">
        <v>0.69599999999999995</v>
      </c>
      <c r="I1097" s="7">
        <v>8</v>
      </c>
      <c r="J1097" s="7">
        <v>800</v>
      </c>
      <c r="K1097" s="7">
        <v>600</v>
      </c>
      <c r="L1097" s="7">
        <v>150</v>
      </c>
      <c r="M1097" s="7">
        <v>30</v>
      </c>
      <c r="N1097" s="7">
        <v>240</v>
      </c>
      <c r="O1097" s="7">
        <v>225</v>
      </c>
      <c r="P1097" s="7">
        <v>300</v>
      </c>
    </row>
    <row r="1098" spans="1:16" s="10" customFormat="1">
      <c r="A1098" s="7">
        <f>IF(B1098="","",SUBTOTAL(103,$B$2:B1098))</f>
        <v>1097</v>
      </c>
      <c r="B1098" s="8" t="s">
        <v>547</v>
      </c>
      <c r="C1098" s="7" t="s">
        <v>576</v>
      </c>
      <c r="D1098" s="9" t="s">
        <v>3041</v>
      </c>
      <c r="E1098" s="7" t="s">
        <v>3042</v>
      </c>
      <c r="F1098" s="7" t="s">
        <v>587</v>
      </c>
      <c r="G1098" s="7" t="s">
        <v>3043</v>
      </c>
      <c r="H1098" s="7">
        <v>0.69599999999999995</v>
      </c>
      <c r="I1098" s="7">
        <v>3</v>
      </c>
      <c r="J1098" s="7">
        <v>800</v>
      </c>
      <c r="K1098" s="7">
        <v>600</v>
      </c>
      <c r="L1098" s="7">
        <v>150</v>
      </c>
      <c r="M1098" s="7">
        <v>30</v>
      </c>
      <c r="N1098" s="7">
        <v>240</v>
      </c>
      <c r="O1098" s="7">
        <v>225</v>
      </c>
      <c r="P1098" s="7">
        <v>300</v>
      </c>
    </row>
    <row r="1099" spans="1:16" s="10" customFormat="1">
      <c r="A1099" s="7">
        <f>IF(B1099="","",SUBTOTAL(103,$B$2:B1099))</f>
        <v>1098</v>
      </c>
      <c r="B1099" s="8" t="s">
        <v>547</v>
      </c>
      <c r="C1099" s="7" t="s">
        <v>576</v>
      </c>
      <c r="D1099" s="9" t="s">
        <v>3044</v>
      </c>
      <c r="E1099" s="7" t="s">
        <v>3042</v>
      </c>
      <c r="F1099" s="7" t="s">
        <v>593</v>
      </c>
      <c r="G1099" s="7" t="s">
        <v>3045</v>
      </c>
      <c r="H1099" s="7">
        <v>0.69599999999999995</v>
      </c>
      <c r="I1099" s="7">
        <v>3</v>
      </c>
      <c r="J1099" s="7">
        <v>800</v>
      </c>
      <c r="K1099" s="7">
        <v>600</v>
      </c>
      <c r="L1099" s="7">
        <v>150</v>
      </c>
      <c r="M1099" s="7">
        <v>30</v>
      </c>
      <c r="N1099" s="7">
        <v>240</v>
      </c>
      <c r="O1099" s="7">
        <v>225</v>
      </c>
      <c r="P1099" s="7">
        <v>300</v>
      </c>
    </row>
    <row r="1100" spans="1:16" s="10" customFormat="1">
      <c r="A1100" s="7">
        <f>IF(B1100="","",SUBTOTAL(103,$B$2:B1100))</f>
        <v>1099</v>
      </c>
      <c r="B1100" s="8" t="s">
        <v>547</v>
      </c>
      <c r="C1100" s="7" t="s">
        <v>576</v>
      </c>
      <c r="D1100" s="9" t="s">
        <v>3046</v>
      </c>
      <c r="E1100" s="7" t="s">
        <v>3038</v>
      </c>
      <c r="F1100" s="7" t="s">
        <v>589</v>
      </c>
      <c r="G1100" s="7" t="s">
        <v>3047</v>
      </c>
      <c r="H1100" s="7">
        <v>0.69599999999999995</v>
      </c>
      <c r="I1100" s="7">
        <v>8</v>
      </c>
      <c r="J1100" s="7">
        <v>800</v>
      </c>
      <c r="K1100" s="7">
        <v>600</v>
      </c>
      <c r="L1100" s="7">
        <v>150</v>
      </c>
      <c r="M1100" s="7">
        <v>30</v>
      </c>
      <c r="N1100" s="7">
        <v>240</v>
      </c>
      <c r="O1100" s="7">
        <v>225</v>
      </c>
      <c r="P1100" s="7">
        <v>300</v>
      </c>
    </row>
    <row r="1101" spans="1:16" s="10" customFormat="1">
      <c r="A1101" s="7">
        <f>IF(B1101="","",SUBTOTAL(103,$B$2:B1101))</f>
        <v>1100</v>
      </c>
      <c r="B1101" s="8" t="s">
        <v>547</v>
      </c>
      <c r="C1101" s="7" t="s">
        <v>576</v>
      </c>
      <c r="D1101" s="9" t="s">
        <v>3048</v>
      </c>
      <c r="E1101" s="7" t="s">
        <v>562</v>
      </c>
      <c r="F1101" s="7" t="s">
        <v>2666</v>
      </c>
      <c r="G1101" s="7" t="str">
        <f>E1101&amp;F1101</f>
        <v>Ladish KV-080-RD 阀体毛坯NPS1 CL800 ASTM A351-CN7M</v>
      </c>
      <c r="H1101" s="7">
        <v>0.69599999999999995</v>
      </c>
      <c r="I1101" s="7">
        <v>8</v>
      </c>
      <c r="J1101" s="7">
        <v>800</v>
      </c>
      <c r="K1101" s="7">
        <v>600</v>
      </c>
      <c r="L1101" s="7">
        <v>150</v>
      </c>
      <c r="M1101" s="7">
        <v>30</v>
      </c>
      <c r="N1101" s="7">
        <v>240</v>
      </c>
      <c r="O1101" s="7">
        <v>225</v>
      </c>
      <c r="P1101" s="7">
        <v>300</v>
      </c>
    </row>
    <row r="1102" spans="1:16" s="10" customFormat="1">
      <c r="A1102" s="7">
        <f>IF(B1102="","",SUBTOTAL(103,$B$2:B1102))</f>
        <v>1101</v>
      </c>
      <c r="B1102" s="8" t="s">
        <v>547</v>
      </c>
      <c r="C1102" s="7" t="s">
        <v>576</v>
      </c>
      <c r="D1102" s="9" t="s">
        <v>3049</v>
      </c>
      <c r="E1102" s="7" t="s">
        <v>3038</v>
      </c>
      <c r="F1102" s="7" t="s">
        <v>596</v>
      </c>
      <c r="G1102" s="7" t="s">
        <v>3050</v>
      </c>
      <c r="H1102" s="7">
        <v>0.69599999999999995</v>
      </c>
      <c r="I1102" s="7">
        <v>8</v>
      </c>
      <c r="J1102" s="7">
        <v>800</v>
      </c>
      <c r="K1102" s="7">
        <v>600</v>
      </c>
      <c r="L1102" s="7">
        <v>150</v>
      </c>
      <c r="M1102" s="7">
        <v>30</v>
      </c>
      <c r="N1102" s="7">
        <v>240</v>
      </c>
      <c r="O1102" s="7">
        <v>225</v>
      </c>
      <c r="P1102" s="7">
        <v>300</v>
      </c>
    </row>
    <row r="1103" spans="1:16" s="10" customFormat="1">
      <c r="A1103" s="7">
        <f>IF(B1103="","",SUBTOTAL(103,$B$2:B1103))</f>
        <v>1102</v>
      </c>
      <c r="B1103" s="8" t="s">
        <v>547</v>
      </c>
      <c r="C1103" s="7" t="s">
        <v>599</v>
      </c>
      <c r="D1103" s="9" t="s">
        <v>3051</v>
      </c>
      <c r="E1103" s="7" t="s">
        <v>3038</v>
      </c>
      <c r="F1103" s="7" t="s">
        <v>610</v>
      </c>
      <c r="G1103" s="7" t="s">
        <v>3052</v>
      </c>
      <c r="H1103" s="7">
        <v>0.36399999999999999</v>
      </c>
      <c r="I1103" s="7">
        <v>8</v>
      </c>
      <c r="J1103" s="7">
        <v>800</v>
      </c>
      <c r="K1103" s="7">
        <v>600</v>
      </c>
      <c r="L1103" s="7">
        <v>150</v>
      </c>
      <c r="M1103" s="7">
        <v>30</v>
      </c>
      <c r="N1103" s="7">
        <v>240</v>
      </c>
      <c r="O1103" s="7">
        <v>225</v>
      </c>
      <c r="P1103" s="7">
        <v>300</v>
      </c>
    </row>
    <row r="1104" spans="1:16" s="10" customFormat="1">
      <c r="A1104" s="7">
        <f>IF(B1104="","",SUBTOTAL(103,$B$2:B1104))</f>
        <v>1103</v>
      </c>
      <c r="B1104" s="8" t="s">
        <v>547</v>
      </c>
      <c r="C1104" s="7" t="s">
        <v>599</v>
      </c>
      <c r="D1104" s="9" t="s">
        <v>3053</v>
      </c>
      <c r="E1104" s="7" t="s">
        <v>562</v>
      </c>
      <c r="F1104" s="7" t="s">
        <v>2676</v>
      </c>
      <c r="G1104" s="7" t="str">
        <f>E1104&amp;F1104</f>
        <v>Ladish KV-080-RD 阀体毛坯NPS1/2 CL800 ASTM A351-CN7M</v>
      </c>
      <c r="H1104" s="7">
        <v>0.36399999999999999</v>
      </c>
      <c r="I1104" s="7">
        <v>8</v>
      </c>
      <c r="J1104" s="7">
        <v>800</v>
      </c>
      <c r="K1104" s="7">
        <v>600</v>
      </c>
      <c r="L1104" s="7">
        <v>150</v>
      </c>
      <c r="M1104" s="7">
        <v>30</v>
      </c>
      <c r="N1104" s="7">
        <v>240</v>
      </c>
      <c r="O1104" s="7">
        <v>225</v>
      </c>
      <c r="P1104" s="7">
        <v>300</v>
      </c>
    </row>
    <row r="1105" spans="1:16" s="10" customFormat="1">
      <c r="A1105" s="7">
        <f>IF(B1105="","",SUBTOTAL(103,$B$2:B1105))</f>
        <v>1104</v>
      </c>
      <c r="B1105" s="8" t="s">
        <v>547</v>
      </c>
      <c r="C1105" s="7" t="s">
        <v>599</v>
      </c>
      <c r="D1105" s="9" t="s">
        <v>3054</v>
      </c>
      <c r="E1105" s="7" t="s">
        <v>3038</v>
      </c>
      <c r="F1105" s="7" t="s">
        <v>617</v>
      </c>
      <c r="G1105" s="7" t="s">
        <v>3055</v>
      </c>
      <c r="H1105" s="7">
        <v>0.36399999999999999</v>
      </c>
      <c r="I1105" s="7">
        <v>8</v>
      </c>
      <c r="J1105" s="7">
        <v>800</v>
      </c>
      <c r="K1105" s="7">
        <v>600</v>
      </c>
      <c r="L1105" s="7">
        <v>150</v>
      </c>
      <c r="M1105" s="7">
        <v>30</v>
      </c>
      <c r="N1105" s="7">
        <v>240</v>
      </c>
      <c r="O1105" s="7">
        <v>225</v>
      </c>
      <c r="P1105" s="7">
        <v>300</v>
      </c>
    </row>
    <row r="1106" spans="1:16" s="10" customFormat="1">
      <c r="A1106" s="7">
        <f>IF(B1106="","",SUBTOTAL(103,$B$2:B1106))</f>
        <v>1105</v>
      </c>
      <c r="B1106" s="8" t="s">
        <v>547</v>
      </c>
      <c r="C1106" s="7" t="s">
        <v>646</v>
      </c>
      <c r="D1106" s="9" t="s">
        <v>3056</v>
      </c>
      <c r="E1106" s="7" t="s">
        <v>3042</v>
      </c>
      <c r="F1106" s="7" t="s">
        <v>654</v>
      </c>
      <c r="G1106" s="7" t="s">
        <v>3057</v>
      </c>
      <c r="H1106" s="7">
        <v>0.50700000000000001</v>
      </c>
      <c r="I1106" s="7">
        <v>5</v>
      </c>
      <c r="J1106" s="7">
        <v>800</v>
      </c>
      <c r="K1106" s="7">
        <v>600</v>
      </c>
      <c r="L1106" s="7">
        <v>150</v>
      </c>
      <c r="M1106" s="7">
        <v>30</v>
      </c>
      <c r="N1106" s="7">
        <v>240</v>
      </c>
      <c r="O1106" s="7">
        <v>225</v>
      </c>
      <c r="P1106" s="7">
        <v>300</v>
      </c>
    </row>
    <row r="1107" spans="1:16" s="10" customFormat="1">
      <c r="A1107" s="7">
        <f>IF(B1107="","",SUBTOTAL(103,$B$2:B1107))</f>
        <v>1106</v>
      </c>
      <c r="B1107" s="8" t="s">
        <v>547</v>
      </c>
      <c r="C1107" s="7" t="s">
        <v>646</v>
      </c>
      <c r="D1107" s="9" t="s">
        <v>3058</v>
      </c>
      <c r="E1107" s="7" t="s">
        <v>3038</v>
      </c>
      <c r="F1107" s="7" t="s">
        <v>3059</v>
      </c>
      <c r="G1107" s="7" t="s">
        <v>3060</v>
      </c>
      <c r="H1107" s="7">
        <v>0.50700000000000001</v>
      </c>
      <c r="I1107" s="7">
        <v>8</v>
      </c>
      <c r="J1107" s="7">
        <v>800</v>
      </c>
      <c r="K1107" s="7">
        <v>600</v>
      </c>
      <c r="L1107" s="7">
        <v>150</v>
      </c>
      <c r="M1107" s="7">
        <v>30</v>
      </c>
      <c r="N1107" s="7">
        <v>240</v>
      </c>
      <c r="O1107" s="7">
        <v>225</v>
      </c>
      <c r="P1107" s="7">
        <v>300</v>
      </c>
    </row>
    <row r="1108" spans="1:16" s="10" customFormat="1">
      <c r="A1108" s="7">
        <f>IF(B1108="","",SUBTOTAL(103,$B$2:B1108))</f>
        <v>1107</v>
      </c>
      <c r="B1108" s="8" t="s">
        <v>547</v>
      </c>
      <c r="C1108" s="7" t="s">
        <v>646</v>
      </c>
      <c r="D1108" s="9" t="s">
        <v>3061</v>
      </c>
      <c r="E1108" s="7" t="s">
        <v>3042</v>
      </c>
      <c r="F1108" s="7" t="s">
        <v>660</v>
      </c>
      <c r="G1108" s="7" t="s">
        <v>3062</v>
      </c>
      <c r="H1108" s="7">
        <v>0.50700000000000001</v>
      </c>
      <c r="I1108" s="7">
        <v>5</v>
      </c>
      <c r="J1108" s="7">
        <v>800</v>
      </c>
      <c r="K1108" s="7">
        <v>600</v>
      </c>
      <c r="L1108" s="7">
        <v>150</v>
      </c>
      <c r="M1108" s="7">
        <v>30</v>
      </c>
      <c r="N1108" s="7">
        <v>240</v>
      </c>
      <c r="O1108" s="7">
        <v>225</v>
      </c>
      <c r="P1108" s="7">
        <v>300</v>
      </c>
    </row>
    <row r="1109" spans="1:16" s="10" customFormat="1">
      <c r="A1109" s="7">
        <f>IF(B1109="","",SUBTOTAL(103,$B$2:B1109))</f>
        <v>1108</v>
      </c>
      <c r="B1109" s="8" t="s">
        <v>547</v>
      </c>
      <c r="C1109" s="7" t="s">
        <v>646</v>
      </c>
      <c r="D1109" s="9" t="s">
        <v>3063</v>
      </c>
      <c r="E1109" s="7" t="s">
        <v>3038</v>
      </c>
      <c r="F1109" s="7" t="s">
        <v>656</v>
      </c>
      <c r="G1109" s="7" t="s">
        <v>3064</v>
      </c>
      <c r="H1109" s="7">
        <v>0.50700000000000001</v>
      </c>
      <c r="I1109" s="7">
        <v>8</v>
      </c>
      <c r="J1109" s="7">
        <v>800</v>
      </c>
      <c r="K1109" s="7">
        <v>600</v>
      </c>
      <c r="L1109" s="7">
        <v>150</v>
      </c>
      <c r="M1109" s="7">
        <v>30</v>
      </c>
      <c r="N1109" s="7">
        <v>240</v>
      </c>
      <c r="O1109" s="7">
        <v>225</v>
      </c>
      <c r="P1109" s="7">
        <v>300</v>
      </c>
    </row>
    <row r="1110" spans="1:16" s="10" customFormat="1">
      <c r="A1110" s="7">
        <f>IF(B1110="","",SUBTOTAL(103,$B$2:B1110))</f>
        <v>1109</v>
      </c>
      <c r="B1110" s="8" t="s">
        <v>547</v>
      </c>
      <c r="C1110" s="7" t="s">
        <v>646</v>
      </c>
      <c r="D1110" s="9" t="s">
        <v>3065</v>
      </c>
      <c r="E1110" s="7" t="s">
        <v>562</v>
      </c>
      <c r="F1110" s="7" t="s">
        <v>2706</v>
      </c>
      <c r="G1110" s="7" t="str">
        <f>E1110&amp;F1110</f>
        <v>Ladish KV-080-RD 阀体毛坯NPS3/4 CL800 ASTM A351-CN7M</v>
      </c>
      <c r="H1110" s="7">
        <v>0.50700000000000001</v>
      </c>
      <c r="I1110" s="7">
        <v>8</v>
      </c>
      <c r="J1110" s="7">
        <v>800</v>
      </c>
      <c r="K1110" s="7">
        <v>600</v>
      </c>
      <c r="L1110" s="7">
        <v>150</v>
      </c>
      <c r="M1110" s="7">
        <v>30</v>
      </c>
      <c r="N1110" s="7">
        <v>240</v>
      </c>
      <c r="O1110" s="7">
        <v>225</v>
      </c>
      <c r="P1110" s="7">
        <v>300</v>
      </c>
    </row>
    <row r="1111" spans="1:16" s="10" customFormat="1">
      <c r="A1111" s="7">
        <f>IF(B1111="","",SUBTOTAL(103,$B$2:B1111))</f>
        <v>1110</v>
      </c>
      <c r="B1111" s="8" t="s">
        <v>547</v>
      </c>
      <c r="C1111" s="7" t="s">
        <v>646</v>
      </c>
      <c r="D1111" s="9" t="s">
        <v>3066</v>
      </c>
      <c r="E1111" s="7" t="s">
        <v>3038</v>
      </c>
      <c r="F1111" s="7" t="s">
        <v>663</v>
      </c>
      <c r="G1111" s="7" t="s">
        <v>3067</v>
      </c>
      <c r="H1111" s="7">
        <v>0.50700000000000001</v>
      </c>
      <c r="I1111" s="7">
        <v>8</v>
      </c>
      <c r="J1111" s="7">
        <v>800</v>
      </c>
      <c r="K1111" s="7">
        <v>600</v>
      </c>
      <c r="L1111" s="7">
        <v>150</v>
      </c>
      <c r="M1111" s="7">
        <v>30</v>
      </c>
      <c r="N1111" s="7">
        <v>240</v>
      </c>
      <c r="O1111" s="7">
        <v>225</v>
      </c>
      <c r="P1111" s="7">
        <v>300</v>
      </c>
    </row>
    <row r="1112" spans="1:16" s="10" customFormat="1">
      <c r="A1112" s="7">
        <f>IF(B1112="","",SUBTOTAL(103,$B$2:B1112))</f>
        <v>1111</v>
      </c>
      <c r="B1112" s="8" t="s">
        <v>547</v>
      </c>
      <c r="C1112" s="7" t="s">
        <v>626</v>
      </c>
      <c r="D1112" s="9" t="s">
        <v>3068</v>
      </c>
      <c r="E1112" s="7" t="s">
        <v>3069</v>
      </c>
      <c r="F1112" s="7" t="s">
        <v>2765</v>
      </c>
      <c r="G1112" s="7" t="s">
        <v>3070</v>
      </c>
      <c r="H1112" s="7">
        <v>1.93</v>
      </c>
      <c r="I1112" s="7">
        <v>2</v>
      </c>
      <c r="J1112" s="7">
        <v>800</v>
      </c>
      <c r="K1112" s="7">
        <v>600</v>
      </c>
      <c r="L1112" s="7">
        <v>150</v>
      </c>
      <c r="M1112" s="7">
        <v>30</v>
      </c>
      <c r="N1112" s="7">
        <v>240</v>
      </c>
      <c r="O1112" s="7">
        <v>1000</v>
      </c>
      <c r="P1112" s="7">
        <v>1320</v>
      </c>
    </row>
    <row r="1113" spans="1:16" s="10" customFormat="1">
      <c r="A1113" s="7">
        <f>IF(B1113="","",SUBTOTAL(103,$B$2:B1113))</f>
        <v>1112</v>
      </c>
      <c r="B1113" s="8" t="s">
        <v>547</v>
      </c>
      <c r="C1113" s="7" t="s">
        <v>555</v>
      </c>
      <c r="D1113" s="9" t="s">
        <v>3071</v>
      </c>
      <c r="E1113" s="7" t="s">
        <v>3069</v>
      </c>
      <c r="F1113" s="7" t="s">
        <v>2790</v>
      </c>
      <c r="G1113" s="7" t="s">
        <v>3072</v>
      </c>
      <c r="H1113" s="7">
        <v>3.19</v>
      </c>
      <c r="I1113" s="7">
        <v>2</v>
      </c>
      <c r="J1113" s="7">
        <v>800</v>
      </c>
      <c r="K1113" s="7">
        <v>600</v>
      </c>
      <c r="L1113" s="7">
        <v>150</v>
      </c>
      <c r="M1113" s="7">
        <v>30</v>
      </c>
      <c r="N1113" s="7">
        <v>240</v>
      </c>
      <c r="O1113" s="7">
        <v>1000</v>
      </c>
      <c r="P1113" s="7">
        <v>1320</v>
      </c>
    </row>
    <row r="1114" spans="1:16" s="10" customFormat="1">
      <c r="A1114" s="7">
        <f>IF(B1114="","",SUBTOTAL(103,$B$2:B1114))</f>
        <v>1113</v>
      </c>
      <c r="B1114" s="8" t="s">
        <v>547</v>
      </c>
      <c r="C1114" s="7" t="s">
        <v>626</v>
      </c>
      <c r="D1114" s="9" t="s">
        <v>3073</v>
      </c>
      <c r="E1114" s="7" t="s">
        <v>3042</v>
      </c>
      <c r="F1114" s="7" t="s">
        <v>634</v>
      </c>
      <c r="G1114" s="7" t="s">
        <v>3074</v>
      </c>
      <c r="H1114" s="7">
        <v>1.93</v>
      </c>
      <c r="I1114" s="7">
        <v>2</v>
      </c>
      <c r="J1114" s="7">
        <v>800</v>
      </c>
      <c r="K1114" s="7">
        <v>600</v>
      </c>
      <c r="L1114" s="7">
        <v>150</v>
      </c>
      <c r="M1114" s="7">
        <v>30</v>
      </c>
      <c r="N1114" s="7">
        <v>240</v>
      </c>
      <c r="O1114" s="7">
        <v>1000</v>
      </c>
      <c r="P1114" s="7">
        <v>1320</v>
      </c>
    </row>
    <row r="1115" spans="1:16" s="10" customFormat="1">
      <c r="A1115" s="7">
        <f>IF(B1115="","",SUBTOTAL(103,$B$2:B1115))</f>
        <v>1114</v>
      </c>
      <c r="B1115" s="8" t="s">
        <v>547</v>
      </c>
      <c r="C1115" s="7" t="s">
        <v>626</v>
      </c>
      <c r="D1115" s="9" t="s">
        <v>3075</v>
      </c>
      <c r="E1115" s="7" t="s">
        <v>3076</v>
      </c>
      <c r="F1115" s="7" t="s">
        <v>3077</v>
      </c>
      <c r="G1115" s="7" t="s">
        <v>3078</v>
      </c>
      <c r="H1115" s="7">
        <v>1.93</v>
      </c>
      <c r="I1115" s="7">
        <v>2</v>
      </c>
      <c r="J1115" s="7">
        <v>800</v>
      </c>
      <c r="K1115" s="7">
        <v>600</v>
      </c>
      <c r="L1115" s="7">
        <v>150</v>
      </c>
      <c r="M1115" s="7">
        <v>30</v>
      </c>
      <c r="N1115" s="7">
        <v>240</v>
      </c>
      <c r="O1115" s="7">
        <v>1000</v>
      </c>
      <c r="P1115" s="7">
        <v>1320</v>
      </c>
    </row>
    <row r="1116" spans="1:16" s="10" customFormat="1">
      <c r="A1116" s="7">
        <f>IF(B1116="","",SUBTOTAL(103,$B$2:B1116))</f>
        <v>1115</v>
      </c>
      <c r="B1116" s="8" t="s">
        <v>547</v>
      </c>
      <c r="C1116" s="7" t="s">
        <v>626</v>
      </c>
      <c r="D1116" s="9" t="s">
        <v>3079</v>
      </c>
      <c r="E1116" s="7" t="s">
        <v>3042</v>
      </c>
      <c r="F1116" s="7" t="s">
        <v>638</v>
      </c>
      <c r="G1116" s="7" t="s">
        <v>3080</v>
      </c>
      <c r="H1116" s="7">
        <v>1.93</v>
      </c>
      <c r="I1116" s="7">
        <v>2</v>
      </c>
      <c r="J1116" s="7">
        <v>800</v>
      </c>
      <c r="K1116" s="7">
        <v>600</v>
      </c>
      <c r="L1116" s="7">
        <v>150</v>
      </c>
      <c r="M1116" s="7">
        <v>30</v>
      </c>
      <c r="N1116" s="7">
        <v>240</v>
      </c>
      <c r="O1116" s="7">
        <v>1000</v>
      </c>
      <c r="P1116" s="7">
        <v>1320</v>
      </c>
    </row>
    <row r="1117" spans="1:16" s="10" customFormat="1">
      <c r="A1117" s="7">
        <f>IF(B1117="","",SUBTOTAL(103,$B$2:B1117))</f>
        <v>1116</v>
      </c>
      <c r="B1117" s="8" t="s">
        <v>547</v>
      </c>
      <c r="C1117" s="7" t="s">
        <v>626</v>
      </c>
      <c r="D1117" s="9" t="s">
        <v>3081</v>
      </c>
      <c r="E1117" s="7" t="s">
        <v>3076</v>
      </c>
      <c r="F1117" s="7" t="s">
        <v>2682</v>
      </c>
      <c r="G1117" s="7" t="s">
        <v>3082</v>
      </c>
      <c r="H1117" s="7">
        <v>1.93</v>
      </c>
      <c r="I1117" s="7">
        <v>2</v>
      </c>
      <c r="J1117" s="7">
        <v>800</v>
      </c>
      <c r="K1117" s="7">
        <v>600</v>
      </c>
      <c r="L1117" s="7">
        <v>150</v>
      </c>
      <c r="M1117" s="7">
        <v>30</v>
      </c>
      <c r="N1117" s="7">
        <v>240</v>
      </c>
      <c r="O1117" s="7">
        <v>1000</v>
      </c>
      <c r="P1117" s="7">
        <v>1320</v>
      </c>
    </row>
    <row r="1118" spans="1:16" s="10" customFormat="1">
      <c r="A1118" s="7">
        <f>IF(B1118="","",SUBTOTAL(103,$B$2:B1118))</f>
        <v>1117</v>
      </c>
      <c r="B1118" s="8" t="s">
        <v>547</v>
      </c>
      <c r="C1118" s="7" t="s">
        <v>626</v>
      </c>
      <c r="D1118" s="9" t="s">
        <v>3083</v>
      </c>
      <c r="E1118" s="7" t="s">
        <v>3084</v>
      </c>
      <c r="F1118" s="7" t="s">
        <v>2685</v>
      </c>
      <c r="G1118" s="7" t="s">
        <v>3085</v>
      </c>
      <c r="H1118" s="7">
        <v>1.93</v>
      </c>
      <c r="I1118" s="7">
        <v>2</v>
      </c>
      <c r="J1118" s="7">
        <v>800</v>
      </c>
      <c r="K1118" s="7">
        <v>600</v>
      </c>
      <c r="L1118" s="7">
        <v>150</v>
      </c>
      <c r="M1118" s="7">
        <v>30</v>
      </c>
      <c r="N1118" s="7">
        <v>240</v>
      </c>
      <c r="O1118" s="7">
        <v>1000</v>
      </c>
      <c r="P1118" s="7">
        <v>1320</v>
      </c>
    </row>
    <row r="1119" spans="1:16" s="10" customFormat="1">
      <c r="A1119" s="7">
        <f>IF(B1119="","",SUBTOTAL(103,$B$2:B1119))</f>
        <v>1118</v>
      </c>
      <c r="B1119" s="8" t="s">
        <v>547</v>
      </c>
      <c r="C1119" s="7" t="s">
        <v>555</v>
      </c>
      <c r="D1119" s="9" t="s">
        <v>3086</v>
      </c>
      <c r="E1119" s="7" t="s">
        <v>3076</v>
      </c>
      <c r="F1119" s="7" t="s">
        <v>3087</v>
      </c>
      <c r="G1119" s="7" t="s">
        <v>3088</v>
      </c>
      <c r="H1119" s="7">
        <v>3.19</v>
      </c>
      <c r="I1119" s="7">
        <v>2</v>
      </c>
      <c r="J1119" s="7">
        <v>800</v>
      </c>
      <c r="K1119" s="7">
        <v>600</v>
      </c>
      <c r="L1119" s="7">
        <v>150</v>
      </c>
      <c r="M1119" s="7">
        <v>30</v>
      </c>
      <c r="N1119" s="7">
        <v>240</v>
      </c>
      <c r="O1119" s="7">
        <v>1000</v>
      </c>
      <c r="P1119" s="7">
        <v>1320</v>
      </c>
    </row>
    <row r="1120" spans="1:16" s="10" customFormat="1">
      <c r="A1120" s="7">
        <f>IF(B1120="","",SUBTOTAL(103,$B$2:B1120))</f>
        <v>1119</v>
      </c>
      <c r="B1120" s="8" t="s">
        <v>547</v>
      </c>
      <c r="C1120" s="7" t="s">
        <v>555</v>
      </c>
      <c r="D1120" s="9" t="s">
        <v>3089</v>
      </c>
      <c r="E1120" s="7" t="s">
        <v>3076</v>
      </c>
      <c r="F1120" s="7" t="s">
        <v>566</v>
      </c>
      <c r="G1120" s="7" t="s">
        <v>3090</v>
      </c>
      <c r="H1120" s="7">
        <v>3.19</v>
      </c>
      <c r="I1120" s="7">
        <v>2</v>
      </c>
      <c r="J1120" s="7">
        <v>800</v>
      </c>
      <c r="K1120" s="7">
        <v>600</v>
      </c>
      <c r="L1120" s="7">
        <v>150</v>
      </c>
      <c r="M1120" s="7">
        <v>30</v>
      </c>
      <c r="N1120" s="7">
        <v>240</v>
      </c>
      <c r="O1120" s="7">
        <v>1000</v>
      </c>
      <c r="P1120" s="7">
        <v>1320</v>
      </c>
    </row>
    <row r="1121" spans="1:16" s="10" customFormat="1">
      <c r="A1121" s="7">
        <f>IF(B1121="","",SUBTOTAL(103,$B$2:B1121))</f>
        <v>1120</v>
      </c>
      <c r="B1121" s="8" t="s">
        <v>547</v>
      </c>
      <c r="C1121" s="7" t="s">
        <v>555</v>
      </c>
      <c r="D1121" s="9" t="s">
        <v>3091</v>
      </c>
      <c r="E1121" s="7" t="s">
        <v>3084</v>
      </c>
      <c r="F1121" s="7" t="s">
        <v>2694</v>
      </c>
      <c r="G1121" s="7" t="s">
        <v>3092</v>
      </c>
      <c r="H1121" s="7">
        <v>3.19</v>
      </c>
      <c r="I1121" s="7">
        <v>2</v>
      </c>
      <c r="J1121" s="7">
        <v>800</v>
      </c>
      <c r="K1121" s="7">
        <v>600</v>
      </c>
      <c r="L1121" s="7">
        <v>150</v>
      </c>
      <c r="M1121" s="7">
        <v>30</v>
      </c>
      <c r="N1121" s="7">
        <v>240</v>
      </c>
      <c r="O1121" s="7">
        <v>1000</v>
      </c>
      <c r="P1121" s="7">
        <v>1320</v>
      </c>
    </row>
    <row r="1122" spans="1:16" s="10" customFormat="1">
      <c r="A1122" s="7">
        <f>IF(B1122="","",SUBTOTAL(103,$B$2:B1122))</f>
        <v>1121</v>
      </c>
      <c r="B1122" s="8" t="s">
        <v>547</v>
      </c>
      <c r="C1122" s="7" t="s">
        <v>576</v>
      </c>
      <c r="D1122" s="9" t="s">
        <v>3093</v>
      </c>
      <c r="E1122" s="7" t="s">
        <v>3094</v>
      </c>
      <c r="F1122" s="7" t="s">
        <v>2711</v>
      </c>
      <c r="G1122" s="7" t="s">
        <v>3095</v>
      </c>
      <c r="H1122" s="7">
        <v>0.69499999999999995</v>
      </c>
      <c r="I1122" s="7">
        <v>8</v>
      </c>
      <c r="J1122" s="7">
        <v>800</v>
      </c>
      <c r="K1122" s="7">
        <v>600</v>
      </c>
      <c r="L1122" s="7">
        <v>150</v>
      </c>
      <c r="M1122" s="7">
        <v>30</v>
      </c>
      <c r="N1122" s="7">
        <v>240</v>
      </c>
      <c r="O1122" s="7">
        <v>225</v>
      </c>
      <c r="P1122" s="7">
        <v>300</v>
      </c>
    </row>
    <row r="1123" spans="1:16" s="10" customFormat="1">
      <c r="A1123" s="7">
        <f>IF(B1123="","",SUBTOTAL(103,$B$2:B1123))</f>
        <v>1122</v>
      </c>
      <c r="B1123" s="8" t="s">
        <v>547</v>
      </c>
      <c r="C1123" s="7" t="s">
        <v>599</v>
      </c>
      <c r="D1123" s="9" t="s">
        <v>3096</v>
      </c>
      <c r="E1123" s="7" t="s">
        <v>3094</v>
      </c>
      <c r="F1123" s="7" t="s">
        <v>2739</v>
      </c>
      <c r="G1123" s="7" t="s">
        <v>3097</v>
      </c>
      <c r="H1123" s="7">
        <v>0.36399999999999999</v>
      </c>
      <c r="I1123" s="7">
        <v>8</v>
      </c>
      <c r="J1123" s="7">
        <v>800</v>
      </c>
      <c r="K1123" s="7">
        <v>600</v>
      </c>
      <c r="L1123" s="7">
        <v>150</v>
      </c>
      <c r="M1123" s="7">
        <v>30</v>
      </c>
      <c r="N1123" s="7">
        <v>240</v>
      </c>
      <c r="O1123" s="7">
        <v>225</v>
      </c>
      <c r="P1123" s="7">
        <v>300</v>
      </c>
    </row>
    <row r="1124" spans="1:16" s="10" customFormat="1">
      <c r="A1124" s="7">
        <f>IF(B1124="","",SUBTOTAL(103,$B$2:B1124))</f>
        <v>1123</v>
      </c>
      <c r="B1124" s="8" t="s">
        <v>547</v>
      </c>
      <c r="C1124" s="7" t="s">
        <v>599</v>
      </c>
      <c r="D1124" s="9" t="s">
        <v>3098</v>
      </c>
      <c r="E1124" s="7" t="s">
        <v>3042</v>
      </c>
      <c r="F1124" s="7" t="s">
        <v>614</v>
      </c>
      <c r="G1124" s="7" t="s">
        <v>3099</v>
      </c>
      <c r="H1124" s="7">
        <v>0.36399999999999999</v>
      </c>
      <c r="I1124" s="7">
        <v>5</v>
      </c>
      <c r="J1124" s="7">
        <v>800</v>
      </c>
      <c r="K1124" s="7">
        <v>600</v>
      </c>
      <c r="L1124" s="7">
        <v>150</v>
      </c>
      <c r="M1124" s="7">
        <v>30</v>
      </c>
      <c r="N1124" s="7">
        <v>240</v>
      </c>
      <c r="O1124" s="7">
        <v>225</v>
      </c>
      <c r="P1124" s="7">
        <v>300</v>
      </c>
    </row>
    <row r="1125" spans="1:16" s="10" customFormat="1">
      <c r="A1125" s="7">
        <f>IF(B1125="","",SUBTOTAL(103,$B$2:B1125))</f>
        <v>1124</v>
      </c>
      <c r="B1125" s="8" t="s">
        <v>547</v>
      </c>
      <c r="C1125" s="7" t="s">
        <v>599</v>
      </c>
      <c r="D1125" s="9" t="s">
        <v>3100</v>
      </c>
      <c r="E1125" s="7" t="s">
        <v>3042</v>
      </c>
      <c r="F1125" s="7" t="s">
        <v>608</v>
      </c>
      <c r="G1125" s="7" t="s">
        <v>3101</v>
      </c>
      <c r="H1125" s="7">
        <v>0.36399999999999999</v>
      </c>
      <c r="I1125" s="7">
        <v>5</v>
      </c>
      <c r="J1125" s="7">
        <v>800</v>
      </c>
      <c r="K1125" s="7">
        <v>600</v>
      </c>
      <c r="L1125" s="7">
        <v>150</v>
      </c>
      <c r="M1125" s="7">
        <v>30</v>
      </c>
      <c r="N1125" s="7">
        <v>240</v>
      </c>
      <c r="O1125" s="7">
        <v>225</v>
      </c>
      <c r="P1125" s="7">
        <v>300</v>
      </c>
    </row>
    <row r="1126" spans="1:16" s="10" customFormat="1">
      <c r="A1126" s="7">
        <f>IF(B1126="","",SUBTOTAL(103,$B$2:B1126))</f>
        <v>1125</v>
      </c>
      <c r="B1126" s="8" t="s">
        <v>547</v>
      </c>
      <c r="C1126" s="7" t="s">
        <v>599</v>
      </c>
      <c r="D1126" s="9" t="s">
        <v>3102</v>
      </c>
      <c r="E1126" s="7" t="s">
        <v>3094</v>
      </c>
      <c r="F1126" s="7" t="s">
        <v>2757</v>
      </c>
      <c r="G1126" s="7" t="s">
        <v>3103</v>
      </c>
      <c r="H1126" s="7">
        <v>0.36399999999999999</v>
      </c>
      <c r="I1126" s="7">
        <v>8</v>
      </c>
      <c r="J1126" s="7">
        <v>800</v>
      </c>
      <c r="K1126" s="7">
        <v>600</v>
      </c>
      <c r="L1126" s="7">
        <v>150</v>
      </c>
      <c r="M1126" s="7">
        <v>30</v>
      </c>
      <c r="N1126" s="7">
        <v>240</v>
      </c>
      <c r="O1126" s="7">
        <v>225</v>
      </c>
      <c r="P1126" s="7">
        <v>300</v>
      </c>
    </row>
    <row r="1127" spans="1:16" s="10" customFormat="1">
      <c r="A1127" s="7">
        <f>IF(B1127="","",SUBTOTAL(103,$B$2:B1127))</f>
        <v>1126</v>
      </c>
      <c r="B1127" s="8" t="s">
        <v>547</v>
      </c>
      <c r="C1127" s="7" t="s">
        <v>646</v>
      </c>
      <c r="D1127" s="9" t="s">
        <v>3104</v>
      </c>
      <c r="E1127" s="7" t="s">
        <v>3094</v>
      </c>
      <c r="F1127" s="7" t="s">
        <v>2651</v>
      </c>
      <c r="G1127" s="7" t="s">
        <v>3105</v>
      </c>
      <c r="H1127" s="7">
        <v>0.50700000000000001</v>
      </c>
      <c r="I1127" s="7">
        <v>8</v>
      </c>
      <c r="J1127" s="7">
        <v>800</v>
      </c>
      <c r="K1127" s="7">
        <v>600</v>
      </c>
      <c r="L1127" s="7">
        <v>150</v>
      </c>
      <c r="M1127" s="7">
        <v>30</v>
      </c>
      <c r="N1127" s="7">
        <v>240</v>
      </c>
      <c r="O1127" s="7">
        <v>225</v>
      </c>
      <c r="P1127" s="7">
        <v>300</v>
      </c>
    </row>
    <row r="1128" spans="1:16" s="10" customFormat="1">
      <c r="A1128" s="7">
        <f>IF(B1128="","",SUBTOTAL(103,$B$2:B1128))</f>
        <v>1127</v>
      </c>
      <c r="B1128" s="8" t="s">
        <v>3106</v>
      </c>
      <c r="C1128" s="7" t="s">
        <v>3107</v>
      </c>
      <c r="D1128" s="9" t="s">
        <v>3108</v>
      </c>
      <c r="E1128" s="7" t="s">
        <v>3109</v>
      </c>
      <c r="F1128" s="7" t="s">
        <v>1066</v>
      </c>
      <c r="G1128" s="7" t="s">
        <v>3110</v>
      </c>
      <c r="H1128" s="7">
        <v>0.52400000000000002</v>
      </c>
      <c r="I1128" s="7">
        <v>10</v>
      </c>
      <c r="J1128" s="7">
        <v>800</v>
      </c>
      <c r="K1128" s="7">
        <v>600</v>
      </c>
      <c r="L1128" s="7">
        <v>150</v>
      </c>
      <c r="M1128" s="7">
        <v>30</v>
      </c>
      <c r="N1128" s="7">
        <v>120</v>
      </c>
      <c r="O1128" s="7">
        <v>195</v>
      </c>
      <c r="P1128" s="7">
        <v>300</v>
      </c>
    </row>
    <row r="1129" spans="1:16" s="10" customFormat="1">
      <c r="A1129" s="7">
        <f>IF(B1129="","",SUBTOTAL(103,$B$2:B1129))</f>
        <v>1128</v>
      </c>
      <c r="B1129" s="8" t="s">
        <v>3106</v>
      </c>
      <c r="C1129" s="7" t="s">
        <v>3107</v>
      </c>
      <c r="D1129" s="9" t="s">
        <v>3111</v>
      </c>
      <c r="E1129" s="7" t="s">
        <v>3109</v>
      </c>
      <c r="F1129" s="7" t="s">
        <v>1069</v>
      </c>
      <c r="G1129" s="7" t="s">
        <v>3112</v>
      </c>
      <c r="H1129" s="7">
        <v>0.52400000000000002</v>
      </c>
      <c r="I1129" s="7">
        <v>10</v>
      </c>
      <c r="J1129" s="7">
        <v>800</v>
      </c>
      <c r="K1129" s="7">
        <v>600</v>
      </c>
      <c r="L1129" s="7">
        <v>150</v>
      </c>
      <c r="M1129" s="7">
        <v>30</v>
      </c>
      <c r="N1129" s="7">
        <v>120</v>
      </c>
      <c r="O1129" s="7">
        <v>195</v>
      </c>
      <c r="P1129" s="7">
        <v>300</v>
      </c>
    </row>
    <row r="1130" spans="1:16" s="10" customFormat="1">
      <c r="A1130" s="7">
        <f>IF(B1130="","",SUBTOTAL(103,$B$2:B1130))</f>
        <v>1129</v>
      </c>
      <c r="B1130" s="8" t="s">
        <v>3106</v>
      </c>
      <c r="C1130" s="7" t="s">
        <v>3113</v>
      </c>
      <c r="D1130" s="9" t="s">
        <v>3114</v>
      </c>
      <c r="E1130" s="7" t="s">
        <v>3109</v>
      </c>
      <c r="F1130" s="7" t="s">
        <v>1073</v>
      </c>
      <c r="G1130" s="7" t="s">
        <v>3115</v>
      </c>
      <c r="H1130" s="7">
        <v>0.185</v>
      </c>
      <c r="I1130" s="7">
        <v>15</v>
      </c>
      <c r="J1130" s="7">
        <v>800</v>
      </c>
      <c r="K1130" s="7">
        <v>600</v>
      </c>
      <c r="L1130" s="7">
        <v>150</v>
      </c>
      <c r="M1130" s="7">
        <v>30</v>
      </c>
      <c r="N1130" s="7">
        <v>120</v>
      </c>
      <c r="O1130" s="7">
        <v>120</v>
      </c>
      <c r="P1130" s="7">
        <v>235</v>
      </c>
    </row>
    <row r="1131" spans="1:16" s="10" customFormat="1">
      <c r="A1131" s="7">
        <f>IF(B1131="","",SUBTOTAL(103,$B$2:B1131))</f>
        <v>1130</v>
      </c>
      <c r="B1131" s="8" t="s">
        <v>3106</v>
      </c>
      <c r="C1131" s="7" t="s">
        <v>3113</v>
      </c>
      <c r="D1131" s="9" t="s">
        <v>3116</v>
      </c>
      <c r="E1131" s="7" t="s">
        <v>3109</v>
      </c>
      <c r="F1131" s="7" t="s">
        <v>1076</v>
      </c>
      <c r="G1131" s="7" t="s">
        <v>3117</v>
      </c>
      <c r="H1131" s="7">
        <v>0.185</v>
      </c>
      <c r="I1131" s="7">
        <v>15</v>
      </c>
      <c r="J1131" s="7">
        <v>800</v>
      </c>
      <c r="K1131" s="7">
        <v>600</v>
      </c>
      <c r="L1131" s="7">
        <v>150</v>
      </c>
      <c r="M1131" s="7">
        <v>30</v>
      </c>
      <c r="N1131" s="7">
        <v>120</v>
      </c>
      <c r="O1131" s="7">
        <v>120</v>
      </c>
      <c r="P1131" s="7">
        <v>235</v>
      </c>
    </row>
    <row r="1132" spans="1:16" s="10" customFormat="1">
      <c r="A1132" s="7">
        <f>IF(B1132="","",SUBTOTAL(103,$B$2:B1132))</f>
        <v>1131</v>
      </c>
      <c r="B1132" s="8" t="s">
        <v>3106</v>
      </c>
      <c r="C1132" s="7" t="s">
        <v>3118</v>
      </c>
      <c r="D1132" s="9" t="s">
        <v>3119</v>
      </c>
      <c r="E1132" s="7" t="s">
        <v>3109</v>
      </c>
      <c r="F1132" s="7" t="s">
        <v>998</v>
      </c>
      <c r="G1132" s="7" t="s">
        <v>3120</v>
      </c>
      <c r="H1132" s="7">
        <v>8.6999999999999994E-2</v>
      </c>
      <c r="I1132" s="7">
        <v>58</v>
      </c>
      <c r="J1132" s="7">
        <v>800</v>
      </c>
      <c r="K1132" s="7">
        <v>600</v>
      </c>
      <c r="L1132" s="7">
        <v>150</v>
      </c>
      <c r="M1132" s="7">
        <v>30</v>
      </c>
      <c r="N1132" s="7">
        <v>120</v>
      </c>
      <c r="O1132" s="7">
        <v>34</v>
      </c>
      <c r="P1132" s="7">
        <v>200</v>
      </c>
    </row>
    <row r="1133" spans="1:16" s="10" customFormat="1">
      <c r="A1133" s="7">
        <f>IF(B1133="","",SUBTOTAL(103,$B$2:B1133))</f>
        <v>1132</v>
      </c>
      <c r="B1133" s="8" t="s">
        <v>3106</v>
      </c>
      <c r="C1133" s="7" t="s">
        <v>3118</v>
      </c>
      <c r="D1133" s="9" t="s">
        <v>3121</v>
      </c>
      <c r="E1133" s="7" t="s">
        <v>3109</v>
      </c>
      <c r="F1133" s="7" t="s">
        <v>1081</v>
      </c>
      <c r="G1133" s="7" t="s">
        <v>3122</v>
      </c>
      <c r="H1133" s="7">
        <v>0.09</v>
      </c>
      <c r="I1133" s="7">
        <v>58</v>
      </c>
      <c r="J1133" s="7">
        <v>800</v>
      </c>
      <c r="K1133" s="7">
        <v>600</v>
      </c>
      <c r="L1133" s="7">
        <v>150</v>
      </c>
      <c r="M1133" s="7">
        <v>30</v>
      </c>
      <c r="N1133" s="7">
        <v>120</v>
      </c>
      <c r="O1133" s="7">
        <v>34</v>
      </c>
      <c r="P1133" s="7">
        <v>200</v>
      </c>
    </row>
    <row r="1134" spans="1:16" s="10" customFormat="1">
      <c r="A1134" s="7">
        <f>IF(B1134="","",SUBTOTAL(103,$B$2:B1134))</f>
        <v>1133</v>
      </c>
      <c r="B1134" s="8" t="s">
        <v>3106</v>
      </c>
      <c r="C1134" s="7" t="s">
        <v>3123</v>
      </c>
      <c r="D1134" s="9" t="s">
        <v>3124</v>
      </c>
      <c r="E1134" s="7" t="s">
        <v>3109</v>
      </c>
      <c r="F1134" s="7" t="s">
        <v>1085</v>
      </c>
      <c r="G1134" s="7" t="s">
        <v>3125</v>
      </c>
      <c r="H1134" s="7">
        <v>5.0999999999999997E-2</v>
      </c>
      <c r="I1134" s="7">
        <v>68</v>
      </c>
      <c r="J1134" s="7">
        <v>800</v>
      </c>
      <c r="K1134" s="7">
        <v>600</v>
      </c>
      <c r="L1134" s="7">
        <v>150</v>
      </c>
      <c r="M1134" s="7">
        <v>30</v>
      </c>
      <c r="N1134" s="7">
        <v>120</v>
      </c>
      <c r="O1134" s="7">
        <v>30</v>
      </c>
      <c r="P1134" s="7">
        <v>180</v>
      </c>
    </row>
    <row r="1135" spans="1:16" s="10" customFormat="1">
      <c r="A1135" s="7">
        <f>IF(B1135="","",SUBTOTAL(103,$B$2:B1135))</f>
        <v>1134</v>
      </c>
      <c r="B1135" s="8" t="s">
        <v>3106</v>
      </c>
      <c r="C1135" s="7" t="s">
        <v>3123</v>
      </c>
      <c r="D1135" s="9" t="s">
        <v>3126</v>
      </c>
      <c r="E1135" s="7" t="s">
        <v>3109</v>
      </c>
      <c r="F1135" s="7" t="s">
        <v>1088</v>
      </c>
      <c r="G1135" s="7" t="s">
        <v>3127</v>
      </c>
      <c r="H1135" s="7">
        <v>5.0999999999999997E-2</v>
      </c>
      <c r="I1135" s="7">
        <v>68</v>
      </c>
      <c r="J1135" s="7">
        <v>800</v>
      </c>
      <c r="K1135" s="7">
        <v>600</v>
      </c>
      <c r="L1135" s="7">
        <v>150</v>
      </c>
      <c r="M1135" s="7">
        <v>30</v>
      </c>
      <c r="N1135" s="7">
        <v>120</v>
      </c>
      <c r="O1135" s="7">
        <v>30</v>
      </c>
      <c r="P1135" s="7">
        <v>180</v>
      </c>
    </row>
    <row r="1136" spans="1:16" s="10" customFormat="1">
      <c r="A1136" s="7">
        <f>IF(B1136="","",SUBTOTAL(103,$B$2:B1136))</f>
        <v>1135</v>
      </c>
      <c r="B1136" s="8" t="s">
        <v>3106</v>
      </c>
      <c r="C1136" s="7" t="s">
        <v>3128</v>
      </c>
      <c r="D1136" s="9" t="s">
        <v>3129</v>
      </c>
      <c r="E1136" s="7" t="s">
        <v>3109</v>
      </c>
      <c r="F1136" s="7" t="s">
        <v>1092</v>
      </c>
      <c r="G1136" s="7" t="s">
        <v>3130</v>
      </c>
      <c r="H1136" s="7">
        <v>0.91800000000000004</v>
      </c>
      <c r="I1136" s="7">
        <v>4</v>
      </c>
      <c r="J1136" s="7">
        <v>800</v>
      </c>
      <c r="K1136" s="7">
        <v>600</v>
      </c>
      <c r="L1136" s="7">
        <v>150</v>
      </c>
      <c r="M1136" s="7">
        <v>30</v>
      </c>
      <c r="N1136" s="7">
        <v>120</v>
      </c>
      <c r="O1136" s="7">
        <v>500</v>
      </c>
      <c r="P1136" s="7">
        <v>600</v>
      </c>
    </row>
    <row r="1137" spans="1:16" s="10" customFormat="1">
      <c r="A1137" s="7">
        <f>IF(B1137="","",SUBTOTAL(103,$B$2:B1137))</f>
        <v>1136</v>
      </c>
      <c r="B1137" s="8" t="s">
        <v>3106</v>
      </c>
      <c r="C1137" s="7" t="s">
        <v>3128</v>
      </c>
      <c r="D1137" s="9" t="s">
        <v>3131</v>
      </c>
      <c r="E1137" s="7" t="s">
        <v>3109</v>
      </c>
      <c r="F1137" s="7" t="s">
        <v>1095</v>
      </c>
      <c r="G1137" s="7" t="s">
        <v>3132</v>
      </c>
      <c r="H1137" s="7">
        <v>0.91800000000000004</v>
      </c>
      <c r="I1137" s="7">
        <v>4</v>
      </c>
      <c r="J1137" s="7">
        <v>800</v>
      </c>
      <c r="K1137" s="7">
        <v>600</v>
      </c>
      <c r="L1137" s="7">
        <v>150</v>
      </c>
      <c r="M1137" s="7">
        <v>30</v>
      </c>
      <c r="N1137" s="7">
        <v>120</v>
      </c>
      <c r="O1137" s="7">
        <v>500</v>
      </c>
      <c r="P1137" s="7">
        <v>600</v>
      </c>
    </row>
    <row r="1138" spans="1:16" s="10" customFormat="1">
      <c r="A1138" s="7">
        <f>IF(B1138="","",SUBTOTAL(103,$B$2:B1138))</f>
        <v>1137</v>
      </c>
      <c r="B1138" s="8" t="s">
        <v>3106</v>
      </c>
      <c r="C1138" s="7" t="s">
        <v>3107</v>
      </c>
      <c r="D1138" s="9" t="s">
        <v>3133</v>
      </c>
      <c r="E1138" s="7" t="s">
        <v>3109</v>
      </c>
      <c r="F1138" s="7" t="s">
        <v>1099</v>
      </c>
      <c r="G1138" s="7" t="s">
        <v>3134</v>
      </c>
      <c r="H1138" s="7">
        <v>0.85199999999999998</v>
      </c>
      <c r="I1138" s="7">
        <v>6</v>
      </c>
      <c r="J1138" s="7">
        <v>800</v>
      </c>
      <c r="K1138" s="7">
        <v>600</v>
      </c>
      <c r="L1138" s="7">
        <v>150</v>
      </c>
      <c r="M1138" s="7">
        <v>30</v>
      </c>
      <c r="N1138" s="7">
        <v>120</v>
      </c>
      <c r="O1138" s="7">
        <v>310</v>
      </c>
      <c r="P1138" s="7">
        <v>350</v>
      </c>
    </row>
    <row r="1139" spans="1:16" s="10" customFormat="1">
      <c r="A1139" s="7">
        <f>IF(B1139="","",SUBTOTAL(103,$B$2:B1139))</f>
        <v>1138</v>
      </c>
      <c r="B1139" s="8" t="s">
        <v>3106</v>
      </c>
      <c r="C1139" s="7" t="s">
        <v>3135</v>
      </c>
      <c r="D1139" s="9" t="s">
        <v>3136</v>
      </c>
      <c r="E1139" s="7" t="s">
        <v>3109</v>
      </c>
      <c r="F1139" s="7" t="s">
        <v>1102</v>
      </c>
      <c r="G1139" s="7" t="s">
        <v>3137</v>
      </c>
      <c r="H1139" s="7">
        <v>0.85199999999999998</v>
      </c>
      <c r="I1139" s="7">
        <v>6</v>
      </c>
      <c r="J1139" s="7">
        <v>800</v>
      </c>
      <c r="K1139" s="7">
        <v>600</v>
      </c>
      <c r="L1139" s="7">
        <v>150</v>
      </c>
      <c r="M1139" s="7">
        <v>30</v>
      </c>
      <c r="N1139" s="7">
        <v>120</v>
      </c>
      <c r="O1139" s="7">
        <v>310</v>
      </c>
      <c r="P1139" s="7">
        <v>350</v>
      </c>
    </row>
    <row r="1140" spans="1:16" s="10" customFormat="1">
      <c r="A1140" s="7">
        <f>IF(B1140="","",SUBTOTAL(103,$B$2:B1140))</f>
        <v>1139</v>
      </c>
      <c r="B1140" s="8" t="s">
        <v>3106</v>
      </c>
      <c r="C1140" s="7" t="s">
        <v>3138</v>
      </c>
      <c r="D1140" s="9" t="s">
        <v>3139</v>
      </c>
      <c r="E1140" s="7" t="s">
        <v>3109</v>
      </c>
      <c r="F1140" s="7" t="s">
        <v>1106</v>
      </c>
      <c r="G1140" s="7" t="s">
        <v>3140</v>
      </c>
      <c r="H1140" s="7">
        <v>1.46</v>
      </c>
      <c r="I1140" s="7">
        <v>4</v>
      </c>
      <c r="J1140" s="7">
        <v>800</v>
      </c>
      <c r="K1140" s="7">
        <v>600</v>
      </c>
      <c r="L1140" s="7">
        <v>150</v>
      </c>
      <c r="M1140" s="7">
        <v>30</v>
      </c>
      <c r="N1140" s="7">
        <v>120</v>
      </c>
      <c r="O1140" s="7">
        <v>500</v>
      </c>
      <c r="P1140" s="7">
        <v>600</v>
      </c>
    </row>
    <row r="1141" spans="1:16" s="10" customFormat="1">
      <c r="A1141" s="7">
        <f>IF(B1141="","",SUBTOTAL(103,$B$2:B1141))</f>
        <v>1140</v>
      </c>
      <c r="B1141" s="8" t="s">
        <v>3106</v>
      </c>
      <c r="C1141" s="7" t="s">
        <v>3138</v>
      </c>
      <c r="D1141" s="9" t="s">
        <v>3141</v>
      </c>
      <c r="E1141" s="7" t="s">
        <v>3109</v>
      </c>
      <c r="F1141" s="7" t="s">
        <v>1109</v>
      </c>
      <c r="G1141" s="7" t="s">
        <v>3142</v>
      </c>
      <c r="H1141" s="7">
        <v>1.46</v>
      </c>
      <c r="I1141" s="7">
        <v>4</v>
      </c>
      <c r="J1141" s="7">
        <v>800</v>
      </c>
      <c r="K1141" s="7">
        <v>600</v>
      </c>
      <c r="L1141" s="7">
        <v>150</v>
      </c>
      <c r="M1141" s="7">
        <v>30</v>
      </c>
      <c r="N1141" s="7">
        <v>120</v>
      </c>
      <c r="O1141" s="7">
        <v>500</v>
      </c>
      <c r="P1141" s="7">
        <v>600</v>
      </c>
    </row>
    <row r="1142" spans="1:16" s="10" customFormat="1">
      <c r="A1142" s="7">
        <f>IF(B1142="","",SUBTOTAL(103,$B$2:B1142))</f>
        <v>1141</v>
      </c>
      <c r="B1142" s="8" t="s">
        <v>3106</v>
      </c>
      <c r="C1142" s="7" t="s">
        <v>3143</v>
      </c>
      <c r="D1142" s="9" t="s">
        <v>3144</v>
      </c>
      <c r="E1142" s="7" t="s">
        <v>3109</v>
      </c>
      <c r="F1142" s="7" t="s">
        <v>1113</v>
      </c>
      <c r="G1142" s="7" t="s">
        <v>3145</v>
      </c>
      <c r="H1142" s="7">
        <v>2.0640000000000001</v>
      </c>
      <c r="I1142" s="7">
        <v>3</v>
      </c>
      <c r="J1142" s="7">
        <v>800</v>
      </c>
      <c r="K1142" s="7">
        <v>600</v>
      </c>
      <c r="L1142" s="7">
        <v>150</v>
      </c>
      <c r="M1142" s="7">
        <v>30</v>
      </c>
      <c r="N1142" s="7">
        <v>120</v>
      </c>
      <c r="O1142" s="7">
        <v>650</v>
      </c>
      <c r="P1142" s="7">
        <v>675</v>
      </c>
    </row>
    <row r="1143" spans="1:16" s="10" customFormat="1">
      <c r="A1143" s="7">
        <f>IF(B1143="","",SUBTOTAL(103,$B$2:B1143))</f>
        <v>1142</v>
      </c>
      <c r="B1143" s="8" t="s">
        <v>3106</v>
      </c>
      <c r="C1143" s="7" t="s">
        <v>3143</v>
      </c>
      <c r="D1143" s="9" t="s">
        <v>3146</v>
      </c>
      <c r="E1143" s="7" t="s">
        <v>3109</v>
      </c>
      <c r="F1143" s="7" t="s">
        <v>1116</v>
      </c>
      <c r="G1143" s="7" t="s">
        <v>3147</v>
      </c>
      <c r="H1143" s="7">
        <v>0.1</v>
      </c>
      <c r="I1143" s="7">
        <v>3</v>
      </c>
      <c r="J1143" s="7">
        <v>800</v>
      </c>
      <c r="K1143" s="7">
        <v>600</v>
      </c>
      <c r="L1143" s="7">
        <v>150</v>
      </c>
      <c r="M1143" s="7">
        <v>30</v>
      </c>
      <c r="N1143" s="7">
        <v>120</v>
      </c>
      <c r="O1143" s="7">
        <v>650</v>
      </c>
      <c r="P1143" s="7">
        <v>675</v>
      </c>
    </row>
    <row r="1144" spans="1:16" s="10" customFormat="1">
      <c r="A1144" s="7">
        <f>IF(B1144="","",SUBTOTAL(103,$B$2:B1144))</f>
        <v>1143</v>
      </c>
      <c r="B1144" s="8" t="s">
        <v>3106</v>
      </c>
      <c r="C1144" s="7" t="s">
        <v>3148</v>
      </c>
      <c r="D1144" s="9" t="s">
        <v>3149</v>
      </c>
      <c r="E1144" s="7" t="s">
        <v>3109</v>
      </c>
      <c r="F1144" s="7" t="s">
        <v>1120</v>
      </c>
      <c r="G1144" s="7" t="s">
        <v>3150</v>
      </c>
      <c r="H1144" s="7">
        <v>2.8109999999999999</v>
      </c>
      <c r="I1144" s="7">
        <v>2</v>
      </c>
      <c r="J1144" s="7">
        <v>800</v>
      </c>
      <c r="K1144" s="7">
        <v>600</v>
      </c>
      <c r="L1144" s="7">
        <v>150</v>
      </c>
      <c r="M1144" s="7">
        <v>30</v>
      </c>
      <c r="N1144" s="7">
        <v>120</v>
      </c>
      <c r="O1144" s="7">
        <v>1000</v>
      </c>
      <c r="P1144" s="7">
        <v>1100</v>
      </c>
    </row>
    <row r="1145" spans="1:16" s="10" customFormat="1">
      <c r="A1145" s="7">
        <f>IF(B1145="","",SUBTOTAL(103,$B$2:B1145))</f>
        <v>1144</v>
      </c>
      <c r="B1145" s="8" t="s">
        <v>3106</v>
      </c>
      <c r="C1145" s="7" t="s">
        <v>3148</v>
      </c>
      <c r="D1145" s="9" t="s">
        <v>3151</v>
      </c>
      <c r="E1145" s="7" t="s">
        <v>3109</v>
      </c>
      <c r="F1145" s="7" t="s">
        <v>1123</v>
      </c>
      <c r="G1145" s="7" t="s">
        <v>3152</v>
      </c>
      <c r="H1145" s="7">
        <v>2.8109999999999999</v>
      </c>
      <c r="I1145" s="7">
        <v>2</v>
      </c>
      <c r="J1145" s="7">
        <v>800</v>
      </c>
      <c r="K1145" s="7">
        <v>600</v>
      </c>
      <c r="L1145" s="7">
        <v>150</v>
      </c>
      <c r="M1145" s="7">
        <v>30</v>
      </c>
      <c r="N1145" s="7">
        <v>120</v>
      </c>
      <c r="O1145" s="7">
        <v>1000</v>
      </c>
      <c r="P1145" s="7">
        <v>1100</v>
      </c>
    </row>
    <row r="1146" spans="1:16" s="10" customFormat="1">
      <c r="A1146" s="7">
        <f>IF(B1146="","",SUBTOTAL(103,$B$2:B1146))</f>
        <v>1145</v>
      </c>
      <c r="B1146" s="8" t="s">
        <v>3106</v>
      </c>
      <c r="C1146" s="7" t="s">
        <v>3153</v>
      </c>
      <c r="D1146" s="9" t="s">
        <v>3154</v>
      </c>
      <c r="E1146" s="7" t="s">
        <v>3109</v>
      </c>
      <c r="F1146" s="7" t="s">
        <v>1127</v>
      </c>
      <c r="G1146" s="7" t="s">
        <v>3155</v>
      </c>
      <c r="H1146" s="7">
        <v>0.29799999999999999</v>
      </c>
      <c r="I1146" s="7">
        <v>12</v>
      </c>
      <c r="J1146" s="7">
        <v>800</v>
      </c>
      <c r="K1146" s="7">
        <v>600</v>
      </c>
      <c r="L1146" s="7">
        <v>150</v>
      </c>
      <c r="M1146" s="7">
        <v>30</v>
      </c>
      <c r="N1146" s="7">
        <v>120</v>
      </c>
      <c r="O1146" s="7">
        <v>150</v>
      </c>
      <c r="P1146" s="7">
        <v>265</v>
      </c>
    </row>
    <row r="1147" spans="1:16" s="10" customFormat="1">
      <c r="A1147" s="7">
        <f>IF(B1147="","",SUBTOTAL(103,$B$2:B1147))</f>
        <v>1146</v>
      </c>
      <c r="B1147" s="8" t="s">
        <v>3106</v>
      </c>
      <c r="C1147" s="7" t="s">
        <v>3153</v>
      </c>
      <c r="D1147" s="9" t="s">
        <v>3156</v>
      </c>
      <c r="E1147" s="7" t="s">
        <v>3109</v>
      </c>
      <c r="F1147" s="7" t="s">
        <v>1130</v>
      </c>
      <c r="G1147" s="7" t="s">
        <v>3157</v>
      </c>
      <c r="H1147" s="7">
        <v>0.3</v>
      </c>
      <c r="I1147" s="7">
        <v>12</v>
      </c>
      <c r="J1147" s="7">
        <v>800</v>
      </c>
      <c r="K1147" s="7">
        <v>600</v>
      </c>
      <c r="L1147" s="7">
        <v>150</v>
      </c>
      <c r="M1147" s="7">
        <v>30</v>
      </c>
      <c r="N1147" s="7">
        <v>120</v>
      </c>
      <c r="O1147" s="7">
        <v>150</v>
      </c>
      <c r="P1147" s="7">
        <v>265</v>
      </c>
    </row>
    <row r="1148" spans="1:16" s="10" customFormat="1">
      <c r="A1148" s="7">
        <f>IF(B1148="","",SUBTOTAL(103,$B$2:B1148))</f>
        <v>1147</v>
      </c>
      <c r="B1148" s="8" t="s">
        <v>3106</v>
      </c>
      <c r="C1148" s="7" t="s">
        <v>3158</v>
      </c>
      <c r="D1148" s="9" t="s">
        <v>3159</v>
      </c>
      <c r="E1148" s="7" t="s">
        <v>3109</v>
      </c>
      <c r="F1148" s="7" t="s">
        <v>1002</v>
      </c>
      <c r="G1148" s="7" t="s">
        <v>3160</v>
      </c>
      <c r="H1148" s="7">
        <v>0.13300000000000001</v>
      </c>
      <c r="I1148" s="7">
        <v>34</v>
      </c>
      <c r="J1148" s="7">
        <v>800</v>
      </c>
      <c r="K1148" s="7">
        <v>600</v>
      </c>
      <c r="L1148" s="7">
        <v>150</v>
      </c>
      <c r="M1148" s="7">
        <v>30</v>
      </c>
      <c r="N1148" s="7">
        <v>120</v>
      </c>
      <c r="O1148" s="7">
        <v>56</v>
      </c>
      <c r="P1148" s="7">
        <v>215</v>
      </c>
    </row>
    <row r="1149" spans="1:16" s="10" customFormat="1">
      <c r="A1149" s="7">
        <f>IF(B1149="","",SUBTOTAL(103,$B$2:B1149))</f>
        <v>1148</v>
      </c>
      <c r="B1149" s="8" t="s">
        <v>3106</v>
      </c>
      <c r="C1149" s="7" t="s">
        <v>3158</v>
      </c>
      <c r="D1149" s="9" t="s">
        <v>3161</v>
      </c>
      <c r="E1149" s="7" t="s">
        <v>3109</v>
      </c>
      <c r="F1149" s="7" t="s">
        <v>1135</v>
      </c>
      <c r="G1149" s="7" t="s">
        <v>3162</v>
      </c>
      <c r="H1149" s="7">
        <v>0.13300000000000001</v>
      </c>
      <c r="I1149" s="7">
        <v>34</v>
      </c>
      <c r="J1149" s="7">
        <v>800</v>
      </c>
      <c r="K1149" s="7">
        <v>600</v>
      </c>
      <c r="L1149" s="7">
        <v>150</v>
      </c>
      <c r="M1149" s="7">
        <v>30</v>
      </c>
      <c r="N1149" s="7">
        <v>120</v>
      </c>
      <c r="O1149" s="7">
        <v>56</v>
      </c>
      <c r="P1149" s="7">
        <v>215</v>
      </c>
    </row>
    <row r="1150" spans="1:16" s="10" customFormat="1">
      <c r="A1150" s="7">
        <f>IF(B1150="","",SUBTOTAL(103,$B$2:B1150))</f>
        <v>1149</v>
      </c>
      <c r="B1150" s="8" t="s">
        <v>3106</v>
      </c>
      <c r="C1150" s="7" t="s">
        <v>3163</v>
      </c>
      <c r="D1150" s="9" t="s">
        <v>3164</v>
      </c>
      <c r="E1150" s="7" t="s">
        <v>3109</v>
      </c>
      <c r="F1150" s="7" t="s">
        <v>1139</v>
      </c>
      <c r="G1150" s="7" t="s">
        <v>3165</v>
      </c>
      <c r="H1150" s="7">
        <v>4.7930000000000001</v>
      </c>
      <c r="I1150" s="7">
        <v>1</v>
      </c>
      <c r="J1150" s="7">
        <v>800</v>
      </c>
      <c r="K1150" s="7">
        <v>600</v>
      </c>
      <c r="L1150" s="7">
        <v>150</v>
      </c>
      <c r="M1150" s="7">
        <v>30</v>
      </c>
      <c r="N1150" s="7">
        <v>120</v>
      </c>
      <c r="O1150" s="7">
        <v>2000</v>
      </c>
      <c r="P1150" s="7">
        <v>2050</v>
      </c>
    </row>
    <row r="1151" spans="1:16" s="10" customFormat="1">
      <c r="A1151" s="7">
        <f>IF(B1151="","",SUBTOTAL(103,$B$2:B1151))</f>
        <v>1150</v>
      </c>
      <c r="B1151" s="8" t="s">
        <v>3106</v>
      </c>
      <c r="C1151" s="7" t="s">
        <v>3163</v>
      </c>
      <c r="D1151" s="9" t="s">
        <v>3166</v>
      </c>
      <c r="E1151" s="7" t="s">
        <v>3109</v>
      </c>
      <c r="F1151" s="7" t="s">
        <v>1142</v>
      </c>
      <c r="G1151" s="7" t="s">
        <v>3167</v>
      </c>
      <c r="H1151" s="7">
        <v>4.7930000000000001</v>
      </c>
      <c r="I1151" s="7">
        <v>1</v>
      </c>
      <c r="J1151" s="7">
        <v>800</v>
      </c>
      <c r="K1151" s="7">
        <v>600</v>
      </c>
      <c r="L1151" s="7">
        <v>150</v>
      </c>
      <c r="M1151" s="7">
        <v>30</v>
      </c>
      <c r="N1151" s="7">
        <v>120</v>
      </c>
      <c r="O1151" s="7">
        <v>2000</v>
      </c>
      <c r="P1151" s="7">
        <v>2050</v>
      </c>
    </row>
    <row r="1152" spans="1:16" s="10" customFormat="1">
      <c r="A1152" s="7">
        <f>IF(B1152="","",SUBTOTAL(103,$B$2:B1152))</f>
        <v>1151</v>
      </c>
      <c r="B1152" s="8" t="s">
        <v>3168</v>
      </c>
      <c r="C1152" s="7" t="s">
        <v>3169</v>
      </c>
      <c r="D1152" s="9" t="s">
        <v>3170</v>
      </c>
      <c r="E1152" s="7" t="s">
        <v>3171</v>
      </c>
      <c r="F1152" s="7" t="s">
        <v>1300</v>
      </c>
      <c r="G1152" s="7" t="s">
        <v>3172</v>
      </c>
      <c r="H1152" s="7">
        <v>0.56599999999999995</v>
      </c>
      <c r="I1152" s="7">
        <v>6</v>
      </c>
      <c r="J1152" s="7">
        <v>800</v>
      </c>
      <c r="K1152" s="7">
        <v>600</v>
      </c>
      <c r="L1152" s="7">
        <v>150</v>
      </c>
      <c r="M1152" s="7">
        <v>30</v>
      </c>
      <c r="N1152" s="7">
        <v>120</v>
      </c>
      <c r="O1152" s="7">
        <v>310</v>
      </c>
      <c r="P1152" s="7">
        <v>350</v>
      </c>
    </row>
    <row r="1153" spans="1:16" s="10" customFormat="1">
      <c r="A1153" s="7">
        <f>IF(B1153="","",SUBTOTAL(103,$B$2:B1153))</f>
        <v>1152</v>
      </c>
      <c r="B1153" s="8" t="s">
        <v>3168</v>
      </c>
      <c r="C1153" s="7" t="s">
        <v>3169</v>
      </c>
      <c r="D1153" s="9" t="s">
        <v>3173</v>
      </c>
      <c r="E1153" s="7" t="s">
        <v>3171</v>
      </c>
      <c r="F1153" s="7" t="s">
        <v>1303</v>
      </c>
      <c r="G1153" s="7" t="s">
        <v>3174</v>
      </c>
      <c r="H1153" s="7">
        <v>0.56599999999999995</v>
      </c>
      <c r="I1153" s="7">
        <v>6</v>
      </c>
      <c r="J1153" s="7">
        <v>800</v>
      </c>
      <c r="K1153" s="7">
        <v>600</v>
      </c>
      <c r="L1153" s="7">
        <v>150</v>
      </c>
      <c r="M1153" s="7">
        <v>30</v>
      </c>
      <c r="N1153" s="7">
        <v>120</v>
      </c>
      <c r="O1153" s="7">
        <v>310</v>
      </c>
      <c r="P1153" s="7">
        <v>350</v>
      </c>
    </row>
    <row r="1154" spans="1:16" s="10" customFormat="1">
      <c r="A1154" s="7">
        <f>IF(B1154="","",SUBTOTAL(103,$B$2:B1154))</f>
        <v>1153</v>
      </c>
      <c r="B1154" s="8" t="s">
        <v>3168</v>
      </c>
      <c r="C1154" s="7" t="s">
        <v>3175</v>
      </c>
      <c r="D1154" s="9" t="s">
        <v>3176</v>
      </c>
      <c r="E1154" s="7" t="s">
        <v>3171</v>
      </c>
      <c r="F1154" s="7" t="s">
        <v>1306</v>
      </c>
      <c r="G1154" s="7" t="s">
        <v>3177</v>
      </c>
      <c r="H1154" s="7">
        <v>0.217</v>
      </c>
      <c r="I1154" s="7">
        <v>12</v>
      </c>
      <c r="J1154" s="7">
        <v>800</v>
      </c>
      <c r="K1154" s="7">
        <v>600</v>
      </c>
      <c r="L1154" s="7">
        <v>150</v>
      </c>
      <c r="M1154" s="7">
        <v>30</v>
      </c>
      <c r="N1154" s="7">
        <v>120</v>
      </c>
      <c r="O1154" s="7">
        <v>150</v>
      </c>
      <c r="P1154" s="11">
        <v>650</v>
      </c>
    </row>
    <row r="1155" spans="1:16" s="10" customFormat="1">
      <c r="A1155" s="7">
        <f>IF(B1155="","",SUBTOTAL(103,$B$2:B1155))</f>
        <v>1154</v>
      </c>
      <c r="B1155" s="8" t="s">
        <v>3168</v>
      </c>
      <c r="C1155" s="7" t="s">
        <v>3175</v>
      </c>
      <c r="D1155" s="9" t="s">
        <v>3178</v>
      </c>
      <c r="E1155" s="7" t="s">
        <v>3171</v>
      </c>
      <c r="F1155" s="7" t="s">
        <v>1309</v>
      </c>
      <c r="G1155" s="7" t="s">
        <v>3179</v>
      </c>
      <c r="H1155" s="7">
        <v>0.217</v>
      </c>
      <c r="I1155" s="7">
        <v>12</v>
      </c>
      <c r="J1155" s="7">
        <v>800</v>
      </c>
      <c r="K1155" s="7">
        <v>600</v>
      </c>
      <c r="L1155" s="7">
        <v>150</v>
      </c>
      <c r="M1155" s="7">
        <v>30</v>
      </c>
      <c r="N1155" s="7">
        <v>120</v>
      </c>
      <c r="O1155" s="7">
        <v>150</v>
      </c>
      <c r="P1155" s="11">
        <v>650</v>
      </c>
    </row>
    <row r="1156" spans="1:16" s="10" customFormat="1">
      <c r="A1156" s="7">
        <f>IF(B1156="","",SUBTOTAL(103,$B$2:B1156))</f>
        <v>1155</v>
      </c>
      <c r="B1156" s="8" t="s">
        <v>3168</v>
      </c>
      <c r="C1156" s="7" t="s">
        <v>3175</v>
      </c>
      <c r="D1156" s="9" t="s">
        <v>3180</v>
      </c>
      <c r="E1156" s="7" t="s">
        <v>3181</v>
      </c>
      <c r="F1156" s="7" t="s">
        <v>1309</v>
      </c>
      <c r="G1156" s="7" t="str">
        <f>E1156&amp;F1156</f>
        <v>KI 114  KI-03 XB1/2 CF8M NPT</v>
      </c>
      <c r="H1156" s="7">
        <v>0.217</v>
      </c>
      <c r="I1156" s="7">
        <v>12</v>
      </c>
      <c r="J1156" s="7">
        <v>800</v>
      </c>
      <c r="K1156" s="7">
        <v>600</v>
      </c>
      <c r="L1156" s="7">
        <v>150</v>
      </c>
      <c r="M1156" s="7">
        <v>30</v>
      </c>
      <c r="N1156" s="7">
        <v>120</v>
      </c>
      <c r="O1156" s="7">
        <v>150</v>
      </c>
      <c r="P1156" s="11">
        <v>650</v>
      </c>
    </row>
    <row r="1157" spans="1:16" s="10" customFormat="1">
      <c r="A1157" s="7">
        <f>IF(B1157="","",SUBTOTAL(103,$B$2:B1157))</f>
        <v>1156</v>
      </c>
      <c r="B1157" s="8" t="s">
        <v>3168</v>
      </c>
      <c r="C1157" s="7" t="s">
        <v>3182</v>
      </c>
      <c r="D1157" s="9" t="s">
        <v>3183</v>
      </c>
      <c r="E1157" s="7" t="s">
        <v>3171</v>
      </c>
      <c r="F1157" s="7" t="s">
        <v>1312</v>
      </c>
      <c r="G1157" s="7" t="s">
        <v>3184</v>
      </c>
      <c r="H1157" s="7">
        <v>9.9000000000000005E-2</v>
      </c>
      <c r="I1157" s="7">
        <v>24</v>
      </c>
      <c r="J1157" s="7">
        <v>800</v>
      </c>
      <c r="K1157" s="7">
        <v>600</v>
      </c>
      <c r="L1157" s="7">
        <v>150</v>
      </c>
      <c r="M1157" s="7">
        <v>30</v>
      </c>
      <c r="N1157" s="7">
        <v>120</v>
      </c>
      <c r="O1157" s="7">
        <v>75</v>
      </c>
      <c r="P1157" s="7">
        <v>200</v>
      </c>
    </row>
    <row r="1158" spans="1:16" s="10" customFormat="1">
      <c r="A1158" s="7">
        <f>IF(B1158="","",SUBTOTAL(103,$B$2:B1158))</f>
        <v>1157</v>
      </c>
      <c r="B1158" s="8" t="s">
        <v>3168</v>
      </c>
      <c r="C1158" s="7" t="s">
        <v>3182</v>
      </c>
      <c r="D1158" s="9" t="s">
        <v>3185</v>
      </c>
      <c r="E1158" s="7" t="s">
        <v>3171</v>
      </c>
      <c r="F1158" s="7" t="s">
        <v>1315</v>
      </c>
      <c r="G1158" s="7" t="s">
        <v>3186</v>
      </c>
      <c r="H1158" s="7">
        <v>9.9000000000000005E-2</v>
      </c>
      <c r="I1158" s="7">
        <v>24</v>
      </c>
      <c r="J1158" s="7">
        <v>800</v>
      </c>
      <c r="K1158" s="7">
        <v>600</v>
      </c>
      <c r="L1158" s="7">
        <v>150</v>
      </c>
      <c r="M1158" s="7">
        <v>30</v>
      </c>
      <c r="N1158" s="7">
        <v>120</v>
      </c>
      <c r="O1158" s="7">
        <v>75</v>
      </c>
      <c r="P1158" s="7">
        <v>200</v>
      </c>
    </row>
    <row r="1159" spans="1:16" s="10" customFormat="1">
      <c r="A1159" s="7">
        <f>IF(B1159="","",SUBTOTAL(103,$B$2:B1159))</f>
        <v>1158</v>
      </c>
      <c r="B1159" s="8" t="s">
        <v>3168</v>
      </c>
      <c r="C1159" s="7" t="s">
        <v>3182</v>
      </c>
      <c r="D1159" s="9" t="s">
        <v>3187</v>
      </c>
      <c r="E1159" s="7" t="s">
        <v>3181</v>
      </c>
      <c r="F1159" s="7" t="s">
        <v>1315</v>
      </c>
      <c r="G1159" s="7" t="s">
        <v>3188</v>
      </c>
      <c r="H1159" s="7">
        <v>9.9000000000000005E-2</v>
      </c>
      <c r="I1159" s="7">
        <v>24</v>
      </c>
      <c r="J1159" s="7">
        <v>800</v>
      </c>
      <c r="K1159" s="7">
        <v>600</v>
      </c>
      <c r="L1159" s="7">
        <v>150</v>
      </c>
      <c r="M1159" s="7">
        <v>30</v>
      </c>
      <c r="N1159" s="7">
        <v>120</v>
      </c>
      <c r="O1159" s="7">
        <v>75</v>
      </c>
      <c r="P1159" s="7">
        <v>200</v>
      </c>
    </row>
    <row r="1160" spans="1:16" s="10" customFormat="1">
      <c r="A1160" s="7">
        <f>IF(B1160="","",SUBTOTAL(103,$B$2:B1160))</f>
        <v>1159</v>
      </c>
      <c r="B1160" s="8" t="s">
        <v>3168</v>
      </c>
      <c r="C1160" s="7" t="s">
        <v>3189</v>
      </c>
      <c r="D1160" s="9" t="s">
        <v>3190</v>
      </c>
      <c r="E1160" s="7" t="s">
        <v>3171</v>
      </c>
      <c r="F1160" s="7" t="s">
        <v>1318</v>
      </c>
      <c r="G1160" s="7" t="s">
        <v>3191</v>
      </c>
      <c r="H1160" s="7">
        <v>0.08</v>
      </c>
      <c r="I1160" s="7">
        <v>58</v>
      </c>
      <c r="J1160" s="7">
        <v>800</v>
      </c>
      <c r="K1160" s="7">
        <v>600</v>
      </c>
      <c r="L1160" s="7">
        <v>150</v>
      </c>
      <c r="M1160" s="7">
        <v>30</v>
      </c>
      <c r="N1160" s="7">
        <v>120</v>
      </c>
      <c r="O1160" s="7">
        <v>34</v>
      </c>
      <c r="P1160" s="7">
        <v>180</v>
      </c>
    </row>
    <row r="1161" spans="1:16" s="10" customFormat="1">
      <c r="A1161" s="7">
        <f>IF(B1161="","",SUBTOTAL(103,$B$2:B1161))</f>
        <v>1160</v>
      </c>
      <c r="B1161" s="8" t="s">
        <v>3168</v>
      </c>
      <c r="C1161" s="7" t="s">
        <v>3189</v>
      </c>
      <c r="D1161" s="9" t="s">
        <v>3192</v>
      </c>
      <c r="E1161" s="7" t="s">
        <v>3171</v>
      </c>
      <c r="F1161" s="7" t="s">
        <v>3193</v>
      </c>
      <c r="G1161" s="7" t="str">
        <f>E1161&amp;F1161</f>
        <v>MB 114 K-03 XB1/8 CF8 BSPT</v>
      </c>
      <c r="H1161" s="7">
        <v>0.08</v>
      </c>
      <c r="I1161" s="7">
        <v>58</v>
      </c>
      <c r="J1161" s="7">
        <v>800</v>
      </c>
      <c r="K1161" s="7">
        <v>600</v>
      </c>
      <c r="L1161" s="7">
        <v>150</v>
      </c>
      <c r="M1161" s="7">
        <v>30</v>
      </c>
      <c r="N1161" s="7">
        <v>120</v>
      </c>
      <c r="O1161" s="7">
        <v>34</v>
      </c>
      <c r="P1161" s="7">
        <v>180</v>
      </c>
    </row>
    <row r="1162" spans="1:16" s="10" customFormat="1">
      <c r="A1162" s="7">
        <f>IF(B1162="","",SUBTOTAL(103,$B$2:B1162))</f>
        <v>1161</v>
      </c>
      <c r="B1162" s="8" t="s">
        <v>3168</v>
      </c>
      <c r="C1162" s="7" t="s">
        <v>3189</v>
      </c>
      <c r="D1162" s="9" t="s">
        <v>3194</v>
      </c>
      <c r="E1162" s="7" t="s">
        <v>3171</v>
      </c>
      <c r="F1162" s="7" t="s">
        <v>1322</v>
      </c>
      <c r="G1162" s="7" t="s">
        <v>3195</v>
      </c>
      <c r="H1162" s="7">
        <v>0.08</v>
      </c>
      <c r="I1162" s="7">
        <v>58</v>
      </c>
      <c r="J1162" s="7">
        <v>800</v>
      </c>
      <c r="K1162" s="7">
        <v>600</v>
      </c>
      <c r="L1162" s="7">
        <v>150</v>
      </c>
      <c r="M1162" s="7">
        <v>30</v>
      </c>
      <c r="N1162" s="7">
        <v>120</v>
      </c>
      <c r="O1162" s="7">
        <v>34</v>
      </c>
      <c r="P1162" s="7">
        <v>180</v>
      </c>
    </row>
    <row r="1163" spans="1:16" s="10" customFormat="1">
      <c r="A1163" s="7">
        <f>IF(B1163="","",SUBTOTAL(103,$B$2:B1163))</f>
        <v>1162</v>
      </c>
      <c r="B1163" s="8" t="s">
        <v>3168</v>
      </c>
      <c r="C1163" s="7" t="s">
        <v>3189</v>
      </c>
      <c r="D1163" s="9" t="s">
        <v>3196</v>
      </c>
      <c r="E1163" s="7" t="s">
        <v>3181</v>
      </c>
      <c r="F1163" s="7" t="s">
        <v>1322</v>
      </c>
      <c r="G1163" s="7" t="s">
        <v>3197</v>
      </c>
      <c r="H1163" s="7">
        <v>0.08</v>
      </c>
      <c r="I1163" s="7">
        <v>58</v>
      </c>
      <c r="J1163" s="7">
        <v>800</v>
      </c>
      <c r="K1163" s="7">
        <v>600</v>
      </c>
      <c r="L1163" s="7">
        <v>150</v>
      </c>
      <c r="M1163" s="7">
        <v>30</v>
      </c>
      <c r="N1163" s="7">
        <v>120</v>
      </c>
      <c r="O1163" s="7">
        <v>34</v>
      </c>
      <c r="P1163" s="7">
        <v>180</v>
      </c>
    </row>
    <row r="1164" spans="1:16" s="10" customFormat="1">
      <c r="A1164" s="7">
        <f>IF(B1164="","",SUBTOTAL(103,$B$2:B1164))</f>
        <v>1163</v>
      </c>
      <c r="B1164" s="8" t="s">
        <v>3168</v>
      </c>
      <c r="C1164" s="7" t="s">
        <v>3198</v>
      </c>
      <c r="D1164" s="9" t="s">
        <v>3199</v>
      </c>
      <c r="E1164" s="7" t="s">
        <v>3171</v>
      </c>
      <c r="F1164" s="7" t="s">
        <v>1325</v>
      </c>
      <c r="G1164" s="7" t="s">
        <v>3200</v>
      </c>
      <c r="H1164" s="7">
        <v>1.046</v>
      </c>
      <c r="I1164" s="7">
        <v>2</v>
      </c>
      <c r="J1164" s="7">
        <v>800</v>
      </c>
      <c r="K1164" s="7">
        <v>600</v>
      </c>
      <c r="L1164" s="7">
        <v>150</v>
      </c>
      <c r="M1164" s="7">
        <v>30</v>
      </c>
      <c r="N1164" s="7">
        <v>120</v>
      </c>
      <c r="O1164" s="7">
        <v>1000</v>
      </c>
      <c r="P1164" s="7">
        <v>1100</v>
      </c>
    </row>
    <row r="1165" spans="1:16" s="10" customFormat="1">
      <c r="A1165" s="7">
        <f>IF(B1165="","",SUBTOTAL(103,$B$2:B1165))</f>
        <v>1164</v>
      </c>
      <c r="B1165" s="8" t="s">
        <v>3168</v>
      </c>
      <c r="C1165" s="7" t="s">
        <v>3198</v>
      </c>
      <c r="D1165" s="9" t="s">
        <v>3201</v>
      </c>
      <c r="E1165" s="7" t="s">
        <v>3171</v>
      </c>
      <c r="F1165" s="7" t="s">
        <v>1328</v>
      </c>
      <c r="G1165" s="7" t="s">
        <v>3202</v>
      </c>
      <c r="H1165" s="7">
        <v>1.046</v>
      </c>
      <c r="I1165" s="7">
        <v>2</v>
      </c>
      <c r="J1165" s="7">
        <v>800</v>
      </c>
      <c r="K1165" s="7">
        <v>600</v>
      </c>
      <c r="L1165" s="7">
        <v>150</v>
      </c>
      <c r="M1165" s="7">
        <v>30</v>
      </c>
      <c r="N1165" s="7">
        <v>120</v>
      </c>
      <c r="O1165" s="7">
        <v>1000</v>
      </c>
      <c r="P1165" s="7">
        <v>1100</v>
      </c>
    </row>
    <row r="1166" spans="1:16" s="10" customFormat="1">
      <c r="A1166" s="7">
        <f>IF(B1166="","",SUBTOTAL(103,$B$2:B1166))</f>
        <v>1165</v>
      </c>
      <c r="B1166" s="8" t="s">
        <v>3168</v>
      </c>
      <c r="C1166" s="7" t="s">
        <v>3198</v>
      </c>
      <c r="D1166" s="9" t="s">
        <v>3203</v>
      </c>
      <c r="E1166" s="7" t="s">
        <v>3181</v>
      </c>
      <c r="F1166" s="7" t="s">
        <v>1328</v>
      </c>
      <c r="G1166" s="7" t="s">
        <v>3204</v>
      </c>
      <c r="H1166" s="7">
        <v>1.046</v>
      </c>
      <c r="I1166" s="7">
        <v>2</v>
      </c>
      <c r="J1166" s="7">
        <v>800</v>
      </c>
      <c r="K1166" s="7">
        <v>600</v>
      </c>
      <c r="L1166" s="7">
        <v>150</v>
      </c>
      <c r="M1166" s="7">
        <v>30</v>
      </c>
      <c r="N1166" s="7">
        <v>120</v>
      </c>
      <c r="O1166" s="7">
        <v>1000</v>
      </c>
      <c r="P1166" s="7">
        <v>1100</v>
      </c>
    </row>
    <row r="1167" spans="1:16" s="10" customFormat="1">
      <c r="A1167" s="7">
        <f>IF(B1167="","",SUBTOTAL(103,$B$2:B1167))</f>
        <v>1166</v>
      </c>
      <c r="B1167" s="8" t="s">
        <v>3168</v>
      </c>
      <c r="C1167" s="7" t="s">
        <v>3205</v>
      </c>
      <c r="D1167" s="9" t="s">
        <v>3206</v>
      </c>
      <c r="E1167" s="7" t="s">
        <v>3171</v>
      </c>
      <c r="F1167" s="7" t="s">
        <v>1331</v>
      </c>
      <c r="G1167" s="7" t="s">
        <v>3207</v>
      </c>
      <c r="H1167" s="7">
        <v>0.80600000000000005</v>
      </c>
      <c r="I1167" s="7">
        <v>6</v>
      </c>
      <c r="J1167" s="7">
        <v>800</v>
      </c>
      <c r="K1167" s="7">
        <v>600</v>
      </c>
      <c r="L1167" s="7">
        <v>150</v>
      </c>
      <c r="M1167" s="7">
        <v>30</v>
      </c>
      <c r="N1167" s="7">
        <v>120</v>
      </c>
      <c r="O1167" s="7">
        <v>310</v>
      </c>
      <c r="P1167" s="7">
        <v>350</v>
      </c>
    </row>
    <row r="1168" spans="1:16" s="10" customFormat="1">
      <c r="A1168" s="7">
        <f>IF(B1168="","",SUBTOTAL(103,$B$2:B1168))</f>
        <v>1167</v>
      </c>
      <c r="B1168" s="8" t="s">
        <v>3168</v>
      </c>
      <c r="C1168" s="7" t="s">
        <v>3205</v>
      </c>
      <c r="D1168" s="9" t="s">
        <v>3208</v>
      </c>
      <c r="E1168" s="7" t="s">
        <v>3171</v>
      </c>
      <c r="F1168" s="7" t="s">
        <v>1334</v>
      </c>
      <c r="G1168" s="7" t="s">
        <v>3209</v>
      </c>
      <c r="H1168" s="7">
        <v>0.80600000000000005</v>
      </c>
      <c r="I1168" s="7">
        <v>6</v>
      </c>
      <c r="J1168" s="7">
        <v>800</v>
      </c>
      <c r="K1168" s="7">
        <v>600</v>
      </c>
      <c r="L1168" s="7">
        <v>150</v>
      </c>
      <c r="M1168" s="7">
        <v>30</v>
      </c>
      <c r="N1168" s="7">
        <v>120</v>
      </c>
      <c r="O1168" s="7">
        <v>310</v>
      </c>
      <c r="P1168" s="7">
        <v>350</v>
      </c>
    </row>
    <row r="1169" spans="1:16" s="10" customFormat="1">
      <c r="A1169" s="7">
        <f>IF(B1169="","",SUBTOTAL(103,$B$2:B1169))</f>
        <v>1168</v>
      </c>
      <c r="B1169" s="8" t="s">
        <v>3168</v>
      </c>
      <c r="C1169" s="7" t="s">
        <v>3205</v>
      </c>
      <c r="D1169" s="9" t="s">
        <v>3210</v>
      </c>
      <c r="E1169" s="7" t="s">
        <v>3181</v>
      </c>
      <c r="F1169" s="7" t="s">
        <v>1334</v>
      </c>
      <c r="G1169" s="7" t="s">
        <v>3211</v>
      </c>
      <c r="H1169" s="7">
        <v>0.80600000000000005</v>
      </c>
      <c r="I1169" s="7">
        <v>6</v>
      </c>
      <c r="J1169" s="7">
        <v>800</v>
      </c>
      <c r="K1169" s="7">
        <v>600</v>
      </c>
      <c r="L1169" s="7">
        <v>150</v>
      </c>
      <c r="M1169" s="7">
        <v>30</v>
      </c>
      <c r="N1169" s="7">
        <v>120</v>
      </c>
      <c r="O1169" s="7">
        <v>310</v>
      </c>
      <c r="P1169" s="7">
        <v>350</v>
      </c>
    </row>
    <row r="1170" spans="1:16" s="10" customFormat="1">
      <c r="A1170" s="7">
        <f>IF(B1170="","",SUBTOTAL(103,$B$2:B1170))</f>
        <v>1169</v>
      </c>
      <c r="B1170" s="8" t="s">
        <v>3168</v>
      </c>
      <c r="C1170" s="7" t="s">
        <v>3212</v>
      </c>
      <c r="D1170" s="9" t="s">
        <v>3213</v>
      </c>
      <c r="E1170" s="7" t="s">
        <v>3171</v>
      </c>
      <c r="F1170" s="7" t="s">
        <v>1369</v>
      </c>
      <c r="G1170" s="7" t="s">
        <v>3214</v>
      </c>
      <c r="H1170" s="7">
        <v>5.98</v>
      </c>
      <c r="I1170" s="7">
        <v>1</v>
      </c>
      <c r="J1170" s="7">
        <v>800</v>
      </c>
      <c r="K1170" s="7">
        <v>600</v>
      </c>
      <c r="L1170" s="7">
        <v>150</v>
      </c>
      <c r="M1170" s="7">
        <v>30</v>
      </c>
      <c r="N1170" s="7">
        <v>120</v>
      </c>
      <c r="O1170" s="7">
        <v>2000</v>
      </c>
      <c r="P1170" s="7">
        <v>2050</v>
      </c>
    </row>
    <row r="1171" spans="1:16" s="10" customFormat="1">
      <c r="A1171" s="7">
        <f>IF(B1171="","",SUBTOTAL(103,$B$2:B1171))</f>
        <v>1170</v>
      </c>
      <c r="B1171" s="8" t="s">
        <v>3168</v>
      </c>
      <c r="C1171" s="7" t="s">
        <v>3212</v>
      </c>
      <c r="D1171" s="9" t="s">
        <v>3215</v>
      </c>
      <c r="E1171" s="7" t="s">
        <v>3171</v>
      </c>
      <c r="F1171" s="7" t="s">
        <v>1372</v>
      </c>
      <c r="G1171" s="7" t="s">
        <v>3216</v>
      </c>
      <c r="H1171" s="7">
        <v>5.98</v>
      </c>
      <c r="I1171" s="7">
        <v>1</v>
      </c>
      <c r="J1171" s="7">
        <v>800</v>
      </c>
      <c r="K1171" s="7">
        <v>600</v>
      </c>
      <c r="L1171" s="7">
        <v>150</v>
      </c>
      <c r="M1171" s="7">
        <v>30</v>
      </c>
      <c r="N1171" s="7">
        <v>120</v>
      </c>
      <c r="O1171" s="7">
        <v>2000</v>
      </c>
      <c r="P1171" s="7">
        <v>2050</v>
      </c>
    </row>
    <row r="1172" spans="1:16" s="10" customFormat="1">
      <c r="A1172" s="7">
        <f>IF(B1172="","",SUBTOTAL(103,$B$2:B1172))</f>
        <v>1171</v>
      </c>
      <c r="B1172" s="8" t="s">
        <v>3168</v>
      </c>
      <c r="C1172" s="7" t="s">
        <v>3217</v>
      </c>
      <c r="D1172" s="9" t="s">
        <v>3218</v>
      </c>
      <c r="E1172" s="7" t="s">
        <v>3171</v>
      </c>
      <c r="F1172" s="7" t="s">
        <v>1339</v>
      </c>
      <c r="G1172" s="7" t="s">
        <v>3219</v>
      </c>
      <c r="H1172" s="7">
        <v>1.5760000000000001</v>
      </c>
      <c r="I1172" s="7">
        <v>2</v>
      </c>
      <c r="J1172" s="7">
        <v>800</v>
      </c>
      <c r="K1172" s="7">
        <v>600</v>
      </c>
      <c r="L1172" s="7">
        <v>150</v>
      </c>
      <c r="M1172" s="7">
        <v>30</v>
      </c>
      <c r="N1172" s="7">
        <v>120</v>
      </c>
      <c r="O1172" s="7">
        <v>1000</v>
      </c>
      <c r="P1172" s="7">
        <v>1100</v>
      </c>
    </row>
    <row r="1173" spans="1:16" s="10" customFormat="1">
      <c r="A1173" s="7">
        <f>IF(B1173="","",SUBTOTAL(103,$B$2:B1173))</f>
        <v>1172</v>
      </c>
      <c r="B1173" s="8" t="s">
        <v>3168</v>
      </c>
      <c r="C1173" s="7" t="s">
        <v>3217</v>
      </c>
      <c r="D1173" s="9" t="s">
        <v>3220</v>
      </c>
      <c r="E1173" s="7" t="s">
        <v>3171</v>
      </c>
      <c r="F1173" s="7" t="s">
        <v>1342</v>
      </c>
      <c r="G1173" s="7" t="s">
        <v>3221</v>
      </c>
      <c r="H1173" s="7">
        <v>1.5760000000000001</v>
      </c>
      <c r="I1173" s="7">
        <v>2</v>
      </c>
      <c r="J1173" s="7">
        <v>800</v>
      </c>
      <c r="K1173" s="7">
        <v>600</v>
      </c>
      <c r="L1173" s="7">
        <v>150</v>
      </c>
      <c r="M1173" s="7">
        <v>30</v>
      </c>
      <c r="N1173" s="7">
        <v>120</v>
      </c>
      <c r="O1173" s="7">
        <v>1000</v>
      </c>
      <c r="P1173" s="7">
        <v>1100</v>
      </c>
    </row>
    <row r="1174" spans="1:16" s="10" customFormat="1">
      <c r="A1174" s="7">
        <f>IF(B1174="","",SUBTOTAL(103,$B$2:B1174))</f>
        <v>1173</v>
      </c>
      <c r="B1174" s="8" t="s">
        <v>3168</v>
      </c>
      <c r="C1174" s="7" t="s">
        <v>3217</v>
      </c>
      <c r="D1174" s="9" t="s">
        <v>3222</v>
      </c>
      <c r="E1174" s="7" t="s">
        <v>3181</v>
      </c>
      <c r="F1174" s="7" t="s">
        <v>1342</v>
      </c>
      <c r="G1174" s="7" t="s">
        <v>3223</v>
      </c>
      <c r="H1174" s="7">
        <v>1.5760000000000001</v>
      </c>
      <c r="I1174" s="7">
        <v>2</v>
      </c>
      <c r="J1174" s="7">
        <v>800</v>
      </c>
      <c r="K1174" s="7">
        <v>600</v>
      </c>
      <c r="L1174" s="7">
        <v>150</v>
      </c>
      <c r="M1174" s="7">
        <v>30</v>
      </c>
      <c r="N1174" s="7">
        <v>120</v>
      </c>
      <c r="O1174" s="7">
        <v>1000</v>
      </c>
      <c r="P1174" s="7">
        <v>1100</v>
      </c>
    </row>
    <row r="1175" spans="1:16" s="10" customFormat="1">
      <c r="A1175" s="7">
        <f>IF(B1175="","",SUBTOTAL(103,$B$2:B1175))</f>
        <v>1174</v>
      </c>
      <c r="B1175" s="8" t="s">
        <v>3168</v>
      </c>
      <c r="C1175" s="7" t="s">
        <v>3224</v>
      </c>
      <c r="D1175" s="9" t="s">
        <v>3225</v>
      </c>
      <c r="E1175" s="7" t="s">
        <v>3171</v>
      </c>
      <c r="F1175" s="7" t="s">
        <v>1345</v>
      </c>
      <c r="G1175" s="7" t="s">
        <v>3226</v>
      </c>
      <c r="H1175" s="7">
        <v>2.4510000000000001</v>
      </c>
      <c r="I1175" s="7">
        <v>3</v>
      </c>
      <c r="J1175" s="7">
        <v>800</v>
      </c>
      <c r="K1175" s="7">
        <v>600</v>
      </c>
      <c r="L1175" s="7">
        <v>150</v>
      </c>
      <c r="M1175" s="7">
        <v>30</v>
      </c>
      <c r="N1175" s="7">
        <v>120</v>
      </c>
      <c r="O1175" s="7">
        <v>650</v>
      </c>
      <c r="P1175" s="7">
        <v>675</v>
      </c>
    </row>
    <row r="1176" spans="1:16" s="10" customFormat="1">
      <c r="A1176" s="7">
        <f>IF(B1176="","",SUBTOTAL(103,$B$2:B1176))</f>
        <v>1175</v>
      </c>
      <c r="B1176" s="8" t="s">
        <v>3168</v>
      </c>
      <c r="C1176" s="7" t="s">
        <v>3224</v>
      </c>
      <c r="D1176" s="9" t="s">
        <v>3227</v>
      </c>
      <c r="E1176" s="7" t="s">
        <v>3171</v>
      </c>
      <c r="F1176" s="7" t="s">
        <v>1348</v>
      </c>
      <c r="G1176" s="7" t="s">
        <v>3228</v>
      </c>
      <c r="H1176" s="7">
        <v>2.4510000000000001</v>
      </c>
      <c r="I1176" s="7">
        <v>3</v>
      </c>
      <c r="J1176" s="7">
        <v>800</v>
      </c>
      <c r="K1176" s="7">
        <v>600</v>
      </c>
      <c r="L1176" s="7">
        <v>150</v>
      </c>
      <c r="M1176" s="7">
        <v>30</v>
      </c>
      <c r="N1176" s="7">
        <v>120</v>
      </c>
      <c r="O1176" s="7">
        <v>650</v>
      </c>
      <c r="P1176" s="7">
        <v>675</v>
      </c>
    </row>
    <row r="1177" spans="1:16" s="10" customFormat="1">
      <c r="A1177" s="7">
        <f>IF(B1177="","",SUBTOTAL(103,$B$2:B1177))</f>
        <v>1176</v>
      </c>
      <c r="B1177" s="8" t="s">
        <v>3168</v>
      </c>
      <c r="C1177" s="7" t="s">
        <v>3229</v>
      </c>
      <c r="D1177" s="9" t="s">
        <v>3230</v>
      </c>
      <c r="E1177" s="7" t="s">
        <v>3171</v>
      </c>
      <c r="F1177" s="7" t="s">
        <v>1351</v>
      </c>
      <c r="G1177" s="7" t="s">
        <v>3231</v>
      </c>
      <c r="H1177" s="7">
        <v>6.04</v>
      </c>
      <c r="I1177" s="7">
        <v>2</v>
      </c>
      <c r="J1177" s="7">
        <v>800</v>
      </c>
      <c r="K1177" s="7">
        <v>600</v>
      </c>
      <c r="L1177" s="7">
        <v>150</v>
      </c>
      <c r="M1177" s="7">
        <v>30</v>
      </c>
      <c r="N1177" s="7">
        <v>120</v>
      </c>
      <c r="O1177" s="7">
        <v>1000</v>
      </c>
      <c r="P1177" s="7">
        <v>1100</v>
      </c>
    </row>
    <row r="1178" spans="1:16" s="10" customFormat="1">
      <c r="A1178" s="7">
        <f>IF(B1178="","",SUBTOTAL(103,$B$2:B1178))</f>
        <v>1177</v>
      </c>
      <c r="B1178" s="8" t="s">
        <v>3168</v>
      </c>
      <c r="C1178" s="7" t="s">
        <v>3229</v>
      </c>
      <c r="D1178" s="9" t="s">
        <v>3232</v>
      </c>
      <c r="E1178" s="7" t="s">
        <v>3171</v>
      </c>
      <c r="F1178" s="7" t="s">
        <v>1354</v>
      </c>
      <c r="G1178" s="7" t="s">
        <v>3233</v>
      </c>
      <c r="H1178" s="7">
        <v>6.04</v>
      </c>
      <c r="I1178" s="7">
        <v>2</v>
      </c>
      <c r="J1178" s="7">
        <v>800</v>
      </c>
      <c r="K1178" s="7">
        <v>600</v>
      </c>
      <c r="L1178" s="7">
        <v>150</v>
      </c>
      <c r="M1178" s="7">
        <v>30</v>
      </c>
      <c r="N1178" s="7">
        <v>120</v>
      </c>
      <c r="O1178" s="7">
        <v>1000</v>
      </c>
      <c r="P1178" s="7">
        <v>1100</v>
      </c>
    </row>
    <row r="1179" spans="1:16" s="10" customFormat="1">
      <c r="A1179" s="7">
        <f>IF(B1179="","",SUBTOTAL(103,$B$2:B1179))</f>
        <v>1178</v>
      </c>
      <c r="B1179" s="8" t="s">
        <v>3168</v>
      </c>
      <c r="C1179" s="7" t="s">
        <v>3234</v>
      </c>
      <c r="D1179" s="9" t="s">
        <v>3235</v>
      </c>
      <c r="E1179" s="7" t="s">
        <v>3171</v>
      </c>
      <c r="F1179" s="7" t="s">
        <v>1357</v>
      </c>
      <c r="G1179" s="7" t="s">
        <v>3236</v>
      </c>
      <c r="H1179" s="7">
        <v>0.35</v>
      </c>
      <c r="I1179" s="7">
        <v>6</v>
      </c>
      <c r="J1179" s="7">
        <v>800</v>
      </c>
      <c r="K1179" s="7">
        <v>600</v>
      </c>
      <c r="L1179" s="7">
        <v>150</v>
      </c>
      <c r="M1179" s="7">
        <v>30</v>
      </c>
      <c r="N1179" s="7">
        <v>120</v>
      </c>
      <c r="O1179" s="7">
        <v>310</v>
      </c>
      <c r="P1179" s="7">
        <v>350</v>
      </c>
    </row>
    <row r="1180" spans="1:16" s="10" customFormat="1">
      <c r="A1180" s="7">
        <f>IF(B1180="","",SUBTOTAL(103,$B$2:B1180))</f>
        <v>1179</v>
      </c>
      <c r="B1180" s="8" t="s">
        <v>3168</v>
      </c>
      <c r="C1180" s="7" t="s">
        <v>3234</v>
      </c>
      <c r="D1180" s="9" t="s">
        <v>3237</v>
      </c>
      <c r="E1180" s="7" t="s">
        <v>3171</v>
      </c>
      <c r="F1180" s="7" t="s">
        <v>1360</v>
      </c>
      <c r="G1180" s="7" t="s">
        <v>3238</v>
      </c>
      <c r="H1180" s="7">
        <v>0.35</v>
      </c>
      <c r="I1180" s="7">
        <v>6</v>
      </c>
      <c r="J1180" s="7">
        <v>800</v>
      </c>
      <c r="K1180" s="7">
        <v>600</v>
      </c>
      <c r="L1180" s="7">
        <v>150</v>
      </c>
      <c r="M1180" s="7">
        <v>30</v>
      </c>
      <c r="N1180" s="7">
        <v>120</v>
      </c>
      <c r="O1180" s="7">
        <v>310</v>
      </c>
      <c r="P1180" s="7">
        <v>350</v>
      </c>
    </row>
    <row r="1181" spans="1:16" s="10" customFormat="1">
      <c r="A1181" s="7">
        <f>IF(B1181="","",SUBTOTAL(103,$B$2:B1181))</f>
        <v>1180</v>
      </c>
      <c r="B1181" s="8" t="s">
        <v>3168</v>
      </c>
      <c r="C1181" s="7" t="s">
        <v>3234</v>
      </c>
      <c r="D1181" s="9" t="s">
        <v>3239</v>
      </c>
      <c r="E1181" s="7" t="s">
        <v>3181</v>
      </c>
      <c r="F1181" s="7" t="s">
        <v>1360</v>
      </c>
      <c r="G1181" s="7" t="s">
        <v>3240</v>
      </c>
      <c r="H1181" s="7">
        <v>0.35</v>
      </c>
      <c r="I1181" s="7">
        <v>12</v>
      </c>
      <c r="J1181" s="7">
        <v>800</v>
      </c>
      <c r="K1181" s="7">
        <v>600</v>
      </c>
      <c r="L1181" s="7">
        <v>150</v>
      </c>
      <c r="M1181" s="7">
        <v>30</v>
      </c>
      <c r="N1181" s="7">
        <v>120</v>
      </c>
      <c r="O1181" s="7">
        <v>310</v>
      </c>
      <c r="P1181" s="7">
        <v>350</v>
      </c>
    </row>
    <row r="1182" spans="1:16" s="10" customFormat="1">
      <c r="A1182" s="7">
        <f>IF(B1182="","",SUBTOTAL(103,$B$2:B1182))</f>
        <v>1181</v>
      </c>
      <c r="B1182" s="8" t="s">
        <v>3168</v>
      </c>
      <c r="C1182" s="7" t="s">
        <v>3241</v>
      </c>
      <c r="D1182" s="9" t="s">
        <v>3242</v>
      </c>
      <c r="E1182" s="7" t="s">
        <v>3171</v>
      </c>
      <c r="F1182" s="7" t="s">
        <v>1363</v>
      </c>
      <c r="G1182" s="7" t="s">
        <v>3243</v>
      </c>
      <c r="H1182" s="7">
        <v>0.13800000000000001</v>
      </c>
      <c r="I1182" s="7">
        <v>12</v>
      </c>
      <c r="J1182" s="7">
        <v>800</v>
      </c>
      <c r="K1182" s="7">
        <v>600</v>
      </c>
      <c r="L1182" s="7">
        <v>150</v>
      </c>
      <c r="M1182" s="7">
        <v>30</v>
      </c>
      <c r="N1182" s="7">
        <v>120</v>
      </c>
      <c r="O1182" s="7">
        <v>150</v>
      </c>
      <c r="P1182" s="7">
        <v>215</v>
      </c>
    </row>
    <row r="1183" spans="1:16" s="10" customFormat="1">
      <c r="A1183" s="7">
        <f>IF(B1183="","",SUBTOTAL(103,$B$2:B1183))</f>
        <v>1182</v>
      </c>
      <c r="B1183" s="8" t="s">
        <v>3168</v>
      </c>
      <c r="C1183" s="7" t="s">
        <v>3241</v>
      </c>
      <c r="D1183" s="9" t="s">
        <v>3244</v>
      </c>
      <c r="E1183" s="7" t="s">
        <v>3171</v>
      </c>
      <c r="F1183" s="7" t="s">
        <v>1366</v>
      </c>
      <c r="G1183" s="7" t="s">
        <v>3245</v>
      </c>
      <c r="H1183" s="7">
        <v>0.13800000000000001</v>
      </c>
      <c r="I1183" s="7">
        <v>12</v>
      </c>
      <c r="J1183" s="7">
        <v>800</v>
      </c>
      <c r="K1183" s="7">
        <v>600</v>
      </c>
      <c r="L1183" s="7">
        <v>150</v>
      </c>
      <c r="M1183" s="7">
        <v>30</v>
      </c>
      <c r="N1183" s="7">
        <v>120</v>
      </c>
      <c r="O1183" s="7">
        <v>150</v>
      </c>
      <c r="P1183" s="7">
        <v>215</v>
      </c>
    </row>
    <row r="1184" spans="1:16" s="10" customFormat="1">
      <c r="A1184" s="7">
        <f>IF(B1184="","",SUBTOTAL(103,$B$2:B1184))</f>
        <v>1183</v>
      </c>
      <c r="B1184" s="8" t="s">
        <v>3168</v>
      </c>
      <c r="C1184" s="7" t="s">
        <v>3241</v>
      </c>
      <c r="D1184" s="9" t="s">
        <v>3246</v>
      </c>
      <c r="E1184" s="7" t="s">
        <v>3181</v>
      </c>
      <c r="F1184" s="7" t="s">
        <v>1366</v>
      </c>
      <c r="G1184" s="7" t="str">
        <f>E1184&amp;F1184</f>
        <v>KI 114  KI-03 XB3/8 CF8M NPT</v>
      </c>
      <c r="H1184" s="7">
        <v>0.13800000000000001</v>
      </c>
      <c r="I1184" s="7">
        <v>12</v>
      </c>
      <c r="J1184" s="7">
        <v>800</v>
      </c>
      <c r="K1184" s="7">
        <v>600</v>
      </c>
      <c r="L1184" s="7">
        <v>150</v>
      </c>
      <c r="M1184" s="7">
        <v>30</v>
      </c>
      <c r="N1184" s="7">
        <v>120</v>
      </c>
      <c r="O1184" s="7">
        <v>150</v>
      </c>
      <c r="P1184" s="7">
        <v>215</v>
      </c>
    </row>
    <row r="1185" spans="1:16" s="10" customFormat="1">
      <c r="A1185" s="7">
        <f>IF(B1185="","",SUBTOTAL(103,$B$2:B1185))</f>
        <v>1184</v>
      </c>
      <c r="B1185" s="8" t="s">
        <v>3247</v>
      </c>
      <c r="C1185" s="7" t="s">
        <v>3248</v>
      </c>
      <c r="D1185" s="9" t="s">
        <v>3249</v>
      </c>
      <c r="E1185" s="7" t="s">
        <v>3250</v>
      </c>
      <c r="F1185" s="7" t="s">
        <v>1066</v>
      </c>
      <c r="G1185" s="7" t="s">
        <v>3251</v>
      </c>
      <c r="H1185" s="7">
        <v>0.188</v>
      </c>
      <c r="I1185" s="7">
        <v>28</v>
      </c>
      <c r="J1185" s="7">
        <v>800</v>
      </c>
      <c r="K1185" s="7">
        <v>600</v>
      </c>
      <c r="L1185" s="7">
        <v>150</v>
      </c>
      <c r="M1185" s="7">
        <v>30</v>
      </c>
      <c r="N1185" s="7">
        <v>60</v>
      </c>
      <c r="O1185" s="7">
        <v>70</v>
      </c>
      <c r="P1185" s="7">
        <v>140</v>
      </c>
    </row>
    <row r="1186" spans="1:16" s="10" customFormat="1">
      <c r="A1186" s="7">
        <f>IF(B1186="","",SUBTOTAL(103,$B$2:B1186))</f>
        <v>1185</v>
      </c>
      <c r="B1186" s="8" t="s">
        <v>3247</v>
      </c>
      <c r="C1186" s="7" t="s">
        <v>3248</v>
      </c>
      <c r="D1186" s="9" t="s">
        <v>3252</v>
      </c>
      <c r="E1186" s="7" t="s">
        <v>3250</v>
      </c>
      <c r="F1186" s="7" t="s">
        <v>1069</v>
      </c>
      <c r="G1186" s="7" t="s">
        <v>3253</v>
      </c>
      <c r="H1186" s="7">
        <v>0.189</v>
      </c>
      <c r="I1186" s="7">
        <v>28</v>
      </c>
      <c r="J1186" s="7">
        <v>800</v>
      </c>
      <c r="K1186" s="7">
        <v>600</v>
      </c>
      <c r="L1186" s="7">
        <v>150</v>
      </c>
      <c r="M1186" s="7">
        <v>30</v>
      </c>
      <c r="N1186" s="7">
        <v>60</v>
      </c>
      <c r="O1186" s="7">
        <v>70</v>
      </c>
      <c r="P1186" s="7">
        <v>140</v>
      </c>
    </row>
    <row r="1187" spans="1:16" s="10" customFormat="1">
      <c r="A1187" s="7">
        <f>IF(B1187="","",SUBTOTAL(103,$B$2:B1187))</f>
        <v>1186</v>
      </c>
      <c r="B1187" s="8" t="s">
        <v>3247</v>
      </c>
      <c r="C1187" s="7" t="s">
        <v>3254</v>
      </c>
      <c r="D1187" s="9" t="s">
        <v>3255</v>
      </c>
      <c r="E1187" s="7" t="s">
        <v>3250</v>
      </c>
      <c r="F1187" s="7" t="s">
        <v>1073</v>
      </c>
      <c r="G1187" s="7" t="s">
        <v>3256</v>
      </c>
      <c r="H1187" s="7">
        <v>7.8E-2</v>
      </c>
      <c r="I1187" s="7">
        <v>44</v>
      </c>
      <c r="J1187" s="7">
        <v>800</v>
      </c>
      <c r="K1187" s="7">
        <v>600</v>
      </c>
      <c r="L1187" s="7">
        <v>150</v>
      </c>
      <c r="M1187" s="7">
        <v>30</v>
      </c>
      <c r="N1187" s="7">
        <v>60</v>
      </c>
      <c r="O1187" s="7">
        <v>45</v>
      </c>
      <c r="P1187" s="7">
        <v>130</v>
      </c>
    </row>
    <row r="1188" spans="1:16" s="10" customFormat="1">
      <c r="A1188" s="7">
        <f>IF(B1188="","",SUBTOTAL(103,$B$2:B1188))</f>
        <v>1187</v>
      </c>
      <c r="B1188" s="8" t="s">
        <v>3247</v>
      </c>
      <c r="C1188" s="7" t="s">
        <v>3254</v>
      </c>
      <c r="D1188" s="9" t="s">
        <v>3257</v>
      </c>
      <c r="E1188" s="7" t="s">
        <v>3250</v>
      </c>
      <c r="F1188" s="7" t="s">
        <v>1076</v>
      </c>
      <c r="G1188" s="7" t="s">
        <v>3258</v>
      </c>
      <c r="H1188" s="7">
        <v>7.8E-2</v>
      </c>
      <c r="I1188" s="7">
        <v>44</v>
      </c>
      <c r="J1188" s="7">
        <v>800</v>
      </c>
      <c r="K1188" s="7">
        <v>600</v>
      </c>
      <c r="L1188" s="7">
        <v>150</v>
      </c>
      <c r="M1188" s="7">
        <v>30</v>
      </c>
      <c r="N1188" s="7">
        <v>60</v>
      </c>
      <c r="O1188" s="7">
        <v>45</v>
      </c>
      <c r="P1188" s="7">
        <v>130</v>
      </c>
    </row>
    <row r="1189" spans="1:16" s="10" customFormat="1">
      <c r="A1189" s="7">
        <f>IF(B1189="","",SUBTOTAL(103,$B$2:B1189))</f>
        <v>1188</v>
      </c>
      <c r="B1189" s="8" t="s">
        <v>3247</v>
      </c>
      <c r="C1189" s="7" t="s">
        <v>3259</v>
      </c>
      <c r="D1189" s="9" t="s">
        <v>3260</v>
      </c>
      <c r="E1189" s="7" t="s">
        <v>3250</v>
      </c>
      <c r="F1189" s="7" t="s">
        <v>998</v>
      </c>
      <c r="G1189" s="7" t="s">
        <v>3261</v>
      </c>
      <c r="H1189" s="7">
        <v>3.6999999999999998E-2</v>
      </c>
      <c r="I1189" s="7">
        <v>68</v>
      </c>
      <c r="J1189" s="7">
        <v>800</v>
      </c>
      <c r="K1189" s="7">
        <v>600</v>
      </c>
      <c r="L1189" s="7">
        <v>150</v>
      </c>
      <c r="M1189" s="7">
        <v>30</v>
      </c>
      <c r="N1189" s="7">
        <v>60</v>
      </c>
      <c r="O1189" s="7">
        <v>30</v>
      </c>
      <c r="P1189" s="7">
        <v>115</v>
      </c>
    </row>
    <row r="1190" spans="1:16" s="10" customFormat="1">
      <c r="A1190" s="7">
        <f>IF(B1190="","",SUBTOTAL(103,$B$2:B1190))</f>
        <v>1189</v>
      </c>
      <c r="B1190" s="8" t="s">
        <v>3247</v>
      </c>
      <c r="C1190" s="7" t="s">
        <v>3259</v>
      </c>
      <c r="D1190" s="9" t="s">
        <v>3262</v>
      </c>
      <c r="E1190" s="7" t="s">
        <v>3250</v>
      </c>
      <c r="F1190" s="7" t="s">
        <v>1081</v>
      </c>
      <c r="G1190" s="7" t="s">
        <v>3263</v>
      </c>
      <c r="H1190" s="7">
        <v>3.6999999999999998E-2</v>
      </c>
      <c r="I1190" s="7">
        <v>68</v>
      </c>
      <c r="J1190" s="7">
        <v>800</v>
      </c>
      <c r="K1190" s="7">
        <v>600</v>
      </c>
      <c r="L1190" s="7">
        <v>150</v>
      </c>
      <c r="M1190" s="7">
        <v>30</v>
      </c>
      <c r="N1190" s="7">
        <v>60</v>
      </c>
      <c r="O1190" s="7">
        <v>30</v>
      </c>
      <c r="P1190" s="7">
        <v>115</v>
      </c>
    </row>
    <row r="1191" spans="1:16" s="10" customFormat="1">
      <c r="A1191" s="7">
        <f>IF(B1191="","",SUBTOTAL(103,$B$2:B1191))</f>
        <v>1190</v>
      </c>
      <c r="B1191" s="8" t="s">
        <v>3247</v>
      </c>
      <c r="C1191" s="7" t="s">
        <v>3264</v>
      </c>
      <c r="D1191" s="9" t="s">
        <v>3265</v>
      </c>
      <c r="E1191" s="7" t="s">
        <v>3250</v>
      </c>
      <c r="F1191" s="7" t="s">
        <v>1085</v>
      </c>
      <c r="G1191" s="7" t="s">
        <v>3266</v>
      </c>
      <c r="H1191" s="7">
        <v>1.6E-2</v>
      </c>
      <c r="I1191" s="7">
        <v>80</v>
      </c>
      <c r="J1191" s="7">
        <v>800</v>
      </c>
      <c r="K1191" s="7">
        <v>600</v>
      </c>
      <c r="L1191" s="7">
        <v>150</v>
      </c>
      <c r="M1191" s="7">
        <v>30</v>
      </c>
      <c r="N1191" s="7">
        <v>60</v>
      </c>
      <c r="O1191" s="7">
        <v>25</v>
      </c>
      <c r="P1191" s="7">
        <v>115</v>
      </c>
    </row>
    <row r="1192" spans="1:16" s="10" customFormat="1">
      <c r="A1192" s="7">
        <f>IF(B1192="","",SUBTOTAL(103,$B$2:B1192))</f>
        <v>1191</v>
      </c>
      <c r="B1192" s="8" t="s">
        <v>3247</v>
      </c>
      <c r="C1192" s="7" t="s">
        <v>3267</v>
      </c>
      <c r="D1192" s="9" t="s">
        <v>3268</v>
      </c>
      <c r="E1192" s="7" t="s">
        <v>3250</v>
      </c>
      <c r="F1192" s="7" t="s">
        <v>1092</v>
      </c>
      <c r="G1192" s="7" t="s">
        <v>3269</v>
      </c>
      <c r="H1192" s="7">
        <v>0.38900000000000001</v>
      </c>
      <c r="I1192" s="7">
        <v>20</v>
      </c>
      <c r="J1192" s="7">
        <v>800</v>
      </c>
      <c r="K1192" s="7">
        <v>600</v>
      </c>
      <c r="L1192" s="7">
        <v>150</v>
      </c>
      <c r="M1192" s="7">
        <v>30</v>
      </c>
      <c r="N1192" s="7">
        <v>60</v>
      </c>
      <c r="O1192" s="7">
        <v>95</v>
      </c>
      <c r="P1192" s="7">
        <v>150</v>
      </c>
    </row>
    <row r="1193" spans="1:16" s="10" customFormat="1">
      <c r="A1193" s="7">
        <f>IF(B1193="","",SUBTOTAL(103,$B$2:B1193))</f>
        <v>1192</v>
      </c>
      <c r="B1193" s="8" t="s">
        <v>3247</v>
      </c>
      <c r="C1193" s="7" t="s">
        <v>3267</v>
      </c>
      <c r="D1193" s="9" t="s">
        <v>3270</v>
      </c>
      <c r="E1193" s="7" t="s">
        <v>3250</v>
      </c>
      <c r="F1193" s="7" t="s">
        <v>1095</v>
      </c>
      <c r="G1193" s="7" t="s">
        <v>3271</v>
      </c>
      <c r="H1193" s="7">
        <v>0.38900000000000001</v>
      </c>
      <c r="I1193" s="7">
        <v>20</v>
      </c>
      <c r="J1193" s="7">
        <v>800</v>
      </c>
      <c r="K1193" s="7">
        <v>600</v>
      </c>
      <c r="L1193" s="7">
        <v>150</v>
      </c>
      <c r="M1193" s="7">
        <v>30</v>
      </c>
      <c r="N1193" s="7">
        <v>60</v>
      </c>
      <c r="O1193" s="7">
        <v>95</v>
      </c>
      <c r="P1193" s="7">
        <v>150</v>
      </c>
    </row>
    <row r="1194" spans="1:16" s="10" customFormat="1">
      <c r="A1194" s="7">
        <f>IF(B1194="","",SUBTOTAL(103,$B$2:B1194))</f>
        <v>1193</v>
      </c>
      <c r="B1194" s="8" t="s">
        <v>3247</v>
      </c>
      <c r="C1194" s="7" t="s">
        <v>3272</v>
      </c>
      <c r="D1194" s="9" t="s">
        <v>3273</v>
      </c>
      <c r="E1194" s="7" t="s">
        <v>3250</v>
      </c>
      <c r="F1194" s="7" t="s">
        <v>1099</v>
      </c>
      <c r="G1194" s="7" t="s">
        <v>3274</v>
      </c>
      <c r="H1194" s="7">
        <v>0.34399999999999997</v>
      </c>
      <c r="I1194" s="7">
        <v>20</v>
      </c>
      <c r="J1194" s="7">
        <v>800</v>
      </c>
      <c r="K1194" s="7">
        <v>600</v>
      </c>
      <c r="L1194" s="7">
        <v>150</v>
      </c>
      <c r="M1194" s="7">
        <v>30</v>
      </c>
      <c r="N1194" s="7">
        <v>60</v>
      </c>
      <c r="O1194" s="7">
        <v>95</v>
      </c>
      <c r="P1194" s="7">
        <v>150</v>
      </c>
    </row>
    <row r="1195" spans="1:16" s="10" customFormat="1">
      <c r="A1195" s="7">
        <f>IF(B1195="","",SUBTOTAL(103,$B$2:B1195))</f>
        <v>1194</v>
      </c>
      <c r="B1195" s="8" t="s">
        <v>3247</v>
      </c>
      <c r="C1195" s="7" t="s">
        <v>3272</v>
      </c>
      <c r="D1195" s="9" t="s">
        <v>3275</v>
      </c>
      <c r="E1195" s="7" t="s">
        <v>3250</v>
      </c>
      <c r="F1195" s="7" t="s">
        <v>1102</v>
      </c>
      <c r="G1195" s="7" t="s">
        <v>3276</v>
      </c>
      <c r="H1195" s="7">
        <v>0.34399999999999997</v>
      </c>
      <c r="I1195" s="7">
        <v>20</v>
      </c>
      <c r="J1195" s="7">
        <v>800</v>
      </c>
      <c r="K1195" s="7">
        <v>600</v>
      </c>
      <c r="L1195" s="7">
        <v>150</v>
      </c>
      <c r="M1195" s="7">
        <v>30</v>
      </c>
      <c r="N1195" s="7">
        <v>60</v>
      </c>
      <c r="O1195" s="7">
        <v>95</v>
      </c>
      <c r="P1195" s="7">
        <v>150</v>
      </c>
    </row>
    <row r="1196" spans="1:16" s="10" customFormat="1">
      <c r="A1196" s="7">
        <f>IF(B1196="","",SUBTOTAL(103,$B$2:B1196))</f>
        <v>1195</v>
      </c>
      <c r="B1196" s="8" t="s">
        <v>3247</v>
      </c>
      <c r="C1196" s="7" t="s">
        <v>3277</v>
      </c>
      <c r="D1196" s="9" t="s">
        <v>3278</v>
      </c>
      <c r="E1196" s="7" t="s">
        <v>3250</v>
      </c>
      <c r="F1196" s="7" t="s">
        <v>1106</v>
      </c>
      <c r="G1196" s="7" t="s">
        <v>3279</v>
      </c>
      <c r="H1196" s="7">
        <v>0.53600000000000003</v>
      </c>
      <c r="I1196" s="7">
        <v>12</v>
      </c>
      <c r="J1196" s="7">
        <v>800</v>
      </c>
      <c r="K1196" s="7">
        <v>600</v>
      </c>
      <c r="L1196" s="7">
        <v>150</v>
      </c>
      <c r="M1196" s="7">
        <v>30</v>
      </c>
      <c r="N1196" s="7">
        <v>60</v>
      </c>
      <c r="O1196" s="7">
        <v>150</v>
      </c>
      <c r="P1196" s="7">
        <v>350</v>
      </c>
    </row>
    <row r="1197" spans="1:16" s="10" customFormat="1">
      <c r="A1197" s="7">
        <f>IF(B1197="","",SUBTOTAL(103,$B$2:B1197))</f>
        <v>1196</v>
      </c>
      <c r="B1197" s="8" t="s">
        <v>3247</v>
      </c>
      <c r="C1197" s="7" t="s">
        <v>3277</v>
      </c>
      <c r="D1197" s="9" t="s">
        <v>3280</v>
      </c>
      <c r="E1197" s="7" t="s">
        <v>3250</v>
      </c>
      <c r="F1197" s="7" t="s">
        <v>1109</v>
      </c>
      <c r="G1197" s="7" t="s">
        <v>3281</v>
      </c>
      <c r="H1197" s="7">
        <v>0.53600000000000003</v>
      </c>
      <c r="I1197" s="7">
        <v>12</v>
      </c>
      <c r="J1197" s="7">
        <v>800</v>
      </c>
      <c r="K1197" s="7">
        <v>600</v>
      </c>
      <c r="L1197" s="7">
        <v>150</v>
      </c>
      <c r="M1197" s="7">
        <v>30</v>
      </c>
      <c r="N1197" s="7">
        <v>60</v>
      </c>
      <c r="O1197" s="7">
        <v>150</v>
      </c>
      <c r="P1197" s="7">
        <v>350</v>
      </c>
    </row>
    <row r="1198" spans="1:16" s="10" customFormat="1">
      <c r="A1198" s="7">
        <f>IF(B1198="","",SUBTOTAL(103,$B$2:B1198))</f>
        <v>1197</v>
      </c>
      <c r="B1198" s="8" t="s">
        <v>3247</v>
      </c>
      <c r="C1198" s="7" t="s">
        <v>3282</v>
      </c>
      <c r="D1198" s="9" t="s">
        <v>3283</v>
      </c>
      <c r="E1198" s="7" t="s">
        <v>3250</v>
      </c>
      <c r="F1198" s="7" t="s">
        <v>1113</v>
      </c>
      <c r="G1198" s="7" t="s">
        <v>3284</v>
      </c>
      <c r="H1198" s="7">
        <v>1.0169999999999999</v>
      </c>
      <c r="I1198" s="7">
        <v>4</v>
      </c>
      <c r="J1198" s="7">
        <v>800</v>
      </c>
      <c r="K1198" s="7">
        <v>600</v>
      </c>
      <c r="L1198" s="7">
        <v>150</v>
      </c>
      <c r="M1198" s="7">
        <v>30</v>
      </c>
      <c r="N1198" s="7">
        <v>60</v>
      </c>
      <c r="O1198" s="7">
        <v>500</v>
      </c>
      <c r="P1198" s="7">
        <v>600</v>
      </c>
    </row>
    <row r="1199" spans="1:16" s="10" customFormat="1">
      <c r="A1199" s="7">
        <f>IF(B1199="","",SUBTOTAL(103,$B$2:B1199))</f>
        <v>1198</v>
      </c>
      <c r="B1199" s="8" t="s">
        <v>3247</v>
      </c>
      <c r="C1199" s="7" t="s">
        <v>3282</v>
      </c>
      <c r="D1199" s="9" t="s">
        <v>3285</v>
      </c>
      <c r="E1199" s="7" t="s">
        <v>3250</v>
      </c>
      <c r="F1199" s="7" t="s">
        <v>1116</v>
      </c>
      <c r="G1199" s="7" t="str">
        <f>E1199&amp;F1199</f>
        <v>MB  K-072 HN 热处理21/2 316 NPT</v>
      </c>
      <c r="H1199" s="7">
        <v>1.0169999999999999</v>
      </c>
      <c r="I1199" s="7">
        <v>4</v>
      </c>
      <c r="J1199" s="7">
        <v>800</v>
      </c>
      <c r="K1199" s="7">
        <v>600</v>
      </c>
      <c r="L1199" s="7">
        <v>150</v>
      </c>
      <c r="M1199" s="7">
        <v>30</v>
      </c>
      <c r="N1199" s="7">
        <v>60</v>
      </c>
      <c r="O1199" s="7">
        <v>500</v>
      </c>
      <c r="P1199" s="7">
        <v>600</v>
      </c>
    </row>
    <row r="1200" spans="1:16" s="10" customFormat="1">
      <c r="A1200" s="7">
        <f>IF(B1200="","",SUBTOTAL(103,$B$2:B1200))</f>
        <v>1199</v>
      </c>
      <c r="B1200" s="8" t="s">
        <v>3247</v>
      </c>
      <c r="C1200" s="7" t="s">
        <v>3286</v>
      </c>
      <c r="D1200" s="9" t="s">
        <v>3287</v>
      </c>
      <c r="E1200" s="7" t="s">
        <v>3250</v>
      </c>
      <c r="F1200" s="7" t="s">
        <v>1120</v>
      </c>
      <c r="G1200" s="7" t="s">
        <v>3288</v>
      </c>
      <c r="H1200" s="7">
        <v>1.724</v>
      </c>
      <c r="I1200" s="7">
        <v>3</v>
      </c>
      <c r="J1200" s="7">
        <v>800</v>
      </c>
      <c r="K1200" s="7">
        <v>600</v>
      </c>
      <c r="L1200" s="7">
        <v>150</v>
      </c>
      <c r="M1200" s="7">
        <v>30</v>
      </c>
      <c r="N1200" s="7">
        <v>60</v>
      </c>
      <c r="O1200" s="7">
        <v>650</v>
      </c>
      <c r="P1200" s="7">
        <v>675</v>
      </c>
    </row>
    <row r="1201" spans="1:16" s="10" customFormat="1">
      <c r="A1201" s="7">
        <f>IF(B1201="","",SUBTOTAL(103,$B$2:B1201))</f>
        <v>1200</v>
      </c>
      <c r="B1201" s="8" t="s">
        <v>3247</v>
      </c>
      <c r="C1201" s="7" t="s">
        <v>3286</v>
      </c>
      <c r="D1201" s="9" t="s">
        <v>3289</v>
      </c>
      <c r="E1201" s="7" t="s">
        <v>3250</v>
      </c>
      <c r="F1201" s="7" t="s">
        <v>1123</v>
      </c>
      <c r="G1201" s="7" t="s">
        <v>3290</v>
      </c>
      <c r="H1201" s="7">
        <v>1.724</v>
      </c>
      <c r="I1201" s="7">
        <v>3</v>
      </c>
      <c r="J1201" s="7">
        <v>800</v>
      </c>
      <c r="K1201" s="7">
        <v>600</v>
      </c>
      <c r="L1201" s="7">
        <v>150</v>
      </c>
      <c r="M1201" s="7">
        <v>30</v>
      </c>
      <c r="N1201" s="7">
        <v>60</v>
      </c>
      <c r="O1201" s="7">
        <v>650</v>
      </c>
      <c r="P1201" s="7">
        <v>675</v>
      </c>
    </row>
    <row r="1202" spans="1:16" s="10" customFormat="1">
      <c r="A1202" s="7">
        <f>IF(B1202="","",SUBTOTAL(103,$B$2:B1202))</f>
        <v>1201</v>
      </c>
      <c r="B1202" s="8" t="s">
        <v>3247</v>
      </c>
      <c r="C1202" s="7" t="s">
        <v>3291</v>
      </c>
      <c r="D1202" s="9" t="s">
        <v>3292</v>
      </c>
      <c r="E1202" s="7" t="s">
        <v>3250</v>
      </c>
      <c r="F1202" s="7" t="s">
        <v>1127</v>
      </c>
      <c r="G1202" s="7" t="s">
        <v>3293</v>
      </c>
      <c r="H1202" s="7">
        <v>0.126</v>
      </c>
      <c r="I1202" s="7">
        <v>36</v>
      </c>
      <c r="J1202" s="7">
        <v>800</v>
      </c>
      <c r="K1202" s="7">
        <v>600</v>
      </c>
      <c r="L1202" s="7">
        <v>150</v>
      </c>
      <c r="M1202" s="7">
        <v>30</v>
      </c>
      <c r="N1202" s="7">
        <v>60</v>
      </c>
      <c r="O1202" s="7">
        <v>55</v>
      </c>
      <c r="P1202" s="7">
        <v>140</v>
      </c>
    </row>
    <row r="1203" spans="1:16" s="10" customFormat="1">
      <c r="A1203" s="7">
        <f>IF(B1203="","",SUBTOTAL(103,$B$2:B1203))</f>
        <v>1202</v>
      </c>
      <c r="B1203" s="8" t="s">
        <v>3247</v>
      </c>
      <c r="C1203" s="7" t="s">
        <v>3291</v>
      </c>
      <c r="D1203" s="9" t="s">
        <v>3294</v>
      </c>
      <c r="E1203" s="7" t="s">
        <v>3250</v>
      </c>
      <c r="F1203" s="7" t="s">
        <v>1130</v>
      </c>
      <c r="G1203" s="7" t="s">
        <v>3295</v>
      </c>
      <c r="H1203" s="7">
        <v>0.126</v>
      </c>
      <c r="I1203" s="7">
        <v>36</v>
      </c>
      <c r="J1203" s="7">
        <v>800</v>
      </c>
      <c r="K1203" s="7">
        <v>600</v>
      </c>
      <c r="L1203" s="7">
        <v>150</v>
      </c>
      <c r="M1203" s="7">
        <v>30</v>
      </c>
      <c r="N1203" s="7">
        <v>60</v>
      </c>
      <c r="O1203" s="7">
        <v>55</v>
      </c>
      <c r="P1203" s="7">
        <v>140</v>
      </c>
    </row>
    <row r="1204" spans="1:16" s="10" customFormat="1">
      <c r="A1204" s="7">
        <f>IF(B1204="","",SUBTOTAL(103,$B$2:B1204))</f>
        <v>1203</v>
      </c>
      <c r="B1204" s="8" t="s">
        <v>3247</v>
      </c>
      <c r="C1204" s="7" t="s">
        <v>3296</v>
      </c>
      <c r="D1204" s="9" t="s">
        <v>3297</v>
      </c>
      <c r="E1204" s="7" t="s">
        <v>3250</v>
      </c>
      <c r="F1204" s="7" t="s">
        <v>1002</v>
      </c>
      <c r="G1204" s="7" t="s">
        <v>3298</v>
      </c>
      <c r="H1204" s="7">
        <v>5.5E-2</v>
      </c>
      <c r="I1204" s="7">
        <v>56</v>
      </c>
      <c r="J1204" s="7">
        <v>800</v>
      </c>
      <c r="K1204" s="7">
        <v>600</v>
      </c>
      <c r="L1204" s="7">
        <v>150</v>
      </c>
      <c r="M1204" s="7">
        <v>30</v>
      </c>
      <c r="N1204" s="7">
        <v>60</v>
      </c>
      <c r="O1204" s="7">
        <v>34</v>
      </c>
      <c r="P1204" s="7">
        <v>125</v>
      </c>
    </row>
    <row r="1205" spans="1:16" s="10" customFormat="1">
      <c r="A1205" s="7">
        <f>IF(B1205="","",SUBTOTAL(103,$B$2:B1205))</f>
        <v>1204</v>
      </c>
      <c r="B1205" s="8" t="s">
        <v>3247</v>
      </c>
      <c r="C1205" s="7" t="s">
        <v>3296</v>
      </c>
      <c r="D1205" s="9" t="s">
        <v>3299</v>
      </c>
      <c r="E1205" s="7" t="s">
        <v>3250</v>
      </c>
      <c r="F1205" s="7" t="s">
        <v>1135</v>
      </c>
      <c r="G1205" s="7" t="s">
        <v>3300</v>
      </c>
      <c r="H1205" s="7">
        <v>5.5E-2</v>
      </c>
      <c r="I1205" s="7">
        <v>56</v>
      </c>
      <c r="J1205" s="7">
        <v>800</v>
      </c>
      <c r="K1205" s="7">
        <v>600</v>
      </c>
      <c r="L1205" s="7">
        <v>150</v>
      </c>
      <c r="M1205" s="7">
        <v>30</v>
      </c>
      <c r="N1205" s="7">
        <v>60</v>
      </c>
      <c r="O1205" s="7">
        <v>34</v>
      </c>
      <c r="P1205" s="7">
        <v>125</v>
      </c>
    </row>
    <row r="1206" spans="1:16" s="10" customFormat="1">
      <c r="A1206" s="7">
        <f>IF(B1206="","",SUBTOTAL(103,$B$2:B1206))</f>
        <v>1205</v>
      </c>
      <c r="B1206" s="8" t="s">
        <v>3247</v>
      </c>
      <c r="C1206" s="7" t="s">
        <v>3248</v>
      </c>
      <c r="D1206" s="9" t="s">
        <v>3301</v>
      </c>
      <c r="E1206" s="7" t="s">
        <v>3302</v>
      </c>
      <c r="F1206" s="7" t="s">
        <v>1066</v>
      </c>
      <c r="G1206" s="7" t="s">
        <v>3303</v>
      </c>
      <c r="H1206" s="7">
        <v>0.188</v>
      </c>
      <c r="I1206" s="7">
        <v>28</v>
      </c>
      <c r="J1206" s="7">
        <v>800</v>
      </c>
      <c r="K1206" s="7">
        <v>600</v>
      </c>
      <c r="L1206" s="7">
        <v>150</v>
      </c>
      <c r="M1206" s="7">
        <v>30</v>
      </c>
      <c r="N1206" s="7">
        <v>60</v>
      </c>
      <c r="O1206" s="7">
        <v>70</v>
      </c>
      <c r="P1206" s="7">
        <v>140</v>
      </c>
    </row>
    <row r="1207" spans="1:16" s="10" customFormat="1">
      <c r="A1207" s="7">
        <f>IF(B1207="","",SUBTOTAL(103,$B$2:B1207))</f>
        <v>1206</v>
      </c>
      <c r="B1207" s="8" t="s">
        <v>3247</v>
      </c>
      <c r="C1207" s="7" t="s">
        <v>3254</v>
      </c>
      <c r="D1207" s="9" t="s">
        <v>3304</v>
      </c>
      <c r="E1207" s="7" t="s">
        <v>3302</v>
      </c>
      <c r="F1207" s="7" t="s">
        <v>1073</v>
      </c>
      <c r="G1207" s="7" t="s">
        <v>3305</v>
      </c>
      <c r="H1207" s="7">
        <v>0.06</v>
      </c>
      <c r="I1207" s="7">
        <v>44</v>
      </c>
      <c r="J1207" s="7">
        <v>800</v>
      </c>
      <c r="K1207" s="7">
        <v>600</v>
      </c>
      <c r="L1207" s="7">
        <v>150</v>
      </c>
      <c r="M1207" s="7">
        <v>30</v>
      </c>
      <c r="N1207" s="7">
        <v>60</v>
      </c>
      <c r="O1207" s="7">
        <v>45</v>
      </c>
      <c r="P1207" s="7">
        <v>130</v>
      </c>
    </row>
    <row r="1208" spans="1:16" s="10" customFormat="1">
      <c r="A1208" s="7">
        <f>IF(B1208="","",SUBTOTAL(103,$B$2:B1208))</f>
        <v>1207</v>
      </c>
      <c r="B1208" s="8" t="s">
        <v>3247</v>
      </c>
      <c r="C1208" s="7" t="s">
        <v>3259</v>
      </c>
      <c r="D1208" s="9" t="s">
        <v>3306</v>
      </c>
      <c r="E1208" s="7" t="s">
        <v>3302</v>
      </c>
      <c r="F1208" s="7" t="s">
        <v>998</v>
      </c>
      <c r="G1208" s="7" t="s">
        <v>3307</v>
      </c>
      <c r="H1208" s="7">
        <v>3.6999999999999998E-2</v>
      </c>
      <c r="I1208" s="7">
        <v>68</v>
      </c>
      <c r="J1208" s="7">
        <v>800</v>
      </c>
      <c r="K1208" s="7">
        <v>600</v>
      </c>
      <c r="L1208" s="7">
        <v>150</v>
      </c>
      <c r="M1208" s="7">
        <v>30</v>
      </c>
      <c r="N1208" s="7">
        <v>60</v>
      </c>
      <c r="O1208" s="7">
        <v>30</v>
      </c>
      <c r="P1208" s="7">
        <v>115</v>
      </c>
    </row>
    <row r="1209" spans="1:16" s="10" customFormat="1">
      <c r="A1209" s="7">
        <f>IF(B1209="","",SUBTOTAL(103,$B$2:B1209))</f>
        <v>1208</v>
      </c>
      <c r="B1209" s="8" t="s">
        <v>3247</v>
      </c>
      <c r="C1209" s="7" t="s">
        <v>3264</v>
      </c>
      <c r="D1209" s="9" t="s">
        <v>3308</v>
      </c>
      <c r="E1209" s="7" t="s">
        <v>3302</v>
      </c>
      <c r="F1209" s="7" t="s">
        <v>3309</v>
      </c>
      <c r="G1209" s="7" t="s">
        <v>3310</v>
      </c>
      <c r="H1209" s="7">
        <v>1.6E-2</v>
      </c>
      <c r="I1209" s="7">
        <v>80</v>
      </c>
      <c r="J1209" s="7">
        <v>800</v>
      </c>
      <c r="K1209" s="7">
        <v>600</v>
      </c>
      <c r="L1209" s="7">
        <v>150</v>
      </c>
      <c r="M1209" s="7">
        <v>30</v>
      </c>
      <c r="N1209" s="7">
        <v>60</v>
      </c>
      <c r="O1209" s="7">
        <v>25</v>
      </c>
      <c r="P1209" s="7">
        <v>115</v>
      </c>
    </row>
    <row r="1210" spans="1:16" s="10" customFormat="1">
      <c r="A1210" s="7">
        <f>IF(B1210="","",SUBTOTAL(103,$B$2:B1210))</f>
        <v>1209</v>
      </c>
      <c r="B1210" s="8" t="s">
        <v>3247</v>
      </c>
      <c r="C1210" s="7" t="s">
        <v>3264</v>
      </c>
      <c r="D1210" s="9" t="s">
        <v>3311</v>
      </c>
      <c r="E1210" s="7" t="s">
        <v>3302</v>
      </c>
      <c r="F1210" s="7" t="s">
        <v>1088</v>
      </c>
      <c r="G1210" s="7" t="s">
        <v>3312</v>
      </c>
      <c r="H1210" s="7">
        <v>1.6E-2</v>
      </c>
      <c r="I1210" s="7">
        <v>80</v>
      </c>
      <c r="J1210" s="7">
        <v>800</v>
      </c>
      <c r="K1210" s="7">
        <v>600</v>
      </c>
      <c r="L1210" s="7">
        <v>150</v>
      </c>
      <c r="M1210" s="7">
        <v>30</v>
      </c>
      <c r="N1210" s="7">
        <v>60</v>
      </c>
      <c r="O1210" s="7">
        <v>25</v>
      </c>
      <c r="P1210" s="7">
        <v>115</v>
      </c>
    </row>
    <row r="1211" spans="1:16" s="10" customFormat="1">
      <c r="A1211" s="7">
        <f>IF(B1211="","",SUBTOTAL(103,$B$2:B1211))</f>
        <v>1210</v>
      </c>
      <c r="B1211" s="8" t="s">
        <v>3247</v>
      </c>
      <c r="C1211" s="7" t="s">
        <v>3267</v>
      </c>
      <c r="D1211" s="9" t="s">
        <v>3313</v>
      </c>
      <c r="E1211" s="7" t="s">
        <v>3302</v>
      </c>
      <c r="F1211" s="7" t="s">
        <v>1092</v>
      </c>
      <c r="G1211" s="7" t="s">
        <v>3314</v>
      </c>
      <c r="H1211" s="7">
        <v>0.38900000000000001</v>
      </c>
      <c r="I1211" s="7">
        <v>20</v>
      </c>
      <c r="J1211" s="7">
        <v>800</v>
      </c>
      <c r="K1211" s="7">
        <v>600</v>
      </c>
      <c r="L1211" s="7">
        <v>150</v>
      </c>
      <c r="M1211" s="7">
        <v>30</v>
      </c>
      <c r="N1211" s="7">
        <v>60</v>
      </c>
      <c r="O1211" s="7">
        <v>95</v>
      </c>
      <c r="P1211" s="7">
        <v>150</v>
      </c>
    </row>
    <row r="1212" spans="1:16" s="10" customFormat="1">
      <c r="A1212" s="7">
        <f>IF(B1212="","",SUBTOTAL(103,$B$2:B1212))</f>
        <v>1211</v>
      </c>
      <c r="B1212" s="8" t="s">
        <v>3247</v>
      </c>
      <c r="C1212" s="7" t="s">
        <v>3277</v>
      </c>
      <c r="D1212" s="9" t="s">
        <v>3315</v>
      </c>
      <c r="E1212" s="7" t="s">
        <v>3302</v>
      </c>
      <c r="F1212" s="7" t="s">
        <v>1106</v>
      </c>
      <c r="G1212" s="7" t="s">
        <v>3316</v>
      </c>
      <c r="H1212" s="7">
        <v>0.53600000000000003</v>
      </c>
      <c r="I1212" s="7">
        <v>12</v>
      </c>
      <c r="J1212" s="7">
        <v>800</v>
      </c>
      <c r="K1212" s="7">
        <v>600</v>
      </c>
      <c r="L1212" s="7">
        <v>150</v>
      </c>
      <c r="M1212" s="7">
        <v>30</v>
      </c>
      <c r="N1212" s="7">
        <v>60</v>
      </c>
      <c r="O1212" s="7">
        <v>150</v>
      </c>
      <c r="P1212" s="7">
        <v>350</v>
      </c>
    </row>
    <row r="1213" spans="1:16" s="10" customFormat="1">
      <c r="A1213" s="7">
        <f>IF(B1213="","",SUBTOTAL(103,$B$2:B1213))</f>
        <v>1212</v>
      </c>
      <c r="B1213" s="8" t="s">
        <v>3247</v>
      </c>
      <c r="C1213" s="7" t="s">
        <v>3291</v>
      </c>
      <c r="D1213" s="9" t="s">
        <v>3317</v>
      </c>
      <c r="E1213" s="7" t="s">
        <v>3302</v>
      </c>
      <c r="F1213" s="7" t="s">
        <v>1127</v>
      </c>
      <c r="G1213" s="7" t="s">
        <v>3318</v>
      </c>
      <c r="H1213" s="7">
        <v>0.126</v>
      </c>
      <c r="I1213" s="7">
        <v>36</v>
      </c>
      <c r="J1213" s="7">
        <v>800</v>
      </c>
      <c r="K1213" s="7">
        <v>600</v>
      </c>
      <c r="L1213" s="7">
        <v>150</v>
      </c>
      <c r="M1213" s="7">
        <v>30</v>
      </c>
      <c r="N1213" s="7">
        <v>60</v>
      </c>
      <c r="O1213" s="7">
        <v>55</v>
      </c>
      <c r="P1213" s="7">
        <v>140</v>
      </c>
    </row>
    <row r="1214" spans="1:16" s="10" customFormat="1">
      <c r="A1214" s="7">
        <f>IF(B1214="","",SUBTOTAL(103,$B$2:B1214))</f>
        <v>1213</v>
      </c>
      <c r="B1214" s="8" t="s">
        <v>3247</v>
      </c>
      <c r="C1214" s="7" t="s">
        <v>3296</v>
      </c>
      <c r="D1214" s="9" t="s">
        <v>3319</v>
      </c>
      <c r="E1214" s="7" t="s">
        <v>3302</v>
      </c>
      <c r="F1214" s="7" t="s">
        <v>1002</v>
      </c>
      <c r="G1214" s="7" t="s">
        <v>3320</v>
      </c>
      <c r="H1214" s="7">
        <v>5.5E-2</v>
      </c>
      <c r="I1214" s="7">
        <v>56</v>
      </c>
      <c r="J1214" s="7">
        <v>800</v>
      </c>
      <c r="K1214" s="7">
        <v>600</v>
      </c>
      <c r="L1214" s="7">
        <v>150</v>
      </c>
      <c r="M1214" s="7">
        <v>30</v>
      </c>
      <c r="N1214" s="7">
        <v>60</v>
      </c>
      <c r="O1214" s="7">
        <v>34</v>
      </c>
      <c r="P1214" s="7">
        <v>125</v>
      </c>
    </row>
    <row r="1215" spans="1:16" s="10" customFormat="1">
      <c r="A1215" s="7">
        <f>IF(B1215="","",SUBTOTAL(103,$B$2:B1215))</f>
        <v>1214</v>
      </c>
      <c r="B1215" s="8" t="s">
        <v>3321</v>
      </c>
      <c r="C1215" s="7" t="s">
        <v>3322</v>
      </c>
      <c r="D1215" s="9" t="s">
        <v>3323</v>
      </c>
      <c r="E1215" s="7" t="s">
        <v>3324</v>
      </c>
      <c r="F1215" s="7" t="s">
        <v>1148</v>
      </c>
      <c r="G1215" s="7" t="s">
        <v>3325</v>
      </c>
      <c r="H1215" s="7">
        <v>0.14899999999999999</v>
      </c>
      <c r="I1215" s="7">
        <v>28</v>
      </c>
      <c r="J1215" s="7">
        <v>800</v>
      </c>
      <c r="K1215" s="7">
        <v>600</v>
      </c>
      <c r="L1215" s="7">
        <v>150</v>
      </c>
      <c r="M1215" s="7">
        <v>30</v>
      </c>
      <c r="N1215" s="7">
        <v>60</v>
      </c>
      <c r="O1215" s="7">
        <v>70</v>
      </c>
      <c r="P1215" s="7">
        <v>150</v>
      </c>
    </row>
    <row r="1216" spans="1:16" s="10" customFormat="1">
      <c r="A1216" s="7">
        <f>IF(B1216="","",SUBTOTAL(103,$B$2:B1216))</f>
        <v>1215</v>
      </c>
      <c r="B1216" s="8" t="s">
        <v>3321</v>
      </c>
      <c r="C1216" s="7" t="s">
        <v>3322</v>
      </c>
      <c r="D1216" s="9" t="s">
        <v>3326</v>
      </c>
      <c r="E1216" s="7" t="s">
        <v>3324</v>
      </c>
      <c r="F1216" s="7" t="s">
        <v>1151</v>
      </c>
      <c r="G1216" s="7" t="s">
        <v>3327</v>
      </c>
      <c r="H1216" s="7">
        <v>0.14899999999999999</v>
      </c>
      <c r="I1216" s="7">
        <v>28</v>
      </c>
      <c r="J1216" s="7">
        <v>800</v>
      </c>
      <c r="K1216" s="7">
        <v>600</v>
      </c>
      <c r="L1216" s="7">
        <v>150</v>
      </c>
      <c r="M1216" s="7">
        <v>30</v>
      </c>
      <c r="N1216" s="7">
        <v>60</v>
      </c>
      <c r="O1216" s="7">
        <v>70</v>
      </c>
      <c r="P1216" s="7">
        <v>150</v>
      </c>
    </row>
    <row r="1217" spans="1:16" s="10" customFormat="1">
      <c r="A1217" s="7">
        <f>IF(B1217="","",SUBTOTAL(103,$B$2:B1217))</f>
        <v>1216</v>
      </c>
      <c r="B1217" s="8" t="s">
        <v>3321</v>
      </c>
      <c r="C1217" s="7" t="s">
        <v>3328</v>
      </c>
      <c r="D1217" s="9" t="s">
        <v>3329</v>
      </c>
      <c r="E1217" s="7" t="s">
        <v>3324</v>
      </c>
      <c r="F1217" s="7" t="s">
        <v>1162</v>
      </c>
      <c r="G1217" s="7" t="s">
        <v>3330</v>
      </c>
      <c r="H1217" s="7">
        <v>0.183</v>
      </c>
      <c r="I1217" s="7">
        <v>28</v>
      </c>
      <c r="J1217" s="7">
        <v>800</v>
      </c>
      <c r="K1217" s="7">
        <v>600</v>
      </c>
      <c r="L1217" s="7">
        <v>150</v>
      </c>
      <c r="M1217" s="7">
        <v>30</v>
      </c>
      <c r="N1217" s="7">
        <v>60</v>
      </c>
      <c r="O1217" s="7">
        <v>70</v>
      </c>
      <c r="P1217" s="7">
        <v>150</v>
      </c>
    </row>
    <row r="1218" spans="1:16" s="10" customFormat="1">
      <c r="A1218" s="7">
        <f>IF(B1218="","",SUBTOTAL(103,$B$2:B1218))</f>
        <v>1217</v>
      </c>
      <c r="B1218" s="8" t="s">
        <v>3321</v>
      </c>
      <c r="C1218" s="7" t="s">
        <v>3328</v>
      </c>
      <c r="D1218" s="9" t="s">
        <v>3331</v>
      </c>
      <c r="E1218" s="7" t="s">
        <v>3324</v>
      </c>
      <c r="F1218" s="7" t="s">
        <v>1165</v>
      </c>
      <c r="G1218" s="7" t="s">
        <v>3332</v>
      </c>
      <c r="H1218" s="7">
        <v>0.30499999999999999</v>
      </c>
      <c r="I1218" s="7">
        <v>28</v>
      </c>
      <c r="J1218" s="7">
        <v>800</v>
      </c>
      <c r="K1218" s="7">
        <v>600</v>
      </c>
      <c r="L1218" s="7">
        <v>150</v>
      </c>
      <c r="M1218" s="7">
        <v>30</v>
      </c>
      <c r="N1218" s="7">
        <v>60</v>
      </c>
      <c r="O1218" s="7">
        <v>70</v>
      </c>
      <c r="P1218" s="7">
        <v>150</v>
      </c>
    </row>
    <row r="1219" spans="1:16" s="10" customFormat="1">
      <c r="A1219" s="7">
        <f>IF(B1219="","",SUBTOTAL(103,$B$2:B1219))</f>
        <v>1218</v>
      </c>
      <c r="B1219" s="8" t="s">
        <v>3321</v>
      </c>
      <c r="C1219" s="7" t="s">
        <v>3333</v>
      </c>
      <c r="D1219" s="9" t="s">
        <v>3334</v>
      </c>
      <c r="E1219" s="7" t="s">
        <v>3324</v>
      </c>
      <c r="F1219" s="7" t="s">
        <v>1169</v>
      </c>
      <c r="G1219" s="7" t="s">
        <v>3335</v>
      </c>
      <c r="H1219" s="7">
        <v>8.5000000000000006E-2</v>
      </c>
      <c r="I1219" s="7">
        <v>28</v>
      </c>
      <c r="J1219" s="7">
        <v>800</v>
      </c>
      <c r="K1219" s="7">
        <v>600</v>
      </c>
      <c r="L1219" s="7">
        <v>150</v>
      </c>
      <c r="M1219" s="7">
        <v>30</v>
      </c>
      <c r="N1219" s="7">
        <v>60</v>
      </c>
      <c r="O1219" s="7">
        <v>70</v>
      </c>
      <c r="P1219" s="7">
        <v>120</v>
      </c>
    </row>
    <row r="1220" spans="1:16" s="10" customFormat="1">
      <c r="A1220" s="7">
        <f>IF(B1220="","",SUBTOTAL(103,$B$2:B1220))</f>
        <v>1219</v>
      </c>
      <c r="B1220" s="8" t="s">
        <v>3321</v>
      </c>
      <c r="C1220" s="7" t="s">
        <v>3333</v>
      </c>
      <c r="D1220" s="9" t="s">
        <v>3336</v>
      </c>
      <c r="E1220" s="7" t="s">
        <v>3324</v>
      </c>
      <c r="F1220" s="7" t="s">
        <v>1172</v>
      </c>
      <c r="G1220" s="7" t="s">
        <v>3337</v>
      </c>
      <c r="H1220" s="7">
        <v>8.5000000000000006E-2</v>
      </c>
      <c r="I1220" s="7">
        <v>28</v>
      </c>
      <c r="J1220" s="7">
        <v>800</v>
      </c>
      <c r="K1220" s="7">
        <v>600</v>
      </c>
      <c r="L1220" s="7">
        <v>150</v>
      </c>
      <c r="M1220" s="7">
        <v>30</v>
      </c>
      <c r="N1220" s="7">
        <v>60</v>
      </c>
      <c r="O1220" s="7">
        <v>70</v>
      </c>
      <c r="P1220" s="7">
        <v>120</v>
      </c>
    </row>
    <row r="1221" spans="1:16" s="10" customFormat="1">
      <c r="A1221" s="7">
        <f>IF(B1221="","",SUBTOTAL(103,$B$2:B1221))</f>
        <v>1220</v>
      </c>
      <c r="B1221" s="8" t="s">
        <v>3321</v>
      </c>
      <c r="C1221" s="7" t="s">
        <v>3338</v>
      </c>
      <c r="D1221" s="9" t="s">
        <v>3339</v>
      </c>
      <c r="E1221" s="7" t="s">
        <v>3324</v>
      </c>
      <c r="F1221" s="7" t="s">
        <v>1176</v>
      </c>
      <c r="G1221" s="7" t="s">
        <v>3340</v>
      </c>
      <c r="H1221" s="7">
        <v>6.7000000000000004E-2</v>
      </c>
      <c r="I1221" s="7">
        <v>48</v>
      </c>
      <c r="J1221" s="7">
        <v>800</v>
      </c>
      <c r="K1221" s="7">
        <v>600</v>
      </c>
      <c r="L1221" s="7">
        <v>150</v>
      </c>
      <c r="M1221" s="7">
        <v>30</v>
      </c>
      <c r="N1221" s="7">
        <v>60</v>
      </c>
      <c r="O1221" s="7">
        <v>41</v>
      </c>
      <c r="P1221" s="7">
        <v>120</v>
      </c>
    </row>
    <row r="1222" spans="1:16" s="10" customFormat="1">
      <c r="A1222" s="7">
        <f>IF(B1222="","",SUBTOTAL(103,$B$2:B1222))</f>
        <v>1221</v>
      </c>
      <c r="B1222" s="8" t="s">
        <v>3321</v>
      </c>
      <c r="C1222" s="7" t="s">
        <v>3338</v>
      </c>
      <c r="D1222" s="9" t="s">
        <v>3341</v>
      </c>
      <c r="E1222" s="7" t="s">
        <v>3324</v>
      </c>
      <c r="F1222" s="7" t="s">
        <v>1179</v>
      </c>
      <c r="G1222" s="7" t="s">
        <v>3342</v>
      </c>
      <c r="H1222" s="7">
        <v>6.7000000000000004E-2</v>
      </c>
      <c r="I1222" s="7">
        <v>48</v>
      </c>
      <c r="J1222" s="7">
        <v>800</v>
      </c>
      <c r="K1222" s="7">
        <v>600</v>
      </c>
      <c r="L1222" s="7">
        <v>150</v>
      </c>
      <c r="M1222" s="7">
        <v>30</v>
      </c>
      <c r="N1222" s="7">
        <v>60</v>
      </c>
      <c r="O1222" s="7">
        <v>41</v>
      </c>
      <c r="P1222" s="7">
        <v>120</v>
      </c>
    </row>
    <row r="1223" spans="1:16" s="10" customFormat="1">
      <c r="A1223" s="7">
        <f>IF(B1223="","",SUBTOTAL(103,$B$2:B1223))</f>
        <v>1222</v>
      </c>
      <c r="B1223" s="8" t="s">
        <v>3321</v>
      </c>
      <c r="C1223" s="7" t="s">
        <v>3343</v>
      </c>
      <c r="D1223" s="9" t="s">
        <v>3344</v>
      </c>
      <c r="E1223" s="7" t="s">
        <v>3324</v>
      </c>
      <c r="F1223" s="7" t="s">
        <v>1183</v>
      </c>
      <c r="G1223" s="7" t="s">
        <v>3345</v>
      </c>
      <c r="H1223" s="7">
        <v>6.4000000000000001E-2</v>
      </c>
      <c r="I1223" s="7">
        <v>48</v>
      </c>
      <c r="J1223" s="7">
        <v>800</v>
      </c>
      <c r="K1223" s="7">
        <v>600</v>
      </c>
      <c r="L1223" s="7">
        <v>150</v>
      </c>
      <c r="M1223" s="7">
        <v>30</v>
      </c>
      <c r="N1223" s="7">
        <v>60</v>
      </c>
      <c r="O1223" s="7">
        <v>41</v>
      </c>
      <c r="P1223" s="7">
        <v>120</v>
      </c>
    </row>
    <row r="1224" spans="1:16" s="10" customFormat="1">
      <c r="A1224" s="7">
        <f>IF(B1224="","",SUBTOTAL(103,$B$2:B1224))</f>
        <v>1223</v>
      </c>
      <c r="B1224" s="8" t="s">
        <v>3321</v>
      </c>
      <c r="C1224" s="7" t="s">
        <v>3343</v>
      </c>
      <c r="D1224" s="9" t="s">
        <v>3346</v>
      </c>
      <c r="E1224" s="7" t="s">
        <v>3324</v>
      </c>
      <c r="F1224" s="7" t="s">
        <v>1186</v>
      </c>
      <c r="G1224" s="7" t="s">
        <v>3347</v>
      </c>
      <c r="H1224" s="7">
        <v>6.4000000000000001E-2</v>
      </c>
      <c r="I1224" s="7">
        <v>48</v>
      </c>
      <c r="J1224" s="7">
        <v>800</v>
      </c>
      <c r="K1224" s="7">
        <v>600</v>
      </c>
      <c r="L1224" s="7">
        <v>150</v>
      </c>
      <c r="M1224" s="7">
        <v>30</v>
      </c>
      <c r="N1224" s="7">
        <v>60</v>
      </c>
      <c r="O1224" s="7">
        <v>41</v>
      </c>
      <c r="P1224" s="7">
        <v>120</v>
      </c>
    </row>
    <row r="1225" spans="1:16" s="10" customFormat="1">
      <c r="A1225" s="7">
        <f>IF(B1225="","",SUBTOTAL(103,$B$2:B1225))</f>
        <v>1224</v>
      </c>
      <c r="B1225" s="8" t="s">
        <v>3321</v>
      </c>
      <c r="C1225" s="7" t="s">
        <v>3348</v>
      </c>
      <c r="D1225" s="9" t="s">
        <v>3349</v>
      </c>
      <c r="E1225" s="7" t="s">
        <v>3324</v>
      </c>
      <c r="F1225" s="7" t="s">
        <v>1190</v>
      </c>
      <c r="G1225" s="7" t="s">
        <v>3350</v>
      </c>
      <c r="H1225" s="7">
        <v>8.5000000000000006E-2</v>
      </c>
      <c r="I1225" s="7">
        <v>48</v>
      </c>
      <c r="J1225" s="7">
        <v>800</v>
      </c>
      <c r="K1225" s="7">
        <v>600</v>
      </c>
      <c r="L1225" s="7">
        <v>150</v>
      </c>
      <c r="M1225" s="7">
        <v>30</v>
      </c>
      <c r="N1225" s="7">
        <v>60</v>
      </c>
      <c r="O1225" s="7">
        <v>41</v>
      </c>
      <c r="P1225" s="7">
        <v>120</v>
      </c>
    </row>
    <row r="1226" spans="1:16" s="10" customFormat="1">
      <c r="A1226" s="7">
        <f>IF(B1226="","",SUBTOTAL(103,$B$2:B1226))</f>
        <v>1225</v>
      </c>
      <c r="B1226" s="8" t="s">
        <v>3321</v>
      </c>
      <c r="C1226" s="7" t="s">
        <v>3348</v>
      </c>
      <c r="D1226" s="9" t="s">
        <v>3351</v>
      </c>
      <c r="E1226" s="7" t="s">
        <v>3324</v>
      </c>
      <c r="F1226" s="7" t="s">
        <v>1193</v>
      </c>
      <c r="G1226" s="7" t="s">
        <v>3352</v>
      </c>
      <c r="H1226" s="7">
        <v>8.5000000000000006E-2</v>
      </c>
      <c r="I1226" s="7">
        <v>48</v>
      </c>
      <c r="J1226" s="7">
        <v>800</v>
      </c>
      <c r="K1226" s="7">
        <v>600</v>
      </c>
      <c r="L1226" s="7">
        <v>150</v>
      </c>
      <c r="M1226" s="7">
        <v>30</v>
      </c>
      <c r="N1226" s="7">
        <v>60</v>
      </c>
      <c r="O1226" s="7">
        <v>41</v>
      </c>
      <c r="P1226" s="7">
        <v>120</v>
      </c>
    </row>
    <row r="1227" spans="1:16" s="10" customFormat="1">
      <c r="A1227" s="7">
        <f>IF(B1227="","",SUBTOTAL(103,$B$2:B1227))</f>
        <v>1226</v>
      </c>
      <c r="B1227" s="8" t="s">
        <v>3321</v>
      </c>
      <c r="C1227" s="7" t="s">
        <v>3353</v>
      </c>
      <c r="D1227" s="9" t="s">
        <v>3354</v>
      </c>
      <c r="E1227" s="7" t="s">
        <v>3324</v>
      </c>
      <c r="F1227" s="7" t="s">
        <v>1197</v>
      </c>
      <c r="G1227" s="7" t="s">
        <v>3355</v>
      </c>
      <c r="H1227" s="7">
        <v>3.5999999999999997E-2</v>
      </c>
      <c r="I1227" s="7">
        <v>68</v>
      </c>
      <c r="J1227" s="7">
        <v>800</v>
      </c>
      <c r="K1227" s="7">
        <v>600</v>
      </c>
      <c r="L1227" s="7">
        <v>150</v>
      </c>
      <c r="M1227" s="7">
        <v>30</v>
      </c>
      <c r="N1227" s="7">
        <v>60</v>
      </c>
      <c r="O1227" s="7">
        <v>30</v>
      </c>
      <c r="P1227" s="7">
        <v>120</v>
      </c>
    </row>
    <row r="1228" spans="1:16" s="10" customFormat="1">
      <c r="A1228" s="7">
        <f>IF(B1228="","",SUBTOTAL(103,$B$2:B1228))</f>
        <v>1227</v>
      </c>
      <c r="B1228" s="8" t="s">
        <v>3321</v>
      </c>
      <c r="C1228" s="7" t="s">
        <v>3353</v>
      </c>
      <c r="D1228" s="9" t="s">
        <v>3356</v>
      </c>
      <c r="E1228" s="7" t="s">
        <v>3324</v>
      </c>
      <c r="F1228" s="7" t="s">
        <v>1200</v>
      </c>
      <c r="G1228" s="7" t="s">
        <v>3357</v>
      </c>
      <c r="H1228" s="7">
        <v>3.5999999999999997E-2</v>
      </c>
      <c r="I1228" s="7">
        <v>68</v>
      </c>
      <c r="J1228" s="7">
        <v>800</v>
      </c>
      <c r="K1228" s="7">
        <v>600</v>
      </c>
      <c r="L1228" s="7">
        <v>150</v>
      </c>
      <c r="M1228" s="7">
        <v>30</v>
      </c>
      <c r="N1228" s="7">
        <v>60</v>
      </c>
      <c r="O1228" s="7">
        <v>30</v>
      </c>
      <c r="P1228" s="7">
        <v>120</v>
      </c>
    </row>
    <row r="1229" spans="1:16" s="10" customFormat="1">
      <c r="A1229" s="7">
        <f>IF(B1229="","",SUBTOTAL(103,$B$2:B1229))</f>
        <v>1228</v>
      </c>
      <c r="B1229" s="8" t="s">
        <v>3321</v>
      </c>
      <c r="C1229" s="7" t="s">
        <v>3358</v>
      </c>
      <c r="D1229" s="9" t="s">
        <v>3359</v>
      </c>
      <c r="E1229" s="7" t="s">
        <v>3324</v>
      </c>
      <c r="F1229" s="7" t="s">
        <v>1204</v>
      </c>
      <c r="G1229" s="7" t="s">
        <v>3360</v>
      </c>
      <c r="H1229" s="7">
        <v>0.28699999999999998</v>
      </c>
      <c r="I1229" s="7">
        <v>24</v>
      </c>
      <c r="J1229" s="7">
        <v>800</v>
      </c>
      <c r="K1229" s="7">
        <v>600</v>
      </c>
      <c r="L1229" s="7">
        <v>150</v>
      </c>
      <c r="M1229" s="7">
        <v>30</v>
      </c>
      <c r="N1229" s="7">
        <v>60</v>
      </c>
      <c r="O1229" s="7">
        <v>75</v>
      </c>
      <c r="P1229" s="7">
        <v>180</v>
      </c>
    </row>
    <row r="1230" spans="1:16" s="10" customFormat="1">
      <c r="A1230" s="7">
        <f>IF(B1230="","",SUBTOTAL(103,$B$2:B1230))</f>
        <v>1229</v>
      </c>
      <c r="B1230" s="8" t="s">
        <v>3321</v>
      </c>
      <c r="C1230" s="7" t="s">
        <v>3358</v>
      </c>
      <c r="D1230" s="9" t="s">
        <v>3361</v>
      </c>
      <c r="E1230" s="7" t="s">
        <v>3324</v>
      </c>
      <c r="F1230" s="7" t="s">
        <v>1207</v>
      </c>
      <c r="G1230" s="7" t="s">
        <v>3362</v>
      </c>
      <c r="H1230" s="7">
        <v>0.28699999999999998</v>
      </c>
      <c r="I1230" s="7">
        <v>24</v>
      </c>
      <c r="J1230" s="7">
        <v>800</v>
      </c>
      <c r="K1230" s="7">
        <v>600</v>
      </c>
      <c r="L1230" s="7">
        <v>150</v>
      </c>
      <c r="M1230" s="7">
        <v>30</v>
      </c>
      <c r="N1230" s="7">
        <v>60</v>
      </c>
      <c r="O1230" s="7">
        <v>75</v>
      </c>
      <c r="P1230" s="7">
        <v>180</v>
      </c>
    </row>
    <row r="1231" spans="1:16" s="10" customFormat="1">
      <c r="A1231" s="7">
        <f>IF(B1231="","",SUBTOTAL(103,$B$2:B1231))</f>
        <v>1230</v>
      </c>
      <c r="B1231" s="8" t="s">
        <v>3321</v>
      </c>
      <c r="C1231" s="7" t="s">
        <v>3363</v>
      </c>
      <c r="D1231" s="9" t="s">
        <v>3364</v>
      </c>
      <c r="E1231" s="7" t="s">
        <v>3324</v>
      </c>
      <c r="F1231" s="7" t="s">
        <v>1211</v>
      </c>
      <c r="G1231" s="7" t="s">
        <v>3365</v>
      </c>
      <c r="H1231" s="7">
        <v>0.36599999999999999</v>
      </c>
      <c r="I1231" s="7">
        <v>18</v>
      </c>
      <c r="J1231" s="7">
        <v>800</v>
      </c>
      <c r="K1231" s="7">
        <v>600</v>
      </c>
      <c r="L1231" s="7">
        <v>150</v>
      </c>
      <c r="M1231" s="7">
        <v>30</v>
      </c>
      <c r="N1231" s="7">
        <v>60</v>
      </c>
      <c r="O1231" s="7">
        <v>100</v>
      </c>
      <c r="P1231" s="7">
        <v>180</v>
      </c>
    </row>
    <row r="1232" spans="1:16" s="10" customFormat="1">
      <c r="A1232" s="7">
        <f>IF(B1232="","",SUBTOTAL(103,$B$2:B1232))</f>
        <v>1231</v>
      </c>
      <c r="B1232" s="8" t="s">
        <v>3321</v>
      </c>
      <c r="C1232" s="7" t="s">
        <v>3363</v>
      </c>
      <c r="D1232" s="9" t="s">
        <v>3366</v>
      </c>
      <c r="E1232" s="7" t="s">
        <v>3324</v>
      </c>
      <c r="F1232" s="7" t="s">
        <v>1214</v>
      </c>
      <c r="G1232" s="7" t="s">
        <v>3367</v>
      </c>
      <c r="H1232" s="7">
        <v>0.36599999999999999</v>
      </c>
      <c r="I1232" s="7">
        <v>18</v>
      </c>
      <c r="J1232" s="7">
        <v>800</v>
      </c>
      <c r="K1232" s="7">
        <v>600</v>
      </c>
      <c r="L1232" s="7">
        <v>150</v>
      </c>
      <c r="M1232" s="7">
        <v>30</v>
      </c>
      <c r="N1232" s="7">
        <v>60</v>
      </c>
      <c r="O1232" s="7">
        <v>100</v>
      </c>
      <c r="P1232" s="7">
        <v>180</v>
      </c>
    </row>
    <row r="1233" spans="1:16" s="10" customFormat="1">
      <c r="A1233" s="7">
        <f>IF(B1233="","",SUBTOTAL(103,$B$2:B1233))</f>
        <v>1232</v>
      </c>
      <c r="B1233" s="8" t="s">
        <v>3321</v>
      </c>
      <c r="C1233" s="7" t="s">
        <v>3368</v>
      </c>
      <c r="D1233" s="9" t="s">
        <v>3369</v>
      </c>
      <c r="E1233" s="7" t="s">
        <v>3324</v>
      </c>
      <c r="F1233" s="7" t="s">
        <v>1218</v>
      </c>
      <c r="G1233" s="7" t="s">
        <v>3370</v>
      </c>
      <c r="H1233" s="7">
        <v>0.30499999999999999</v>
      </c>
      <c r="I1233" s="7">
        <v>24</v>
      </c>
      <c r="J1233" s="7">
        <v>800</v>
      </c>
      <c r="K1233" s="7">
        <v>600</v>
      </c>
      <c r="L1233" s="7">
        <v>150</v>
      </c>
      <c r="M1233" s="7">
        <v>30</v>
      </c>
      <c r="N1233" s="7">
        <v>60</v>
      </c>
      <c r="O1233" s="7">
        <v>75</v>
      </c>
      <c r="P1233" s="7">
        <v>180</v>
      </c>
    </row>
    <row r="1234" spans="1:16" s="10" customFormat="1">
      <c r="A1234" s="7">
        <f>IF(B1234="","",SUBTOTAL(103,$B$2:B1234))</f>
        <v>1233</v>
      </c>
      <c r="B1234" s="8" t="s">
        <v>3321</v>
      </c>
      <c r="C1234" s="7" t="s">
        <v>3368</v>
      </c>
      <c r="D1234" s="9" t="s">
        <v>3371</v>
      </c>
      <c r="E1234" s="7" t="s">
        <v>3324</v>
      </c>
      <c r="F1234" s="7" t="s">
        <v>1221</v>
      </c>
      <c r="G1234" s="7" t="s">
        <v>3372</v>
      </c>
      <c r="H1234" s="7">
        <v>0.30499999999999999</v>
      </c>
      <c r="I1234" s="7">
        <v>24</v>
      </c>
      <c r="J1234" s="7">
        <v>800</v>
      </c>
      <c r="K1234" s="7">
        <v>600</v>
      </c>
      <c r="L1234" s="7">
        <v>150</v>
      </c>
      <c r="M1234" s="7">
        <v>30</v>
      </c>
      <c r="N1234" s="7">
        <v>60</v>
      </c>
      <c r="O1234" s="7">
        <v>75</v>
      </c>
      <c r="P1234" s="7">
        <v>180</v>
      </c>
    </row>
    <row r="1235" spans="1:16" s="10" customFormat="1">
      <c r="A1235" s="7">
        <f>IF(B1235="","",SUBTOTAL(103,$B$2:B1235))</f>
        <v>1234</v>
      </c>
      <c r="B1235" s="8" t="s">
        <v>3321</v>
      </c>
      <c r="C1235" s="7" t="s">
        <v>3373</v>
      </c>
      <c r="D1235" s="9" t="s">
        <v>3374</v>
      </c>
      <c r="E1235" s="7" t="s">
        <v>3324</v>
      </c>
      <c r="F1235" s="7" t="s">
        <v>1225</v>
      </c>
      <c r="G1235" s="7" t="s">
        <v>3375</v>
      </c>
      <c r="H1235" s="7">
        <v>0.27600000000000002</v>
      </c>
      <c r="I1235" s="7">
        <v>24</v>
      </c>
      <c r="J1235" s="7">
        <v>800</v>
      </c>
      <c r="K1235" s="7">
        <v>600</v>
      </c>
      <c r="L1235" s="7">
        <v>150</v>
      </c>
      <c r="M1235" s="7">
        <v>30</v>
      </c>
      <c r="N1235" s="7">
        <v>60</v>
      </c>
      <c r="O1235" s="7">
        <v>75</v>
      </c>
      <c r="P1235" s="7">
        <v>180</v>
      </c>
    </row>
    <row r="1236" spans="1:16" s="10" customFormat="1">
      <c r="A1236" s="7">
        <f>IF(B1236="","",SUBTOTAL(103,$B$2:B1236))</f>
        <v>1235</v>
      </c>
      <c r="B1236" s="8" t="s">
        <v>3321</v>
      </c>
      <c r="C1236" s="7" t="s">
        <v>3373</v>
      </c>
      <c r="D1236" s="9" t="s">
        <v>3376</v>
      </c>
      <c r="E1236" s="7" t="s">
        <v>3324</v>
      </c>
      <c r="F1236" s="7" t="s">
        <v>1228</v>
      </c>
      <c r="G1236" s="7" t="s">
        <v>3377</v>
      </c>
      <c r="H1236" s="7">
        <v>0.27600000000000002</v>
      </c>
      <c r="I1236" s="7">
        <v>24</v>
      </c>
      <c r="J1236" s="7">
        <v>800</v>
      </c>
      <c r="K1236" s="7">
        <v>600</v>
      </c>
      <c r="L1236" s="7">
        <v>150</v>
      </c>
      <c r="M1236" s="7">
        <v>30</v>
      </c>
      <c r="N1236" s="7">
        <v>60</v>
      </c>
      <c r="O1236" s="7">
        <v>75</v>
      </c>
      <c r="P1236" s="7">
        <v>180</v>
      </c>
    </row>
    <row r="1237" spans="1:16" s="10" customFormat="1">
      <c r="A1237" s="7">
        <f>IF(B1237="","",SUBTOTAL(103,$B$2:B1237))</f>
        <v>1236</v>
      </c>
      <c r="B1237" s="8" t="s">
        <v>3321</v>
      </c>
      <c r="C1237" s="7" t="s">
        <v>3378</v>
      </c>
      <c r="D1237" s="9" t="s">
        <v>3379</v>
      </c>
      <c r="E1237" s="7" t="s">
        <v>3324</v>
      </c>
      <c r="F1237" s="7" t="s">
        <v>1232</v>
      </c>
      <c r="G1237" s="7" t="s">
        <v>3380</v>
      </c>
      <c r="H1237" s="7">
        <v>0.253</v>
      </c>
      <c r="I1237" s="7">
        <v>24</v>
      </c>
      <c r="J1237" s="7">
        <v>800</v>
      </c>
      <c r="K1237" s="7">
        <v>600</v>
      </c>
      <c r="L1237" s="7">
        <v>150</v>
      </c>
      <c r="M1237" s="7">
        <v>30</v>
      </c>
      <c r="N1237" s="7">
        <v>60</v>
      </c>
      <c r="O1237" s="7">
        <v>75</v>
      </c>
      <c r="P1237" s="7">
        <v>180</v>
      </c>
    </row>
    <row r="1238" spans="1:16" s="10" customFormat="1">
      <c r="A1238" s="7">
        <f>IF(B1238="","",SUBTOTAL(103,$B$2:B1238))</f>
        <v>1237</v>
      </c>
      <c r="B1238" s="8" t="s">
        <v>3321</v>
      </c>
      <c r="C1238" s="7" t="s">
        <v>3378</v>
      </c>
      <c r="D1238" s="9" t="s">
        <v>3381</v>
      </c>
      <c r="E1238" s="7" t="s">
        <v>3324</v>
      </c>
      <c r="F1238" s="7" t="s">
        <v>1235</v>
      </c>
      <c r="G1238" s="7" t="s">
        <v>3382</v>
      </c>
      <c r="H1238" s="7">
        <v>0.253</v>
      </c>
      <c r="I1238" s="7">
        <v>24</v>
      </c>
      <c r="J1238" s="7">
        <v>800</v>
      </c>
      <c r="K1238" s="7">
        <v>600</v>
      </c>
      <c r="L1238" s="7">
        <v>150</v>
      </c>
      <c r="M1238" s="7">
        <v>30</v>
      </c>
      <c r="N1238" s="7">
        <v>60</v>
      </c>
      <c r="O1238" s="7">
        <v>75</v>
      </c>
      <c r="P1238" s="7">
        <v>180</v>
      </c>
    </row>
    <row r="1239" spans="1:16" s="10" customFormat="1">
      <c r="A1239" s="7">
        <f>IF(B1239="","",SUBTOTAL(103,$B$2:B1239))</f>
        <v>1238</v>
      </c>
      <c r="B1239" s="8" t="s">
        <v>3321</v>
      </c>
      <c r="C1239" s="7" t="s">
        <v>3383</v>
      </c>
      <c r="D1239" s="9" t="s">
        <v>3384</v>
      </c>
      <c r="E1239" s="7" t="s">
        <v>3324</v>
      </c>
      <c r="F1239" s="7" t="s">
        <v>1239</v>
      </c>
      <c r="G1239" s="7" t="s">
        <v>3385</v>
      </c>
      <c r="H1239" s="7">
        <v>0.47199999999999998</v>
      </c>
      <c r="I1239" s="7">
        <v>16</v>
      </c>
      <c r="J1239" s="7">
        <v>800</v>
      </c>
      <c r="K1239" s="7">
        <v>600</v>
      </c>
      <c r="L1239" s="7">
        <v>150</v>
      </c>
      <c r="M1239" s="7">
        <v>30</v>
      </c>
      <c r="N1239" s="7">
        <v>60</v>
      </c>
      <c r="O1239" s="7">
        <v>125</v>
      </c>
      <c r="P1239" s="7">
        <v>230</v>
      </c>
    </row>
    <row r="1240" spans="1:16" s="10" customFormat="1">
      <c r="A1240" s="7">
        <f>IF(B1240="","",SUBTOTAL(103,$B$2:B1240))</f>
        <v>1239</v>
      </c>
      <c r="B1240" s="8" t="s">
        <v>3321</v>
      </c>
      <c r="C1240" s="7" t="s">
        <v>3383</v>
      </c>
      <c r="D1240" s="9" t="s">
        <v>3386</v>
      </c>
      <c r="E1240" s="7" t="s">
        <v>3324</v>
      </c>
      <c r="F1240" s="7" t="s">
        <v>1242</v>
      </c>
      <c r="G1240" s="7" t="s">
        <v>3387</v>
      </c>
      <c r="H1240" s="7">
        <v>0.47199999999999998</v>
      </c>
      <c r="I1240" s="7">
        <v>16</v>
      </c>
      <c r="J1240" s="7">
        <v>800</v>
      </c>
      <c r="K1240" s="7">
        <v>600</v>
      </c>
      <c r="L1240" s="7">
        <v>150</v>
      </c>
      <c r="M1240" s="7">
        <v>30</v>
      </c>
      <c r="N1240" s="7">
        <v>60</v>
      </c>
      <c r="O1240" s="7">
        <v>125</v>
      </c>
      <c r="P1240" s="7">
        <v>230</v>
      </c>
    </row>
    <row r="1241" spans="1:16" s="10" customFormat="1">
      <c r="A1241" s="7">
        <f>IF(B1241="","",SUBTOTAL(103,$B$2:B1241))</f>
        <v>1240</v>
      </c>
      <c r="B1241" s="8" t="s">
        <v>3321</v>
      </c>
      <c r="C1241" s="7" t="s">
        <v>3388</v>
      </c>
      <c r="D1241" s="9" t="s">
        <v>3389</v>
      </c>
      <c r="E1241" s="7" t="s">
        <v>3324</v>
      </c>
      <c r="F1241" s="7" t="s">
        <v>1246</v>
      </c>
      <c r="G1241" s="7" t="s">
        <v>3390</v>
      </c>
      <c r="H1241" s="7">
        <v>0.53100000000000003</v>
      </c>
      <c r="I1241" s="7">
        <v>16</v>
      </c>
      <c r="J1241" s="7">
        <v>800</v>
      </c>
      <c r="K1241" s="7">
        <v>600</v>
      </c>
      <c r="L1241" s="7">
        <v>150</v>
      </c>
      <c r="M1241" s="7">
        <v>30</v>
      </c>
      <c r="N1241" s="7">
        <v>60</v>
      </c>
      <c r="O1241" s="7">
        <v>125</v>
      </c>
      <c r="P1241" s="7">
        <v>230</v>
      </c>
    </row>
    <row r="1242" spans="1:16" s="10" customFormat="1">
      <c r="A1242" s="7">
        <f>IF(B1242="","",SUBTOTAL(103,$B$2:B1242))</f>
        <v>1241</v>
      </c>
      <c r="B1242" s="8" t="s">
        <v>3321</v>
      </c>
      <c r="C1242" s="7" t="s">
        <v>3388</v>
      </c>
      <c r="D1242" s="9" t="s">
        <v>3391</v>
      </c>
      <c r="E1242" s="7" t="s">
        <v>3324</v>
      </c>
      <c r="F1242" s="7" t="s">
        <v>1249</v>
      </c>
      <c r="G1242" s="7" t="s">
        <v>3392</v>
      </c>
      <c r="H1242" s="7">
        <v>0.53100000000000003</v>
      </c>
      <c r="I1242" s="7">
        <v>16</v>
      </c>
      <c r="J1242" s="7">
        <v>800</v>
      </c>
      <c r="K1242" s="7">
        <v>600</v>
      </c>
      <c r="L1242" s="7">
        <v>150</v>
      </c>
      <c r="M1242" s="7">
        <v>30</v>
      </c>
      <c r="N1242" s="7">
        <v>60</v>
      </c>
      <c r="O1242" s="7">
        <v>125</v>
      </c>
      <c r="P1242" s="7">
        <v>230</v>
      </c>
    </row>
    <row r="1243" spans="1:16" s="10" customFormat="1">
      <c r="A1243" s="7">
        <f>IF(B1243="","",SUBTOTAL(103,$B$2:B1243))</f>
        <v>1242</v>
      </c>
      <c r="B1243" s="8" t="s">
        <v>3321</v>
      </c>
      <c r="C1243" s="7" t="s">
        <v>3393</v>
      </c>
      <c r="D1243" s="9" t="s">
        <v>3394</v>
      </c>
      <c r="E1243" s="7" t="s">
        <v>3324</v>
      </c>
      <c r="F1243" s="7" t="s">
        <v>1253</v>
      </c>
      <c r="G1243" s="7" t="s">
        <v>3395</v>
      </c>
      <c r="H1243" s="7">
        <v>0.51500000000000001</v>
      </c>
      <c r="I1243" s="7">
        <v>16</v>
      </c>
      <c r="J1243" s="7">
        <v>800</v>
      </c>
      <c r="K1243" s="7">
        <v>600</v>
      </c>
      <c r="L1243" s="7">
        <v>150</v>
      </c>
      <c r="M1243" s="7">
        <v>30</v>
      </c>
      <c r="N1243" s="7">
        <v>60</v>
      </c>
      <c r="O1243" s="7">
        <v>125</v>
      </c>
      <c r="P1243" s="7">
        <v>230</v>
      </c>
    </row>
    <row r="1244" spans="1:16" s="10" customFormat="1">
      <c r="A1244" s="7">
        <f>IF(B1244="","",SUBTOTAL(103,$B$2:B1244))</f>
        <v>1243</v>
      </c>
      <c r="B1244" s="8" t="s">
        <v>3321</v>
      </c>
      <c r="C1244" s="7" t="s">
        <v>3393</v>
      </c>
      <c r="D1244" s="9" t="s">
        <v>3396</v>
      </c>
      <c r="E1244" s="7" t="s">
        <v>3324</v>
      </c>
      <c r="F1244" s="7" t="s">
        <v>1256</v>
      </c>
      <c r="G1244" s="7" t="s">
        <v>3397</v>
      </c>
      <c r="H1244" s="7">
        <v>0.53100000000000003</v>
      </c>
      <c r="I1244" s="7">
        <v>16</v>
      </c>
      <c r="J1244" s="7">
        <v>800</v>
      </c>
      <c r="K1244" s="7">
        <v>600</v>
      </c>
      <c r="L1244" s="7">
        <v>150</v>
      </c>
      <c r="M1244" s="7">
        <v>30</v>
      </c>
      <c r="N1244" s="7">
        <v>60</v>
      </c>
      <c r="O1244" s="7">
        <v>125</v>
      </c>
      <c r="P1244" s="7">
        <v>230</v>
      </c>
    </row>
    <row r="1245" spans="1:16" s="10" customFormat="1">
      <c r="A1245" s="7">
        <f>IF(B1245="","",SUBTOTAL(103,$B$2:B1245))</f>
        <v>1244</v>
      </c>
      <c r="B1245" s="8" t="s">
        <v>3321</v>
      </c>
      <c r="C1245" s="7" t="s">
        <v>3398</v>
      </c>
      <c r="D1245" s="9" t="s">
        <v>3399</v>
      </c>
      <c r="E1245" s="7" t="s">
        <v>3324</v>
      </c>
      <c r="F1245" s="7" t="s">
        <v>1260</v>
      </c>
      <c r="G1245" s="7" t="s">
        <v>3400</v>
      </c>
      <c r="H1245" s="7">
        <v>0.128</v>
      </c>
      <c r="I1245" s="7">
        <v>36</v>
      </c>
      <c r="J1245" s="7">
        <v>800</v>
      </c>
      <c r="K1245" s="7">
        <v>600</v>
      </c>
      <c r="L1245" s="7">
        <v>150</v>
      </c>
      <c r="M1245" s="7">
        <v>30</v>
      </c>
      <c r="N1245" s="7">
        <v>60</v>
      </c>
      <c r="O1245" s="7">
        <v>55</v>
      </c>
      <c r="P1245" s="7">
        <v>150</v>
      </c>
    </row>
    <row r="1246" spans="1:16" s="10" customFormat="1">
      <c r="A1246" s="7">
        <f>IF(B1246="","",SUBTOTAL(103,$B$2:B1246))</f>
        <v>1245</v>
      </c>
      <c r="B1246" s="8" t="s">
        <v>3321</v>
      </c>
      <c r="C1246" s="7" t="s">
        <v>3398</v>
      </c>
      <c r="D1246" s="9" t="s">
        <v>3401</v>
      </c>
      <c r="E1246" s="7" t="s">
        <v>3324</v>
      </c>
      <c r="F1246" s="7" t="s">
        <v>1263</v>
      </c>
      <c r="G1246" s="7" t="s">
        <v>3402</v>
      </c>
      <c r="H1246" s="7">
        <v>0.128</v>
      </c>
      <c r="I1246" s="7">
        <v>36</v>
      </c>
      <c r="J1246" s="7">
        <v>800</v>
      </c>
      <c r="K1246" s="7">
        <v>600</v>
      </c>
      <c r="L1246" s="7">
        <v>150</v>
      </c>
      <c r="M1246" s="7">
        <v>30</v>
      </c>
      <c r="N1246" s="7">
        <v>60</v>
      </c>
      <c r="O1246" s="7">
        <v>55</v>
      </c>
      <c r="P1246" s="7">
        <v>150</v>
      </c>
    </row>
    <row r="1247" spans="1:16" s="10" customFormat="1">
      <c r="A1247" s="7">
        <f>IF(B1247="","",SUBTOTAL(103,$B$2:B1247))</f>
        <v>1246</v>
      </c>
      <c r="B1247" s="8" t="s">
        <v>3321</v>
      </c>
      <c r="C1247" s="7" t="s">
        <v>3403</v>
      </c>
      <c r="D1247" s="9" t="s">
        <v>3404</v>
      </c>
      <c r="E1247" s="7" t="s">
        <v>3324</v>
      </c>
      <c r="F1247" s="7" t="s">
        <v>1267</v>
      </c>
      <c r="G1247" s="7" t="s">
        <v>3405</v>
      </c>
      <c r="H1247" s="7">
        <v>9.4E-2</v>
      </c>
      <c r="I1247" s="7">
        <v>40</v>
      </c>
      <c r="J1247" s="7">
        <v>800</v>
      </c>
      <c r="K1247" s="7">
        <v>600</v>
      </c>
      <c r="L1247" s="7">
        <v>150</v>
      </c>
      <c r="M1247" s="7">
        <v>30</v>
      </c>
      <c r="N1247" s="7">
        <v>60</v>
      </c>
      <c r="O1247" s="7">
        <v>45</v>
      </c>
      <c r="P1247" s="7">
        <v>150</v>
      </c>
    </row>
    <row r="1248" spans="1:16" s="10" customFormat="1">
      <c r="A1248" s="7">
        <f>IF(B1248="","",SUBTOTAL(103,$B$2:B1248))</f>
        <v>1247</v>
      </c>
      <c r="B1248" s="8" t="s">
        <v>3321</v>
      </c>
      <c r="C1248" s="7" t="s">
        <v>3403</v>
      </c>
      <c r="D1248" s="9" t="s">
        <v>3406</v>
      </c>
      <c r="E1248" s="7" t="s">
        <v>3324</v>
      </c>
      <c r="F1248" s="7" t="s">
        <v>1270</v>
      </c>
      <c r="G1248" s="7" t="s">
        <v>3407</v>
      </c>
      <c r="H1248" s="7">
        <v>9.4E-2</v>
      </c>
      <c r="I1248" s="7">
        <v>40</v>
      </c>
      <c r="J1248" s="7">
        <v>800</v>
      </c>
      <c r="K1248" s="7">
        <v>600</v>
      </c>
      <c r="L1248" s="7">
        <v>150</v>
      </c>
      <c r="M1248" s="7">
        <v>30</v>
      </c>
      <c r="N1248" s="7">
        <v>60</v>
      </c>
      <c r="O1248" s="7">
        <v>45</v>
      </c>
      <c r="P1248" s="7">
        <v>150</v>
      </c>
    </row>
    <row r="1249" spans="1:16" s="10" customFormat="1">
      <c r="A1249" s="7">
        <f>IF(B1249="","",SUBTOTAL(103,$B$2:B1249))</f>
        <v>1248</v>
      </c>
      <c r="B1249" s="8" t="s">
        <v>3321</v>
      </c>
      <c r="C1249" s="7" t="s">
        <v>3408</v>
      </c>
      <c r="D1249" s="9" t="s">
        <v>3409</v>
      </c>
      <c r="E1249" s="7" t="s">
        <v>3324</v>
      </c>
      <c r="F1249" s="7" t="s">
        <v>1274</v>
      </c>
      <c r="G1249" s="7" t="s">
        <v>3410</v>
      </c>
      <c r="H1249" s="7">
        <v>0.09</v>
      </c>
      <c r="I1249" s="7">
        <v>40</v>
      </c>
      <c r="J1249" s="7">
        <v>800</v>
      </c>
      <c r="K1249" s="7">
        <v>600</v>
      </c>
      <c r="L1249" s="7">
        <v>150</v>
      </c>
      <c r="M1249" s="7">
        <v>30</v>
      </c>
      <c r="N1249" s="7">
        <v>60</v>
      </c>
      <c r="O1249" s="7">
        <v>45</v>
      </c>
      <c r="P1249" s="7">
        <v>150</v>
      </c>
    </row>
    <row r="1250" spans="1:16" s="10" customFormat="1">
      <c r="A1250" s="7">
        <f>IF(B1250="","",SUBTOTAL(103,$B$2:B1250))</f>
        <v>1249</v>
      </c>
      <c r="B1250" s="8" t="s">
        <v>3321</v>
      </c>
      <c r="C1250" s="7" t="s">
        <v>3408</v>
      </c>
      <c r="D1250" s="9" t="s">
        <v>3411</v>
      </c>
      <c r="E1250" s="7" t="s">
        <v>3324</v>
      </c>
      <c r="F1250" s="7" t="s">
        <v>1277</v>
      </c>
      <c r="G1250" s="7" t="s">
        <v>3412</v>
      </c>
      <c r="H1250" s="7">
        <v>0.09</v>
      </c>
      <c r="I1250" s="7">
        <v>40</v>
      </c>
      <c r="J1250" s="7">
        <v>800</v>
      </c>
      <c r="K1250" s="7">
        <v>600</v>
      </c>
      <c r="L1250" s="7">
        <v>150</v>
      </c>
      <c r="M1250" s="7">
        <v>30</v>
      </c>
      <c r="N1250" s="7">
        <v>60</v>
      </c>
      <c r="O1250" s="7">
        <v>45</v>
      </c>
      <c r="P1250" s="7">
        <v>150</v>
      </c>
    </row>
    <row r="1251" spans="1:16" s="10" customFormat="1">
      <c r="A1251" s="7">
        <f>IF(B1251="","",SUBTOTAL(103,$B$2:B1251))</f>
        <v>1250</v>
      </c>
      <c r="B1251" s="8" t="s">
        <v>3321</v>
      </c>
      <c r="C1251" s="7" t="s">
        <v>3413</v>
      </c>
      <c r="D1251" s="9" t="s">
        <v>3414</v>
      </c>
      <c r="E1251" s="7" t="s">
        <v>3324</v>
      </c>
      <c r="F1251" s="7" t="s">
        <v>1281</v>
      </c>
      <c r="G1251" s="7" t="s">
        <v>3415</v>
      </c>
      <c r="H1251" s="7">
        <v>5.3999999999999999E-2</v>
      </c>
      <c r="I1251" s="7">
        <v>56</v>
      </c>
      <c r="J1251" s="7">
        <v>800</v>
      </c>
      <c r="K1251" s="7">
        <v>600</v>
      </c>
      <c r="L1251" s="7">
        <v>150</v>
      </c>
      <c r="M1251" s="7">
        <v>30</v>
      </c>
      <c r="N1251" s="7">
        <v>60</v>
      </c>
      <c r="O1251" s="7">
        <v>34</v>
      </c>
      <c r="P1251" s="7">
        <v>120</v>
      </c>
    </row>
    <row r="1252" spans="1:16" s="10" customFormat="1">
      <c r="A1252" s="7">
        <f>IF(B1252="","",SUBTOTAL(103,$B$2:B1252))</f>
        <v>1251</v>
      </c>
      <c r="B1252" s="8" t="s">
        <v>3321</v>
      </c>
      <c r="C1252" s="7" t="s">
        <v>3413</v>
      </c>
      <c r="D1252" s="9" t="s">
        <v>3416</v>
      </c>
      <c r="E1252" s="7" t="s">
        <v>3324</v>
      </c>
      <c r="F1252" s="7" t="s">
        <v>1284</v>
      </c>
      <c r="G1252" s="7" t="s">
        <v>3417</v>
      </c>
      <c r="H1252" s="7">
        <v>5.3999999999999999E-2</v>
      </c>
      <c r="I1252" s="7">
        <v>56</v>
      </c>
      <c r="J1252" s="7">
        <v>800</v>
      </c>
      <c r="K1252" s="7">
        <v>600</v>
      </c>
      <c r="L1252" s="7">
        <v>150</v>
      </c>
      <c r="M1252" s="7">
        <v>30</v>
      </c>
      <c r="N1252" s="7">
        <v>60</v>
      </c>
      <c r="O1252" s="7">
        <v>34</v>
      </c>
      <c r="P1252" s="7">
        <v>120</v>
      </c>
    </row>
    <row r="1253" spans="1:16" s="10" customFormat="1">
      <c r="A1253" s="7">
        <f>IF(B1253="","",SUBTOTAL(103,$B$2:B1253))</f>
        <v>1252</v>
      </c>
      <c r="B1253" s="8" t="s">
        <v>3321</v>
      </c>
      <c r="C1253" s="7" t="s">
        <v>3418</v>
      </c>
      <c r="D1253" s="9" t="s">
        <v>3419</v>
      </c>
      <c r="E1253" s="7" t="s">
        <v>3324</v>
      </c>
      <c r="F1253" s="7" t="s">
        <v>1288</v>
      </c>
      <c r="G1253" s="7" t="s">
        <v>3420</v>
      </c>
      <c r="H1253" s="7">
        <v>4.8000000000000001E-2</v>
      </c>
      <c r="I1253" s="7">
        <v>56</v>
      </c>
      <c r="J1253" s="7">
        <v>800</v>
      </c>
      <c r="K1253" s="7">
        <v>600</v>
      </c>
      <c r="L1253" s="7">
        <v>150</v>
      </c>
      <c r="M1253" s="7">
        <v>30</v>
      </c>
      <c r="N1253" s="7">
        <v>60</v>
      </c>
      <c r="O1253" s="7">
        <v>34</v>
      </c>
      <c r="P1253" s="7">
        <v>120</v>
      </c>
    </row>
    <row r="1254" spans="1:16" s="10" customFormat="1">
      <c r="A1254" s="7">
        <f>IF(B1254="","",SUBTOTAL(103,$B$2:B1254))</f>
        <v>1253</v>
      </c>
      <c r="B1254" s="8" t="s">
        <v>3321</v>
      </c>
      <c r="C1254" s="7" t="s">
        <v>3418</v>
      </c>
      <c r="D1254" s="9" t="s">
        <v>3421</v>
      </c>
      <c r="E1254" s="7" t="s">
        <v>3324</v>
      </c>
      <c r="F1254" s="7" t="s">
        <v>3422</v>
      </c>
      <c r="G1254" s="7" t="s">
        <v>3423</v>
      </c>
      <c r="H1254" s="7">
        <v>4.8000000000000001E-2</v>
      </c>
      <c r="I1254" s="7">
        <v>56</v>
      </c>
      <c r="J1254" s="7">
        <v>800</v>
      </c>
      <c r="K1254" s="7">
        <v>600</v>
      </c>
      <c r="L1254" s="7">
        <v>150</v>
      </c>
      <c r="M1254" s="7">
        <v>30</v>
      </c>
      <c r="N1254" s="7">
        <v>60</v>
      </c>
      <c r="O1254" s="7">
        <v>34</v>
      </c>
      <c r="P1254" s="7">
        <v>120</v>
      </c>
    </row>
    <row r="1255" spans="1:16" s="10" customFormat="1">
      <c r="A1255" s="7">
        <f>IF(B1255="","",SUBTOTAL(103,$B$2:B1255))</f>
        <v>1254</v>
      </c>
      <c r="B1255" s="8" t="s">
        <v>3424</v>
      </c>
      <c r="C1255" s="7" t="s">
        <v>3425</v>
      </c>
      <c r="D1255" s="9" t="s">
        <v>3426</v>
      </c>
      <c r="E1255" s="7" t="s">
        <v>3427</v>
      </c>
      <c r="F1255" s="7" t="s">
        <v>1066</v>
      </c>
      <c r="G1255" s="7" t="s">
        <v>3428</v>
      </c>
      <c r="H1255" s="7">
        <v>0.14699999999999999</v>
      </c>
      <c r="I1255" s="7">
        <v>28</v>
      </c>
      <c r="J1255" s="7">
        <v>800</v>
      </c>
      <c r="K1255" s="7">
        <v>600</v>
      </c>
      <c r="L1255" s="7">
        <v>150</v>
      </c>
      <c r="M1255" s="7">
        <v>30</v>
      </c>
      <c r="N1255" s="7">
        <v>60</v>
      </c>
      <c r="O1255" s="7">
        <v>70</v>
      </c>
      <c r="P1255" s="7">
        <v>0</v>
      </c>
    </row>
    <row r="1256" spans="1:16" s="10" customFormat="1">
      <c r="A1256" s="7">
        <f>IF(B1256="","",SUBTOTAL(103,$B$2:B1256))</f>
        <v>1255</v>
      </c>
      <c r="B1256" s="8" t="s">
        <v>3424</v>
      </c>
      <c r="C1256" s="7" t="s">
        <v>3425</v>
      </c>
      <c r="D1256" s="9" t="s">
        <v>3429</v>
      </c>
      <c r="E1256" s="7" t="s">
        <v>3427</v>
      </c>
      <c r="F1256" s="7" t="s">
        <v>1069</v>
      </c>
      <c r="G1256" s="7" t="s">
        <v>3430</v>
      </c>
      <c r="H1256" s="7">
        <v>0.14699999999999999</v>
      </c>
      <c r="I1256" s="7">
        <v>28</v>
      </c>
      <c r="J1256" s="7">
        <v>800</v>
      </c>
      <c r="K1256" s="7">
        <v>600</v>
      </c>
      <c r="L1256" s="7">
        <v>150</v>
      </c>
      <c r="M1256" s="7">
        <v>30</v>
      </c>
      <c r="N1256" s="7">
        <v>60</v>
      </c>
      <c r="O1256" s="7">
        <v>70</v>
      </c>
      <c r="P1256" s="7">
        <v>0</v>
      </c>
    </row>
    <row r="1257" spans="1:16" s="10" customFormat="1">
      <c r="A1257" s="7">
        <f>IF(B1257="","",SUBTOTAL(103,$B$2:B1257))</f>
        <v>1256</v>
      </c>
      <c r="B1257" s="8" t="s">
        <v>3424</v>
      </c>
      <c r="C1257" s="7" t="s">
        <v>3431</v>
      </c>
      <c r="D1257" s="9" t="s">
        <v>3432</v>
      </c>
      <c r="E1257" s="7" t="s">
        <v>3427</v>
      </c>
      <c r="F1257" s="7" t="s">
        <v>1073</v>
      </c>
      <c r="G1257" s="7" t="s">
        <v>3433</v>
      </c>
      <c r="H1257" s="7">
        <v>7.8E-2</v>
      </c>
      <c r="I1257" s="7">
        <v>48</v>
      </c>
      <c r="J1257" s="7">
        <v>800</v>
      </c>
      <c r="K1257" s="7">
        <v>600</v>
      </c>
      <c r="L1257" s="7">
        <v>150</v>
      </c>
      <c r="M1257" s="7">
        <v>30</v>
      </c>
      <c r="N1257" s="7">
        <v>60</v>
      </c>
      <c r="O1257" s="7">
        <v>41</v>
      </c>
      <c r="P1257" s="7">
        <v>0</v>
      </c>
    </row>
    <row r="1258" spans="1:16" s="10" customFormat="1">
      <c r="A1258" s="7">
        <f>IF(B1258="","",SUBTOTAL(103,$B$2:B1258))</f>
        <v>1257</v>
      </c>
      <c r="B1258" s="8" t="s">
        <v>3424</v>
      </c>
      <c r="C1258" s="7" t="s">
        <v>3434</v>
      </c>
      <c r="D1258" s="9" t="s">
        <v>3435</v>
      </c>
      <c r="E1258" s="7" t="s">
        <v>3427</v>
      </c>
      <c r="F1258" s="7" t="s">
        <v>998</v>
      </c>
      <c r="G1258" s="7" t="s">
        <v>3436</v>
      </c>
      <c r="H1258" s="7">
        <v>3.2000000000000001E-2</v>
      </c>
      <c r="I1258" s="7">
        <v>56</v>
      </c>
      <c r="J1258" s="7">
        <v>800</v>
      </c>
      <c r="K1258" s="7">
        <v>600</v>
      </c>
      <c r="L1258" s="7">
        <v>150</v>
      </c>
      <c r="M1258" s="7">
        <v>30</v>
      </c>
      <c r="N1258" s="7">
        <v>60</v>
      </c>
      <c r="O1258" s="7">
        <v>34</v>
      </c>
      <c r="P1258" s="7">
        <v>120</v>
      </c>
    </row>
    <row r="1259" spans="1:16" s="10" customFormat="1">
      <c r="A1259" s="7">
        <f>IF(B1259="","",SUBTOTAL(103,$B$2:B1259))</f>
        <v>1258</v>
      </c>
      <c r="B1259" s="8" t="s">
        <v>3424</v>
      </c>
      <c r="C1259" s="7" t="s">
        <v>3437</v>
      </c>
      <c r="D1259" s="9" t="s">
        <v>3438</v>
      </c>
      <c r="E1259" s="7" t="s">
        <v>3427</v>
      </c>
      <c r="F1259" s="7" t="s">
        <v>1092</v>
      </c>
      <c r="G1259" s="7" t="s">
        <v>3439</v>
      </c>
      <c r="H1259" s="7">
        <v>0.378</v>
      </c>
      <c r="I1259" s="7">
        <v>24</v>
      </c>
      <c r="J1259" s="7">
        <v>800</v>
      </c>
      <c r="K1259" s="7">
        <v>600</v>
      </c>
      <c r="L1259" s="7">
        <v>150</v>
      </c>
      <c r="M1259" s="7">
        <v>30</v>
      </c>
      <c r="N1259" s="7">
        <v>60</v>
      </c>
      <c r="O1259" s="7">
        <v>75</v>
      </c>
      <c r="P1259" s="7">
        <v>0</v>
      </c>
    </row>
    <row r="1260" spans="1:16" s="10" customFormat="1">
      <c r="A1260" s="7">
        <f>IF(B1260="","",SUBTOTAL(103,$B$2:B1260))</f>
        <v>1259</v>
      </c>
      <c r="B1260" s="8" t="s">
        <v>3424</v>
      </c>
      <c r="C1260" s="7" t="s">
        <v>3440</v>
      </c>
      <c r="D1260" s="9" t="s">
        <v>3441</v>
      </c>
      <c r="E1260" s="7" t="s">
        <v>3427</v>
      </c>
      <c r="F1260" s="7" t="s">
        <v>1099</v>
      </c>
      <c r="G1260" s="7" t="s">
        <v>3442</v>
      </c>
      <c r="H1260" s="7">
        <v>0.27</v>
      </c>
      <c r="I1260" s="7">
        <v>24</v>
      </c>
      <c r="J1260" s="7">
        <v>800</v>
      </c>
      <c r="K1260" s="7">
        <v>600</v>
      </c>
      <c r="L1260" s="7">
        <v>150</v>
      </c>
      <c r="M1260" s="7">
        <v>30</v>
      </c>
      <c r="N1260" s="7">
        <v>60</v>
      </c>
      <c r="O1260" s="7">
        <v>75</v>
      </c>
      <c r="P1260" s="7">
        <v>0</v>
      </c>
    </row>
    <row r="1261" spans="1:16" s="10" customFormat="1">
      <c r="A1261" s="7">
        <f>IF(B1261="","",SUBTOTAL(103,$B$2:B1261))</f>
        <v>1260</v>
      </c>
      <c r="B1261" s="8" t="s">
        <v>3424</v>
      </c>
      <c r="C1261" s="7" t="s">
        <v>3440</v>
      </c>
      <c r="D1261" s="9" t="s">
        <v>3443</v>
      </c>
      <c r="E1261" s="7" t="s">
        <v>3427</v>
      </c>
      <c r="F1261" s="7" t="s">
        <v>1102</v>
      </c>
      <c r="G1261" s="7" t="s">
        <v>3444</v>
      </c>
      <c r="H1261" s="7">
        <v>0.27</v>
      </c>
      <c r="I1261" s="7">
        <v>24</v>
      </c>
      <c r="J1261" s="7">
        <v>800</v>
      </c>
      <c r="K1261" s="7">
        <v>600</v>
      </c>
      <c r="L1261" s="7">
        <v>150</v>
      </c>
      <c r="M1261" s="7">
        <v>30</v>
      </c>
      <c r="N1261" s="7">
        <v>60</v>
      </c>
      <c r="O1261" s="7">
        <v>75</v>
      </c>
      <c r="P1261" s="7">
        <v>0</v>
      </c>
    </row>
    <row r="1262" spans="1:16" s="10" customFormat="1">
      <c r="A1262" s="7">
        <f>IF(B1262="","",SUBTOTAL(103,$B$2:B1262))</f>
        <v>1261</v>
      </c>
      <c r="B1262" s="8" t="s">
        <v>3424</v>
      </c>
      <c r="C1262" s="7" t="s">
        <v>3445</v>
      </c>
      <c r="D1262" s="9" t="s">
        <v>3446</v>
      </c>
      <c r="E1262" s="7" t="s">
        <v>3427</v>
      </c>
      <c r="F1262" s="7" t="s">
        <v>1106</v>
      </c>
      <c r="G1262" s="7" t="s">
        <v>3447</v>
      </c>
      <c r="H1262" s="7">
        <v>0.52800000000000002</v>
      </c>
      <c r="I1262" s="7">
        <v>8</v>
      </c>
      <c r="J1262" s="7">
        <v>800</v>
      </c>
      <c r="K1262" s="7">
        <v>600</v>
      </c>
      <c r="L1262" s="7">
        <v>150</v>
      </c>
      <c r="M1262" s="7">
        <v>30</v>
      </c>
      <c r="N1262" s="7">
        <v>60</v>
      </c>
      <c r="O1262" s="7">
        <v>225</v>
      </c>
      <c r="P1262" s="7">
        <v>250</v>
      </c>
    </row>
    <row r="1263" spans="1:16" s="10" customFormat="1">
      <c r="A1263" s="7">
        <f>IF(B1263="","",SUBTOTAL(103,$B$2:B1263))</f>
        <v>1262</v>
      </c>
      <c r="B1263" s="8" t="s">
        <v>3424</v>
      </c>
      <c r="C1263" s="7" t="s">
        <v>3445</v>
      </c>
      <c r="D1263" s="9" t="s">
        <v>3448</v>
      </c>
      <c r="E1263" s="7" t="s">
        <v>3427</v>
      </c>
      <c r="F1263" s="7" t="s">
        <v>1109</v>
      </c>
      <c r="G1263" s="7" t="s">
        <v>3449</v>
      </c>
      <c r="H1263" s="7">
        <v>0.53</v>
      </c>
      <c r="I1263" s="7">
        <v>8</v>
      </c>
      <c r="J1263" s="7">
        <v>800</v>
      </c>
      <c r="K1263" s="7">
        <v>600</v>
      </c>
      <c r="L1263" s="7">
        <v>150</v>
      </c>
      <c r="M1263" s="7">
        <v>30</v>
      </c>
      <c r="N1263" s="7">
        <v>60</v>
      </c>
      <c r="O1263" s="7">
        <v>225</v>
      </c>
      <c r="P1263" s="7">
        <v>250</v>
      </c>
    </row>
    <row r="1264" spans="1:16" s="10" customFormat="1">
      <c r="A1264" s="7">
        <f>IF(B1264="","",SUBTOTAL(103,$B$2:B1264))</f>
        <v>1263</v>
      </c>
      <c r="B1264" s="8" t="s">
        <v>3424</v>
      </c>
      <c r="C1264" s="7" t="s">
        <v>3450</v>
      </c>
      <c r="D1264" s="9" t="s">
        <v>3451</v>
      </c>
      <c r="E1264" s="7" t="s">
        <v>3427</v>
      </c>
      <c r="F1264" s="7" t="s">
        <v>1113</v>
      </c>
      <c r="G1264" s="7" t="s">
        <v>3452</v>
      </c>
      <c r="H1264" s="7">
        <v>0.91</v>
      </c>
      <c r="I1264" s="7">
        <v>4</v>
      </c>
      <c r="J1264" s="7">
        <v>800</v>
      </c>
      <c r="K1264" s="7">
        <v>600</v>
      </c>
      <c r="L1264" s="7">
        <v>150</v>
      </c>
      <c r="M1264" s="7">
        <v>30</v>
      </c>
      <c r="N1264" s="7">
        <v>60</v>
      </c>
      <c r="O1264" s="7">
        <v>500</v>
      </c>
      <c r="P1264" s="7">
        <v>600</v>
      </c>
    </row>
    <row r="1265" spans="1:16" s="10" customFormat="1">
      <c r="A1265" s="7">
        <f>IF(B1265="","",SUBTOTAL(103,$B$2:B1265))</f>
        <v>1264</v>
      </c>
      <c r="B1265" s="8" t="s">
        <v>3424</v>
      </c>
      <c r="C1265" s="7" t="s">
        <v>3453</v>
      </c>
      <c r="D1265" s="9" t="s">
        <v>3454</v>
      </c>
      <c r="E1265" s="7" t="s">
        <v>3427</v>
      </c>
      <c r="F1265" s="7" t="s">
        <v>1127</v>
      </c>
      <c r="G1265" s="7" t="s">
        <v>3455</v>
      </c>
      <c r="H1265" s="7">
        <v>0.11</v>
      </c>
      <c r="I1265" s="7">
        <v>3</v>
      </c>
      <c r="J1265" s="7">
        <v>800</v>
      </c>
      <c r="K1265" s="7">
        <v>600</v>
      </c>
      <c r="L1265" s="7">
        <v>150</v>
      </c>
      <c r="M1265" s="7">
        <v>30</v>
      </c>
      <c r="N1265" s="7">
        <v>60</v>
      </c>
      <c r="O1265" s="7">
        <v>650</v>
      </c>
      <c r="P1265" s="7">
        <v>675</v>
      </c>
    </row>
    <row r="1266" spans="1:16" s="10" customFormat="1">
      <c r="A1266" s="7">
        <f>IF(B1266="","",SUBTOTAL(103,$B$2:B1266))</f>
        <v>1265</v>
      </c>
      <c r="B1266" s="8" t="s">
        <v>3424</v>
      </c>
      <c r="C1266" s="7" t="s">
        <v>3437</v>
      </c>
      <c r="D1266" s="9" t="s">
        <v>3456</v>
      </c>
      <c r="E1266" s="7" t="s">
        <v>3457</v>
      </c>
      <c r="F1266" s="7" t="s">
        <v>1095</v>
      </c>
      <c r="G1266" s="7" t="s">
        <v>3458</v>
      </c>
      <c r="H1266" s="7">
        <v>0.378</v>
      </c>
      <c r="I1266" s="7">
        <v>24</v>
      </c>
      <c r="J1266" s="7">
        <v>800</v>
      </c>
      <c r="K1266" s="7">
        <v>600</v>
      </c>
      <c r="L1266" s="7">
        <v>150</v>
      </c>
      <c r="M1266" s="7">
        <v>30</v>
      </c>
      <c r="N1266" s="7">
        <v>60</v>
      </c>
      <c r="O1266" s="7">
        <v>75</v>
      </c>
      <c r="P1266" s="7">
        <v>0</v>
      </c>
    </row>
    <row r="1267" spans="1:16" s="10" customFormat="1">
      <c r="A1267" s="7">
        <f>IF(B1267="","",SUBTOTAL(103,$B$2:B1267))</f>
        <v>1266</v>
      </c>
      <c r="B1267" s="8" t="s">
        <v>3424</v>
      </c>
      <c r="C1267" s="7" t="s">
        <v>3440</v>
      </c>
      <c r="D1267" s="9" t="s">
        <v>3459</v>
      </c>
      <c r="E1267" s="7" t="s">
        <v>3457</v>
      </c>
      <c r="F1267" s="7" t="s">
        <v>1102</v>
      </c>
      <c r="G1267" s="7" t="s">
        <v>3460</v>
      </c>
      <c r="H1267" s="7">
        <v>0.27300000000000002</v>
      </c>
      <c r="I1267" s="7">
        <v>24</v>
      </c>
      <c r="J1267" s="7">
        <v>800</v>
      </c>
      <c r="K1267" s="7">
        <v>600</v>
      </c>
      <c r="L1267" s="7">
        <v>150</v>
      </c>
      <c r="M1267" s="7">
        <v>30</v>
      </c>
      <c r="N1267" s="7">
        <v>60</v>
      </c>
      <c r="O1267" s="7">
        <v>75</v>
      </c>
      <c r="P1267" s="7">
        <v>0</v>
      </c>
    </row>
    <row r="1268" spans="1:16" s="10" customFormat="1">
      <c r="A1268" s="7">
        <f>IF(B1268="","",SUBTOTAL(103,$B$2:B1268))</f>
        <v>1267</v>
      </c>
      <c r="B1268" s="8" t="s">
        <v>3424</v>
      </c>
      <c r="C1268" s="7" t="s">
        <v>3445</v>
      </c>
      <c r="D1268" s="9" t="s">
        <v>3461</v>
      </c>
      <c r="E1268" s="7" t="s">
        <v>3457</v>
      </c>
      <c r="F1268" s="7" t="s">
        <v>1109</v>
      </c>
      <c r="G1268" s="7" t="s">
        <v>3462</v>
      </c>
      <c r="H1268" s="7">
        <v>0.52800000000000002</v>
      </c>
      <c r="I1268" s="7">
        <v>8</v>
      </c>
      <c r="J1268" s="7">
        <v>800</v>
      </c>
      <c r="K1268" s="7">
        <v>600</v>
      </c>
      <c r="L1268" s="7">
        <v>150</v>
      </c>
      <c r="M1268" s="7">
        <v>30</v>
      </c>
      <c r="N1268" s="7">
        <v>60</v>
      </c>
      <c r="O1268" s="7">
        <v>225</v>
      </c>
      <c r="P1268" s="7">
        <v>250</v>
      </c>
    </row>
    <row r="1269" spans="1:16" s="10" customFormat="1">
      <c r="A1269" s="7">
        <f>IF(B1269="","",SUBTOTAL(103,$B$2:B1269))</f>
        <v>1268</v>
      </c>
      <c r="B1269" s="8" t="s">
        <v>3424</v>
      </c>
      <c r="C1269" s="7" t="s">
        <v>3434</v>
      </c>
      <c r="D1269" s="9" t="s">
        <v>3463</v>
      </c>
      <c r="E1269" s="7" t="s">
        <v>3464</v>
      </c>
      <c r="F1269" s="7" t="s">
        <v>1081</v>
      </c>
      <c r="G1269" s="7" t="s">
        <v>3465</v>
      </c>
      <c r="H1269" s="7">
        <v>0.03</v>
      </c>
      <c r="I1269" s="7">
        <v>56</v>
      </c>
      <c r="J1269" s="7">
        <v>800</v>
      </c>
      <c r="K1269" s="7">
        <v>600</v>
      </c>
      <c r="L1269" s="7">
        <v>150</v>
      </c>
      <c r="M1269" s="7">
        <v>30</v>
      </c>
      <c r="N1269" s="7">
        <v>60</v>
      </c>
      <c r="O1269" s="7">
        <v>34</v>
      </c>
      <c r="P1269" s="7">
        <v>120</v>
      </c>
    </row>
    <row r="1270" spans="1:16" s="10" customFormat="1">
      <c r="A1270" s="7">
        <f>IF(B1270="","",SUBTOTAL(103,$B$2:B1270))</f>
        <v>1269</v>
      </c>
      <c r="B1270" s="8" t="s">
        <v>3424</v>
      </c>
      <c r="C1270" s="7" t="s">
        <v>3450</v>
      </c>
      <c r="D1270" s="9" t="s">
        <v>3466</v>
      </c>
      <c r="E1270" s="7" t="s">
        <v>3467</v>
      </c>
      <c r="F1270" s="7" t="s">
        <v>1116</v>
      </c>
      <c r="G1270" s="7" t="s">
        <v>3468</v>
      </c>
      <c r="H1270" s="7">
        <v>0.91</v>
      </c>
      <c r="I1270" s="7">
        <v>4</v>
      </c>
      <c r="J1270" s="7">
        <v>800</v>
      </c>
      <c r="K1270" s="7">
        <v>600</v>
      </c>
      <c r="L1270" s="7">
        <v>150</v>
      </c>
      <c r="M1270" s="7">
        <v>30</v>
      </c>
      <c r="N1270" s="7">
        <v>60</v>
      </c>
      <c r="O1270" s="7">
        <v>500</v>
      </c>
      <c r="P1270" s="7">
        <v>600</v>
      </c>
    </row>
    <row r="1271" spans="1:16" s="10" customFormat="1">
      <c r="A1271" s="7">
        <f>IF(B1271="","",SUBTOTAL(103,$B$2:B1271))</f>
        <v>1270</v>
      </c>
      <c r="B1271" s="8" t="s">
        <v>3424</v>
      </c>
      <c r="C1271" s="7" t="s">
        <v>3469</v>
      </c>
      <c r="D1271" s="9" t="s">
        <v>3470</v>
      </c>
      <c r="E1271" s="7" t="s">
        <v>3467</v>
      </c>
      <c r="F1271" s="7" t="s">
        <v>3471</v>
      </c>
      <c r="G1271" s="7" t="s">
        <v>3472</v>
      </c>
      <c r="H1271" s="7">
        <v>1.32</v>
      </c>
      <c r="I1271" s="7">
        <v>3</v>
      </c>
      <c r="J1271" s="7">
        <v>800</v>
      </c>
      <c r="K1271" s="7">
        <v>600</v>
      </c>
      <c r="L1271" s="7">
        <v>150</v>
      </c>
      <c r="M1271" s="7">
        <v>30</v>
      </c>
      <c r="N1271" s="7">
        <v>60</v>
      </c>
      <c r="O1271" s="7">
        <v>650</v>
      </c>
      <c r="P1271" s="7">
        <v>675</v>
      </c>
    </row>
    <row r="1272" spans="1:16" s="10" customFormat="1">
      <c r="A1272" s="7">
        <f>IF(B1272="","",SUBTOTAL(103,$B$2:B1272))</f>
        <v>1271</v>
      </c>
      <c r="B1272" s="8" t="s">
        <v>3473</v>
      </c>
      <c r="C1272" s="7" t="s">
        <v>3474</v>
      </c>
      <c r="D1272" s="9" t="s">
        <v>3475</v>
      </c>
      <c r="E1272" s="7" t="s">
        <v>3476</v>
      </c>
      <c r="F1272" s="7" t="s">
        <v>2573</v>
      </c>
      <c r="G1272" s="7" t="s">
        <v>3477</v>
      </c>
      <c r="H1272" s="7">
        <v>4.2999999999999997E-2</v>
      </c>
      <c r="I1272" s="7">
        <v>60</v>
      </c>
      <c r="J1272" s="7">
        <v>800</v>
      </c>
      <c r="K1272" s="7">
        <v>600</v>
      </c>
      <c r="L1272" s="7">
        <v>150</v>
      </c>
      <c r="M1272" s="7">
        <v>30</v>
      </c>
      <c r="N1272" s="7">
        <v>60</v>
      </c>
      <c r="O1272" s="7">
        <v>40</v>
      </c>
      <c r="P1272" s="7">
        <v>130</v>
      </c>
    </row>
    <row r="1273" spans="1:16" s="10" customFormat="1">
      <c r="A1273" s="7">
        <f>IF(B1273="","",SUBTOTAL(103,$B$2:B1273))</f>
        <v>1272</v>
      </c>
      <c r="B1273" s="8" t="s">
        <v>3478</v>
      </c>
      <c r="C1273" s="7" t="s">
        <v>3479</v>
      </c>
      <c r="D1273" s="9" t="s">
        <v>3480</v>
      </c>
      <c r="E1273" s="7" t="s">
        <v>3481</v>
      </c>
      <c r="F1273" s="7" t="s">
        <v>1303</v>
      </c>
      <c r="G1273" s="7" t="s">
        <v>3482</v>
      </c>
      <c r="H1273" s="7">
        <v>0.125</v>
      </c>
      <c r="I1273" s="7">
        <v>32</v>
      </c>
      <c r="J1273" s="7">
        <v>800</v>
      </c>
      <c r="K1273" s="7">
        <v>600</v>
      </c>
      <c r="L1273" s="7">
        <v>150</v>
      </c>
      <c r="M1273" s="7">
        <v>30</v>
      </c>
      <c r="N1273" s="7">
        <v>60</v>
      </c>
      <c r="O1273" s="7">
        <v>54</v>
      </c>
      <c r="P1273" s="7">
        <v>165</v>
      </c>
    </row>
    <row r="1274" spans="1:16" s="10" customFormat="1">
      <c r="A1274" s="7">
        <f>IF(B1274="","",SUBTOTAL(103,$B$2:B1274))</f>
        <v>1273</v>
      </c>
      <c r="B1274" s="8" t="s">
        <v>3478</v>
      </c>
      <c r="C1274" s="7" t="s">
        <v>3483</v>
      </c>
      <c r="D1274" s="9" t="s">
        <v>3484</v>
      </c>
      <c r="E1274" s="7" t="s">
        <v>3481</v>
      </c>
      <c r="F1274" s="7" t="s">
        <v>1306</v>
      </c>
      <c r="G1274" s="7" t="s">
        <v>3485</v>
      </c>
      <c r="H1274" s="7">
        <v>4.4999999999999998E-2</v>
      </c>
      <c r="I1274" s="7">
        <v>68</v>
      </c>
      <c r="J1274" s="7">
        <v>800</v>
      </c>
      <c r="K1274" s="7">
        <v>600</v>
      </c>
      <c r="L1274" s="7">
        <v>150</v>
      </c>
      <c r="M1274" s="7">
        <v>30</v>
      </c>
      <c r="N1274" s="7">
        <v>60</v>
      </c>
      <c r="O1274" s="7">
        <v>30</v>
      </c>
      <c r="P1274" s="7">
        <v>145</v>
      </c>
    </row>
    <row r="1275" spans="1:16" s="10" customFormat="1">
      <c r="A1275" s="7">
        <f>IF(B1275="","",SUBTOTAL(103,$B$2:B1275))</f>
        <v>1274</v>
      </c>
      <c r="B1275" s="8" t="s">
        <v>3478</v>
      </c>
      <c r="C1275" s="7" t="s">
        <v>3483</v>
      </c>
      <c r="D1275" s="9" t="s">
        <v>3486</v>
      </c>
      <c r="E1275" s="7" t="s">
        <v>3481</v>
      </c>
      <c r="F1275" s="7" t="s">
        <v>1309</v>
      </c>
      <c r="G1275" s="7" t="s">
        <v>3487</v>
      </c>
      <c r="H1275" s="7">
        <v>4.4999999999999998E-2</v>
      </c>
      <c r="I1275" s="7">
        <v>68</v>
      </c>
      <c r="J1275" s="7">
        <v>800</v>
      </c>
      <c r="K1275" s="7">
        <v>600</v>
      </c>
      <c r="L1275" s="7">
        <v>150</v>
      </c>
      <c r="M1275" s="7">
        <v>30</v>
      </c>
      <c r="N1275" s="7">
        <v>60</v>
      </c>
      <c r="O1275" s="7">
        <v>30</v>
      </c>
      <c r="P1275" s="7">
        <v>145</v>
      </c>
    </row>
    <row r="1276" spans="1:16" s="10" customFormat="1">
      <c r="A1276" s="7">
        <f>IF(B1276="","",SUBTOTAL(103,$B$2:B1276))</f>
        <v>1275</v>
      </c>
      <c r="B1276" s="8" t="s">
        <v>3478</v>
      </c>
      <c r="C1276" s="7" t="s">
        <v>3488</v>
      </c>
      <c r="D1276" s="9" t="s">
        <v>3489</v>
      </c>
      <c r="E1276" s="7" t="s">
        <v>3481</v>
      </c>
      <c r="F1276" s="7" t="s">
        <v>1312</v>
      </c>
      <c r="G1276" s="7" t="s">
        <v>3490</v>
      </c>
      <c r="H1276" s="7">
        <v>0.02</v>
      </c>
      <c r="I1276" s="7">
        <v>124</v>
      </c>
      <c r="J1276" s="7">
        <v>800</v>
      </c>
      <c r="K1276" s="7">
        <v>600</v>
      </c>
      <c r="L1276" s="7">
        <v>150</v>
      </c>
      <c r="M1276" s="7">
        <v>30</v>
      </c>
      <c r="N1276" s="7">
        <v>60</v>
      </c>
      <c r="O1276" s="7">
        <v>25</v>
      </c>
      <c r="P1276" s="7">
        <v>125</v>
      </c>
    </row>
    <row r="1277" spans="1:16" s="10" customFormat="1">
      <c r="A1277" s="7">
        <f>IF(B1277="","",SUBTOTAL(103,$B$2:B1277))</f>
        <v>1276</v>
      </c>
      <c r="B1277" s="8" t="s">
        <v>3478</v>
      </c>
      <c r="C1277" s="7" t="s">
        <v>3488</v>
      </c>
      <c r="D1277" s="9" t="s">
        <v>3491</v>
      </c>
      <c r="E1277" s="7" t="s">
        <v>3481</v>
      </c>
      <c r="F1277" s="7" t="s">
        <v>1315</v>
      </c>
      <c r="G1277" s="7" t="s">
        <v>3492</v>
      </c>
      <c r="H1277" s="7">
        <v>0.02</v>
      </c>
      <c r="I1277" s="7">
        <v>124</v>
      </c>
      <c r="J1277" s="7">
        <v>800</v>
      </c>
      <c r="K1277" s="7">
        <v>600</v>
      </c>
      <c r="L1277" s="7">
        <v>150</v>
      </c>
      <c r="M1277" s="7">
        <v>30</v>
      </c>
      <c r="N1277" s="7">
        <v>60</v>
      </c>
      <c r="O1277" s="7">
        <v>25</v>
      </c>
      <c r="P1277" s="7">
        <v>125</v>
      </c>
    </row>
    <row r="1278" spans="1:16" s="10" customFormat="1">
      <c r="A1278" s="7">
        <f>IF(B1278="","",SUBTOTAL(103,$B$2:B1278))</f>
        <v>1277</v>
      </c>
      <c r="B1278" s="8" t="s">
        <v>3478</v>
      </c>
      <c r="C1278" s="7" t="s">
        <v>3493</v>
      </c>
      <c r="D1278" s="9" t="s">
        <v>3494</v>
      </c>
      <c r="E1278" s="7" t="s">
        <v>3481</v>
      </c>
      <c r="F1278" s="7" t="s">
        <v>1322</v>
      </c>
      <c r="G1278" s="7" t="s">
        <v>3495</v>
      </c>
      <c r="H1278" s="7">
        <v>0.01</v>
      </c>
      <c r="I1278" s="7">
        <v>140</v>
      </c>
      <c r="J1278" s="7">
        <v>800</v>
      </c>
      <c r="K1278" s="7">
        <v>600</v>
      </c>
      <c r="L1278" s="7">
        <v>150</v>
      </c>
      <c r="M1278" s="7">
        <v>30</v>
      </c>
      <c r="N1278" s="7">
        <v>60</v>
      </c>
      <c r="O1278" s="7">
        <v>20</v>
      </c>
      <c r="P1278" s="7">
        <v>115</v>
      </c>
    </row>
    <row r="1279" spans="1:16" s="10" customFormat="1">
      <c r="A1279" s="7">
        <f>IF(B1279="","",SUBTOTAL(103,$B$2:B1279))</f>
        <v>1278</v>
      </c>
      <c r="B1279" s="8" t="s">
        <v>3478</v>
      </c>
      <c r="C1279" s="7" t="s">
        <v>3496</v>
      </c>
      <c r="D1279" s="9" t="s">
        <v>3497</v>
      </c>
      <c r="E1279" s="7" t="s">
        <v>3481</v>
      </c>
      <c r="F1279" s="7" t="s">
        <v>1325</v>
      </c>
      <c r="G1279" s="7" t="s">
        <v>3498</v>
      </c>
      <c r="H1279" s="7">
        <v>0.24199999999999999</v>
      </c>
      <c r="I1279" s="7">
        <v>18</v>
      </c>
      <c r="J1279" s="7">
        <v>800</v>
      </c>
      <c r="K1279" s="7">
        <v>600</v>
      </c>
      <c r="L1279" s="7">
        <v>150</v>
      </c>
      <c r="M1279" s="7">
        <v>30</v>
      </c>
      <c r="N1279" s="7">
        <v>60</v>
      </c>
      <c r="O1279" s="7">
        <v>100</v>
      </c>
      <c r="P1279" s="7">
        <v>225</v>
      </c>
    </row>
    <row r="1280" spans="1:16" s="10" customFormat="1">
      <c r="A1280" s="7">
        <f>IF(B1280="","",SUBTOTAL(103,$B$2:B1280))</f>
        <v>1279</v>
      </c>
      <c r="B1280" s="8" t="s">
        <v>3478</v>
      </c>
      <c r="C1280" s="7" t="s">
        <v>3496</v>
      </c>
      <c r="D1280" s="9" t="s">
        <v>3499</v>
      </c>
      <c r="E1280" s="7" t="s">
        <v>3481</v>
      </c>
      <c r="F1280" s="7" t="s">
        <v>1328</v>
      </c>
      <c r="G1280" s="7" t="s">
        <v>3500</v>
      </c>
      <c r="H1280" s="7">
        <v>0.24199999999999999</v>
      </c>
      <c r="I1280" s="7">
        <v>18</v>
      </c>
      <c r="J1280" s="7">
        <v>800</v>
      </c>
      <c r="K1280" s="7">
        <v>600</v>
      </c>
      <c r="L1280" s="7">
        <v>150</v>
      </c>
      <c r="M1280" s="7">
        <v>30</v>
      </c>
      <c r="N1280" s="7">
        <v>60</v>
      </c>
      <c r="O1280" s="7">
        <v>100</v>
      </c>
      <c r="P1280" s="7">
        <v>225</v>
      </c>
    </row>
    <row r="1281" spans="1:16" s="10" customFormat="1">
      <c r="A1281" s="7">
        <f>IF(B1281="","",SUBTOTAL(103,$B$2:B1281))</f>
        <v>1280</v>
      </c>
      <c r="B1281" s="8" t="s">
        <v>3478</v>
      </c>
      <c r="C1281" s="7" t="s">
        <v>3501</v>
      </c>
      <c r="D1281" s="9" t="s">
        <v>3502</v>
      </c>
      <c r="E1281" s="7" t="s">
        <v>3481</v>
      </c>
      <c r="F1281" s="7" t="s">
        <v>1339</v>
      </c>
      <c r="G1281" s="7" t="s">
        <v>3503</v>
      </c>
      <c r="H1281" s="7">
        <v>0.40500000000000003</v>
      </c>
      <c r="I1281" s="7">
        <v>12</v>
      </c>
      <c r="J1281" s="7">
        <v>800</v>
      </c>
      <c r="K1281" s="7">
        <v>600</v>
      </c>
      <c r="L1281" s="7">
        <v>150</v>
      </c>
      <c r="M1281" s="7">
        <v>30</v>
      </c>
      <c r="N1281" s="7">
        <v>60</v>
      </c>
      <c r="O1281" s="7">
        <v>150</v>
      </c>
      <c r="P1281" s="7">
        <v>500</v>
      </c>
    </row>
    <row r="1282" spans="1:16" s="10" customFormat="1">
      <c r="A1282" s="7">
        <f>IF(B1282="","",SUBTOTAL(103,$B$2:B1282))</f>
        <v>1281</v>
      </c>
      <c r="B1282" s="8" t="s">
        <v>3478</v>
      </c>
      <c r="C1282" s="7" t="s">
        <v>3501</v>
      </c>
      <c r="D1282" s="9" t="s">
        <v>3504</v>
      </c>
      <c r="E1282" s="7" t="s">
        <v>3481</v>
      </c>
      <c r="F1282" s="7" t="s">
        <v>1342</v>
      </c>
      <c r="G1282" s="7" t="s">
        <v>3505</v>
      </c>
      <c r="H1282" s="7">
        <v>0.40500000000000003</v>
      </c>
      <c r="I1282" s="7">
        <v>12</v>
      </c>
      <c r="J1282" s="7">
        <v>800</v>
      </c>
      <c r="K1282" s="7">
        <v>600</v>
      </c>
      <c r="L1282" s="7">
        <v>150</v>
      </c>
      <c r="M1282" s="7">
        <v>30</v>
      </c>
      <c r="N1282" s="7">
        <v>60</v>
      </c>
      <c r="O1282" s="7">
        <v>150</v>
      </c>
      <c r="P1282" s="7">
        <v>500</v>
      </c>
    </row>
    <row r="1283" spans="1:16" s="10" customFormat="1">
      <c r="A1283" s="7">
        <f>IF(B1283="","",SUBTOTAL(103,$B$2:B1283))</f>
        <v>1282</v>
      </c>
      <c r="B1283" s="8" t="s">
        <v>3478</v>
      </c>
      <c r="C1283" s="7" t="s">
        <v>3506</v>
      </c>
      <c r="D1283" s="9" t="s">
        <v>3507</v>
      </c>
      <c r="E1283" s="7" t="s">
        <v>3481</v>
      </c>
      <c r="F1283" s="7" t="s">
        <v>1348</v>
      </c>
      <c r="G1283" s="7" t="s">
        <v>3508</v>
      </c>
      <c r="H1283" s="7">
        <v>0.60799999999999998</v>
      </c>
      <c r="I1283" s="7">
        <v>5</v>
      </c>
      <c r="J1283" s="7">
        <v>800</v>
      </c>
      <c r="K1283" s="7">
        <v>600</v>
      </c>
      <c r="L1283" s="7">
        <v>150</v>
      </c>
      <c r="M1283" s="7">
        <v>30</v>
      </c>
      <c r="N1283" s="7">
        <v>60</v>
      </c>
      <c r="O1283" s="7">
        <v>400</v>
      </c>
      <c r="P1283" s="7">
        <v>565</v>
      </c>
    </row>
    <row r="1284" spans="1:16" s="10" customFormat="1">
      <c r="A1284" s="7">
        <f>IF(B1284="","",SUBTOTAL(103,$B$2:B1284))</f>
        <v>1283</v>
      </c>
      <c r="B1284" s="8" t="s">
        <v>3478</v>
      </c>
      <c r="C1284" s="7" t="s">
        <v>3509</v>
      </c>
      <c r="D1284" s="9" t="s">
        <v>3510</v>
      </c>
      <c r="E1284" s="7" t="s">
        <v>3481</v>
      </c>
      <c r="F1284" s="7" t="s">
        <v>1354</v>
      </c>
      <c r="G1284" s="7" t="s">
        <v>3511</v>
      </c>
      <c r="H1284" s="7">
        <v>1.008</v>
      </c>
      <c r="I1284" s="7">
        <v>5</v>
      </c>
      <c r="J1284" s="7">
        <v>800</v>
      </c>
      <c r="K1284" s="7">
        <v>600</v>
      </c>
      <c r="L1284" s="7">
        <v>150</v>
      </c>
      <c r="M1284" s="7">
        <v>30</v>
      </c>
      <c r="N1284" s="7">
        <v>60</v>
      </c>
      <c r="O1284" s="7">
        <v>400</v>
      </c>
      <c r="P1284" s="7">
        <v>565</v>
      </c>
    </row>
    <row r="1285" spans="1:16" s="10" customFormat="1">
      <c r="A1285" s="7">
        <f>IF(B1285="","",SUBTOTAL(103,$B$2:B1285))</f>
        <v>1284</v>
      </c>
      <c r="B1285" s="8" t="s">
        <v>3478</v>
      </c>
      <c r="C1285" s="7" t="s">
        <v>3512</v>
      </c>
      <c r="D1285" s="9" t="s">
        <v>3513</v>
      </c>
      <c r="E1285" s="7" t="s">
        <v>3481</v>
      </c>
      <c r="F1285" s="7" t="s">
        <v>1360</v>
      </c>
      <c r="G1285" s="7" t="s">
        <v>3514</v>
      </c>
      <c r="H1285" s="7">
        <v>6.3E-2</v>
      </c>
      <c r="I1285" s="7">
        <v>48</v>
      </c>
      <c r="J1285" s="7">
        <v>800</v>
      </c>
      <c r="K1285" s="7">
        <v>600</v>
      </c>
      <c r="L1285" s="7">
        <v>150</v>
      </c>
      <c r="M1285" s="7">
        <v>30</v>
      </c>
      <c r="N1285" s="7">
        <v>60</v>
      </c>
      <c r="O1285" s="7">
        <v>41</v>
      </c>
      <c r="P1285" s="7">
        <v>155</v>
      </c>
    </row>
    <row r="1286" spans="1:16" s="10" customFormat="1">
      <c r="A1286" s="7">
        <f>IF(B1286="","",SUBTOTAL(103,$B$2:B1286))</f>
        <v>1285</v>
      </c>
      <c r="B1286" s="8" t="s">
        <v>3478</v>
      </c>
      <c r="C1286" s="7" t="s">
        <v>3515</v>
      </c>
      <c r="D1286" s="9" t="s">
        <v>3516</v>
      </c>
      <c r="E1286" s="7" t="s">
        <v>3481</v>
      </c>
      <c r="F1286" s="7" t="s">
        <v>1366</v>
      </c>
      <c r="G1286" s="7" t="s">
        <v>3517</v>
      </c>
      <c r="H1286" s="7">
        <v>3.4000000000000002E-2</v>
      </c>
      <c r="I1286" s="7">
        <v>80</v>
      </c>
      <c r="J1286" s="7">
        <v>800</v>
      </c>
      <c r="K1286" s="7">
        <v>600</v>
      </c>
      <c r="L1286" s="7">
        <v>150</v>
      </c>
      <c r="M1286" s="7">
        <v>30</v>
      </c>
      <c r="N1286" s="7">
        <v>60</v>
      </c>
      <c r="O1286" s="7">
        <v>25</v>
      </c>
      <c r="P1286" s="7">
        <v>135</v>
      </c>
    </row>
    <row r="1287" spans="1:16" s="10" customFormat="1">
      <c r="A1287" s="7">
        <f>IF(B1287="","",SUBTOTAL(103,$B$2:B1287))</f>
        <v>1286</v>
      </c>
      <c r="B1287" s="8" t="s">
        <v>3518</v>
      </c>
      <c r="C1287" s="7" t="s">
        <v>3519</v>
      </c>
      <c r="D1287" s="9" t="s">
        <v>3520</v>
      </c>
      <c r="E1287" s="7" t="s">
        <v>3521</v>
      </c>
      <c r="F1287" s="7" t="s">
        <v>1066</v>
      </c>
      <c r="G1287" s="7" t="s">
        <v>3522</v>
      </c>
      <c r="H1287" s="7">
        <v>0.13</v>
      </c>
      <c r="I1287" s="7">
        <v>28</v>
      </c>
      <c r="J1287" s="7">
        <v>800</v>
      </c>
      <c r="K1287" s="7">
        <v>600</v>
      </c>
      <c r="L1287" s="7">
        <v>150</v>
      </c>
      <c r="M1287" s="7">
        <v>30</v>
      </c>
      <c r="N1287" s="7">
        <v>60</v>
      </c>
      <c r="O1287" s="7">
        <v>70</v>
      </c>
      <c r="P1287" s="7">
        <v>165</v>
      </c>
    </row>
    <row r="1288" spans="1:16" s="10" customFormat="1">
      <c r="A1288" s="7">
        <f>IF(B1288="","",SUBTOTAL(103,$B$2:B1288))</f>
        <v>1287</v>
      </c>
      <c r="B1288" s="8" t="s">
        <v>3518</v>
      </c>
      <c r="C1288" s="7" t="s">
        <v>3519</v>
      </c>
      <c r="D1288" s="9" t="s">
        <v>3523</v>
      </c>
      <c r="E1288" s="7" t="s">
        <v>3521</v>
      </c>
      <c r="F1288" s="7" t="s">
        <v>1069</v>
      </c>
      <c r="G1288" s="7" t="s">
        <v>3524</v>
      </c>
      <c r="H1288" s="7">
        <v>0.13</v>
      </c>
      <c r="I1288" s="7">
        <v>28</v>
      </c>
      <c r="J1288" s="7">
        <v>800</v>
      </c>
      <c r="K1288" s="7">
        <v>600</v>
      </c>
      <c r="L1288" s="7">
        <v>150</v>
      </c>
      <c r="M1288" s="7">
        <v>30</v>
      </c>
      <c r="N1288" s="7">
        <v>60</v>
      </c>
      <c r="O1288" s="7">
        <v>70</v>
      </c>
      <c r="P1288" s="7">
        <v>165</v>
      </c>
    </row>
    <row r="1289" spans="1:16" s="10" customFormat="1">
      <c r="A1289" s="7">
        <f>IF(B1289="","",SUBTOTAL(103,$B$2:B1289))</f>
        <v>1288</v>
      </c>
      <c r="B1289" s="8" t="s">
        <v>3518</v>
      </c>
      <c r="C1289" s="7" t="s">
        <v>3525</v>
      </c>
      <c r="D1289" s="9" t="s">
        <v>3526</v>
      </c>
      <c r="E1289" s="7" t="s">
        <v>3521</v>
      </c>
      <c r="F1289" s="7" t="s">
        <v>1073</v>
      </c>
      <c r="G1289" s="7" t="s">
        <v>3527</v>
      </c>
      <c r="H1289" s="7">
        <v>6.2E-2</v>
      </c>
      <c r="I1289" s="7">
        <v>58</v>
      </c>
      <c r="J1289" s="7">
        <v>800</v>
      </c>
      <c r="K1289" s="7">
        <v>600</v>
      </c>
      <c r="L1289" s="7">
        <v>150</v>
      </c>
      <c r="M1289" s="7">
        <v>30</v>
      </c>
      <c r="N1289" s="7">
        <v>60</v>
      </c>
      <c r="O1289" s="7">
        <v>34</v>
      </c>
      <c r="P1289" s="7">
        <v>145</v>
      </c>
    </row>
    <row r="1290" spans="1:16" s="10" customFormat="1">
      <c r="A1290" s="7">
        <f>IF(B1290="","",SUBTOTAL(103,$B$2:B1290))</f>
        <v>1289</v>
      </c>
      <c r="B1290" s="8" t="s">
        <v>3518</v>
      </c>
      <c r="C1290" s="7" t="s">
        <v>3525</v>
      </c>
      <c r="D1290" s="9" t="s">
        <v>3528</v>
      </c>
      <c r="E1290" s="7" t="s">
        <v>3521</v>
      </c>
      <c r="F1290" s="7" t="s">
        <v>1076</v>
      </c>
      <c r="G1290" s="7" t="s">
        <v>3529</v>
      </c>
      <c r="H1290" s="7">
        <v>6.2E-2</v>
      </c>
      <c r="I1290" s="7">
        <v>58</v>
      </c>
      <c r="J1290" s="7">
        <v>800</v>
      </c>
      <c r="K1290" s="7">
        <v>600</v>
      </c>
      <c r="L1290" s="7">
        <v>150</v>
      </c>
      <c r="M1290" s="7">
        <v>30</v>
      </c>
      <c r="N1290" s="7">
        <v>60</v>
      </c>
      <c r="O1290" s="7">
        <v>34</v>
      </c>
      <c r="P1290" s="7">
        <v>145</v>
      </c>
    </row>
    <row r="1291" spans="1:16" s="10" customFormat="1">
      <c r="A1291" s="7">
        <f>IF(B1291="","",SUBTOTAL(103,$B$2:B1291))</f>
        <v>1290</v>
      </c>
      <c r="B1291" s="8" t="s">
        <v>3518</v>
      </c>
      <c r="C1291" s="7" t="s">
        <v>3530</v>
      </c>
      <c r="D1291" s="9" t="s">
        <v>3531</v>
      </c>
      <c r="E1291" s="7" t="s">
        <v>3521</v>
      </c>
      <c r="F1291" s="7" t="s">
        <v>998</v>
      </c>
      <c r="G1291" s="7" t="s">
        <v>3532</v>
      </c>
      <c r="H1291" s="7">
        <v>2.5000000000000001E-2</v>
      </c>
      <c r="I1291" s="7">
        <v>124</v>
      </c>
      <c r="J1291" s="7">
        <v>800</v>
      </c>
      <c r="K1291" s="7">
        <v>600</v>
      </c>
      <c r="L1291" s="7">
        <v>150</v>
      </c>
      <c r="M1291" s="7">
        <v>30</v>
      </c>
      <c r="N1291" s="7">
        <v>60</v>
      </c>
      <c r="O1291" s="7">
        <v>25</v>
      </c>
      <c r="P1291" s="7">
        <v>125</v>
      </c>
    </row>
    <row r="1292" spans="1:16" s="10" customFormat="1">
      <c r="A1292" s="7">
        <f>IF(B1292="","",SUBTOTAL(103,$B$2:B1292))</f>
        <v>1291</v>
      </c>
      <c r="B1292" s="8" t="s">
        <v>3518</v>
      </c>
      <c r="C1292" s="7" t="s">
        <v>3530</v>
      </c>
      <c r="D1292" s="9" t="s">
        <v>3533</v>
      </c>
      <c r="E1292" s="7" t="s">
        <v>3521</v>
      </c>
      <c r="F1292" s="7" t="s">
        <v>1081</v>
      </c>
      <c r="G1292" s="7" t="s">
        <v>3534</v>
      </c>
      <c r="H1292" s="7">
        <v>2.5000000000000001E-2</v>
      </c>
      <c r="I1292" s="7">
        <v>124</v>
      </c>
      <c r="J1292" s="7">
        <v>800</v>
      </c>
      <c r="K1292" s="7">
        <v>600</v>
      </c>
      <c r="L1292" s="7">
        <v>150</v>
      </c>
      <c r="M1292" s="7">
        <v>30</v>
      </c>
      <c r="N1292" s="7">
        <v>60</v>
      </c>
      <c r="O1292" s="7">
        <v>25</v>
      </c>
      <c r="P1292" s="7">
        <v>125</v>
      </c>
    </row>
    <row r="1293" spans="1:16" s="10" customFormat="1">
      <c r="A1293" s="7">
        <f>IF(B1293="","",SUBTOTAL(103,$B$2:B1293))</f>
        <v>1292</v>
      </c>
      <c r="B1293" s="8" t="s">
        <v>3518</v>
      </c>
      <c r="C1293" s="7" t="s">
        <v>3535</v>
      </c>
      <c r="D1293" s="9" t="s">
        <v>3536</v>
      </c>
      <c r="E1293" s="7" t="s">
        <v>3521</v>
      </c>
      <c r="F1293" s="7" t="s">
        <v>1085</v>
      </c>
      <c r="G1293" s="7" t="s">
        <v>3537</v>
      </c>
      <c r="H1293" s="7">
        <v>1.4E-2</v>
      </c>
      <c r="I1293" s="7">
        <v>140</v>
      </c>
      <c r="J1293" s="7">
        <v>800</v>
      </c>
      <c r="K1293" s="7">
        <v>600</v>
      </c>
      <c r="L1293" s="7">
        <v>150</v>
      </c>
      <c r="M1293" s="7">
        <v>30</v>
      </c>
      <c r="N1293" s="7">
        <v>60</v>
      </c>
      <c r="O1293" s="7">
        <v>20</v>
      </c>
      <c r="P1293" s="7">
        <v>115</v>
      </c>
    </row>
    <row r="1294" spans="1:16" s="10" customFormat="1">
      <c r="A1294" s="7">
        <f>IF(B1294="","",SUBTOTAL(103,$B$2:B1294))</f>
        <v>1293</v>
      </c>
      <c r="B1294" s="8" t="s">
        <v>3518</v>
      </c>
      <c r="C1294" s="7" t="s">
        <v>3535</v>
      </c>
      <c r="D1294" s="9" t="s">
        <v>3538</v>
      </c>
      <c r="E1294" s="7" t="s">
        <v>3521</v>
      </c>
      <c r="F1294" s="7" t="s">
        <v>1088</v>
      </c>
      <c r="G1294" s="7" t="s">
        <v>3539</v>
      </c>
      <c r="H1294" s="7">
        <v>1.4E-2</v>
      </c>
      <c r="I1294" s="7">
        <v>140</v>
      </c>
      <c r="J1294" s="7">
        <v>800</v>
      </c>
      <c r="K1294" s="7">
        <v>600</v>
      </c>
      <c r="L1294" s="7">
        <v>150</v>
      </c>
      <c r="M1294" s="7">
        <v>30</v>
      </c>
      <c r="N1294" s="7">
        <v>60</v>
      </c>
      <c r="O1294" s="7">
        <v>20</v>
      </c>
      <c r="P1294" s="7">
        <v>115</v>
      </c>
    </row>
    <row r="1295" spans="1:16" s="10" customFormat="1">
      <c r="A1295" s="7">
        <f>IF(B1295="","",SUBTOTAL(103,$B$2:B1295))</f>
        <v>1294</v>
      </c>
      <c r="B1295" s="8" t="s">
        <v>3518</v>
      </c>
      <c r="C1295" s="7" t="s">
        <v>3540</v>
      </c>
      <c r="D1295" s="9" t="s">
        <v>3541</v>
      </c>
      <c r="E1295" s="7" t="s">
        <v>3521</v>
      </c>
      <c r="F1295" s="7" t="s">
        <v>1092</v>
      </c>
      <c r="G1295" s="7" t="s">
        <v>3542</v>
      </c>
      <c r="H1295" s="7">
        <v>0.34</v>
      </c>
      <c r="I1295" s="7">
        <v>18</v>
      </c>
      <c r="J1295" s="7">
        <v>800</v>
      </c>
      <c r="K1295" s="7">
        <v>600</v>
      </c>
      <c r="L1295" s="7">
        <v>150</v>
      </c>
      <c r="M1295" s="7">
        <v>30</v>
      </c>
      <c r="N1295" s="7">
        <v>60</v>
      </c>
      <c r="O1295" s="7">
        <v>100</v>
      </c>
      <c r="P1295" s="7">
        <v>225</v>
      </c>
    </row>
    <row r="1296" spans="1:16" s="10" customFormat="1">
      <c r="A1296" s="7">
        <f>IF(B1296="","",SUBTOTAL(103,$B$2:B1296))</f>
        <v>1295</v>
      </c>
      <c r="B1296" s="8" t="s">
        <v>3518</v>
      </c>
      <c r="C1296" s="7" t="s">
        <v>3540</v>
      </c>
      <c r="D1296" s="9" t="s">
        <v>3543</v>
      </c>
      <c r="E1296" s="7" t="s">
        <v>3521</v>
      </c>
      <c r="F1296" s="7" t="s">
        <v>1095</v>
      </c>
      <c r="G1296" s="7" t="s">
        <v>3544</v>
      </c>
      <c r="H1296" s="7">
        <v>0.34</v>
      </c>
      <c r="I1296" s="7">
        <v>18</v>
      </c>
      <c r="J1296" s="7">
        <v>800</v>
      </c>
      <c r="K1296" s="7">
        <v>600</v>
      </c>
      <c r="L1296" s="7">
        <v>150</v>
      </c>
      <c r="M1296" s="7">
        <v>30</v>
      </c>
      <c r="N1296" s="7">
        <v>60</v>
      </c>
      <c r="O1296" s="7">
        <v>100</v>
      </c>
      <c r="P1296" s="7">
        <v>225</v>
      </c>
    </row>
    <row r="1297" spans="1:16" s="10" customFormat="1">
      <c r="A1297" s="7">
        <f>IF(B1297="","",SUBTOTAL(103,$B$2:B1297))</f>
        <v>1296</v>
      </c>
      <c r="B1297" s="8" t="s">
        <v>3518</v>
      </c>
      <c r="C1297" s="7" t="s">
        <v>3545</v>
      </c>
      <c r="D1297" s="9" t="s">
        <v>3546</v>
      </c>
      <c r="E1297" s="7" t="s">
        <v>3521</v>
      </c>
      <c r="F1297" s="7" t="s">
        <v>1099</v>
      </c>
      <c r="G1297" s="7" t="s">
        <v>3547</v>
      </c>
      <c r="H1297" s="7">
        <v>0.23599999999999999</v>
      </c>
      <c r="I1297" s="7">
        <v>24</v>
      </c>
      <c r="J1297" s="7">
        <v>800</v>
      </c>
      <c r="K1297" s="7">
        <v>600</v>
      </c>
      <c r="L1297" s="7">
        <v>150</v>
      </c>
      <c r="M1297" s="7">
        <v>30</v>
      </c>
      <c r="N1297" s="7">
        <v>60</v>
      </c>
      <c r="O1297" s="7">
        <v>75</v>
      </c>
      <c r="P1297" s="7">
        <v>215</v>
      </c>
    </row>
    <row r="1298" spans="1:16" s="10" customFormat="1">
      <c r="A1298" s="7">
        <f>IF(B1298="","",SUBTOTAL(103,$B$2:B1298))</f>
        <v>1297</v>
      </c>
      <c r="B1298" s="8" t="s">
        <v>3518</v>
      </c>
      <c r="C1298" s="7" t="s">
        <v>3545</v>
      </c>
      <c r="D1298" s="9" t="s">
        <v>3548</v>
      </c>
      <c r="E1298" s="7" t="s">
        <v>3521</v>
      </c>
      <c r="F1298" s="7" t="s">
        <v>1102</v>
      </c>
      <c r="G1298" s="7" t="s">
        <v>3549</v>
      </c>
      <c r="H1298" s="7">
        <v>0.23599999999999999</v>
      </c>
      <c r="I1298" s="7">
        <v>24</v>
      </c>
      <c r="J1298" s="7">
        <v>800</v>
      </c>
      <c r="K1298" s="7">
        <v>600</v>
      </c>
      <c r="L1298" s="7">
        <v>150</v>
      </c>
      <c r="M1298" s="7">
        <v>30</v>
      </c>
      <c r="N1298" s="7">
        <v>60</v>
      </c>
      <c r="O1298" s="7">
        <v>75</v>
      </c>
      <c r="P1298" s="7">
        <v>215</v>
      </c>
    </row>
    <row r="1299" spans="1:16" s="10" customFormat="1">
      <c r="A1299" s="7">
        <f>IF(B1299="","",SUBTOTAL(103,$B$2:B1299))</f>
        <v>1298</v>
      </c>
      <c r="B1299" s="8" t="s">
        <v>3518</v>
      </c>
      <c r="C1299" s="7" t="s">
        <v>3550</v>
      </c>
      <c r="D1299" s="9" t="s">
        <v>3551</v>
      </c>
      <c r="E1299" s="7" t="s">
        <v>3521</v>
      </c>
      <c r="F1299" s="7" t="s">
        <v>1106</v>
      </c>
      <c r="G1299" s="7" t="s">
        <v>3552</v>
      </c>
      <c r="H1299" s="7">
        <v>0.45700000000000002</v>
      </c>
      <c r="I1299" s="7">
        <v>16</v>
      </c>
      <c r="J1299" s="7">
        <v>800</v>
      </c>
      <c r="K1299" s="7">
        <v>600</v>
      </c>
      <c r="L1299" s="7">
        <v>150</v>
      </c>
      <c r="M1299" s="7">
        <v>30</v>
      </c>
      <c r="N1299" s="7">
        <v>60</v>
      </c>
      <c r="O1299" s="7">
        <v>125</v>
      </c>
      <c r="P1299" s="7">
        <v>500</v>
      </c>
    </row>
    <row r="1300" spans="1:16" s="10" customFormat="1">
      <c r="A1300" s="7">
        <f>IF(B1300="","",SUBTOTAL(103,$B$2:B1300))</f>
        <v>1299</v>
      </c>
      <c r="B1300" s="8" t="s">
        <v>3518</v>
      </c>
      <c r="C1300" s="7" t="s">
        <v>3550</v>
      </c>
      <c r="D1300" s="9" t="s">
        <v>3553</v>
      </c>
      <c r="E1300" s="7" t="s">
        <v>3521</v>
      </c>
      <c r="F1300" s="7" t="s">
        <v>1109</v>
      </c>
      <c r="G1300" s="7" t="s">
        <v>3554</v>
      </c>
      <c r="H1300" s="7">
        <v>0.45700000000000002</v>
      </c>
      <c r="I1300" s="7">
        <v>16</v>
      </c>
      <c r="J1300" s="7">
        <v>800</v>
      </c>
      <c r="K1300" s="7">
        <v>600</v>
      </c>
      <c r="L1300" s="7">
        <v>150</v>
      </c>
      <c r="M1300" s="7">
        <v>30</v>
      </c>
      <c r="N1300" s="7">
        <v>60</v>
      </c>
      <c r="O1300" s="7">
        <v>125</v>
      </c>
      <c r="P1300" s="7">
        <v>500</v>
      </c>
    </row>
    <row r="1301" spans="1:16" s="10" customFormat="1">
      <c r="A1301" s="7">
        <f>IF(B1301="","",SUBTOTAL(103,$B$2:B1301))</f>
        <v>1300</v>
      </c>
      <c r="B1301" s="8" t="s">
        <v>3518</v>
      </c>
      <c r="C1301" s="7" t="s">
        <v>3555</v>
      </c>
      <c r="D1301" s="9" t="s">
        <v>3556</v>
      </c>
      <c r="E1301" s="7" t="s">
        <v>3521</v>
      </c>
      <c r="F1301" s="7" t="s">
        <v>1113</v>
      </c>
      <c r="G1301" s="7" t="s">
        <v>3557</v>
      </c>
      <c r="H1301" s="7">
        <v>0.89700000000000002</v>
      </c>
      <c r="I1301" s="7">
        <v>6</v>
      </c>
      <c r="J1301" s="7">
        <v>800</v>
      </c>
      <c r="K1301" s="7">
        <v>600</v>
      </c>
      <c r="L1301" s="7">
        <v>150</v>
      </c>
      <c r="M1301" s="7">
        <v>30</v>
      </c>
      <c r="N1301" s="7">
        <v>60</v>
      </c>
      <c r="O1301" s="7">
        <v>310</v>
      </c>
      <c r="P1301" s="7">
        <v>350</v>
      </c>
    </row>
    <row r="1302" spans="1:16" s="10" customFormat="1">
      <c r="A1302" s="7">
        <f>IF(B1302="","",SUBTOTAL(103,$B$2:B1302))</f>
        <v>1301</v>
      </c>
      <c r="B1302" s="8" t="s">
        <v>3518</v>
      </c>
      <c r="C1302" s="7" t="s">
        <v>3555</v>
      </c>
      <c r="D1302" s="9" t="s">
        <v>3558</v>
      </c>
      <c r="E1302" s="7" t="s">
        <v>3521</v>
      </c>
      <c r="F1302" s="7" t="s">
        <v>1116</v>
      </c>
      <c r="G1302" s="7" t="str">
        <f>E1302&amp;F1302</f>
        <v>MB  K-08 PFCO21/2 316 NPT</v>
      </c>
      <c r="H1302" s="7">
        <v>0.89700000000000002</v>
      </c>
      <c r="I1302" s="7">
        <v>6</v>
      </c>
      <c r="J1302" s="7">
        <v>800</v>
      </c>
      <c r="K1302" s="7">
        <v>600</v>
      </c>
      <c r="L1302" s="7">
        <v>150</v>
      </c>
      <c r="M1302" s="7">
        <v>30</v>
      </c>
      <c r="N1302" s="7">
        <v>60</v>
      </c>
      <c r="O1302" s="7">
        <v>310</v>
      </c>
      <c r="P1302" s="7">
        <v>350</v>
      </c>
    </row>
    <row r="1303" spans="1:16" s="10" customFormat="1">
      <c r="A1303" s="7">
        <f>IF(B1303="","",SUBTOTAL(103,$B$2:B1303))</f>
        <v>1302</v>
      </c>
      <c r="B1303" s="8" t="s">
        <v>3518</v>
      </c>
      <c r="C1303" s="7" t="s">
        <v>3559</v>
      </c>
      <c r="D1303" s="9" t="s">
        <v>3560</v>
      </c>
      <c r="E1303" s="7" t="s">
        <v>3521</v>
      </c>
      <c r="F1303" s="7" t="s">
        <v>1120</v>
      </c>
      <c r="G1303" s="7" t="s">
        <v>3561</v>
      </c>
      <c r="H1303" s="7">
        <v>1.2549999999999999</v>
      </c>
      <c r="I1303" s="7">
        <v>5</v>
      </c>
      <c r="J1303" s="7">
        <v>800</v>
      </c>
      <c r="K1303" s="7">
        <v>600</v>
      </c>
      <c r="L1303" s="7">
        <v>150</v>
      </c>
      <c r="M1303" s="7">
        <v>30</v>
      </c>
      <c r="N1303" s="7">
        <v>60</v>
      </c>
      <c r="O1303" s="7">
        <v>400</v>
      </c>
      <c r="P1303" s="7">
        <v>565</v>
      </c>
    </row>
    <row r="1304" spans="1:16" s="10" customFormat="1">
      <c r="A1304" s="7">
        <f>IF(B1304="","",SUBTOTAL(103,$B$2:B1304))</f>
        <v>1303</v>
      </c>
      <c r="B1304" s="8" t="s">
        <v>3518</v>
      </c>
      <c r="C1304" s="7" t="s">
        <v>3559</v>
      </c>
      <c r="D1304" s="9" t="s">
        <v>3562</v>
      </c>
      <c r="E1304" s="7" t="s">
        <v>3521</v>
      </c>
      <c r="F1304" s="7" t="s">
        <v>1123</v>
      </c>
      <c r="G1304" s="7" t="str">
        <f>E1304&amp;F1304</f>
        <v>MB  K-08 PFCO3 316</v>
      </c>
      <c r="H1304" s="7">
        <v>1.2549999999999999</v>
      </c>
      <c r="I1304" s="7">
        <v>5</v>
      </c>
      <c r="J1304" s="7">
        <v>800</v>
      </c>
      <c r="K1304" s="7">
        <v>600</v>
      </c>
      <c r="L1304" s="7">
        <v>150</v>
      </c>
      <c r="M1304" s="7">
        <v>30</v>
      </c>
      <c r="N1304" s="7">
        <v>60</v>
      </c>
      <c r="O1304" s="7">
        <v>400</v>
      </c>
      <c r="P1304" s="7">
        <v>565</v>
      </c>
    </row>
    <row r="1305" spans="1:16" s="10" customFormat="1">
      <c r="A1305" s="7">
        <f>IF(B1305="","",SUBTOTAL(103,$B$2:B1305))</f>
        <v>1304</v>
      </c>
      <c r="B1305" s="8" t="s">
        <v>3518</v>
      </c>
      <c r="C1305" s="7" t="s">
        <v>3563</v>
      </c>
      <c r="D1305" s="9" t="s">
        <v>3564</v>
      </c>
      <c r="E1305" s="7" t="s">
        <v>3521</v>
      </c>
      <c r="F1305" s="7" t="s">
        <v>1127</v>
      </c>
      <c r="G1305" s="7" t="s">
        <v>3565</v>
      </c>
      <c r="H1305" s="7">
        <v>8.5000000000000006E-2</v>
      </c>
      <c r="I1305" s="7">
        <v>40</v>
      </c>
      <c r="J1305" s="7">
        <v>800</v>
      </c>
      <c r="K1305" s="7">
        <v>600</v>
      </c>
      <c r="L1305" s="7">
        <v>150</v>
      </c>
      <c r="M1305" s="7">
        <v>30</v>
      </c>
      <c r="N1305" s="7">
        <v>60</v>
      </c>
      <c r="O1305" s="7">
        <v>45</v>
      </c>
      <c r="P1305" s="7">
        <v>155</v>
      </c>
    </row>
    <row r="1306" spans="1:16" s="10" customFormat="1">
      <c r="A1306" s="7">
        <f>IF(B1306="","",SUBTOTAL(103,$B$2:B1306))</f>
        <v>1305</v>
      </c>
      <c r="B1306" s="8" t="s">
        <v>3518</v>
      </c>
      <c r="C1306" s="7" t="s">
        <v>3563</v>
      </c>
      <c r="D1306" s="9" t="s">
        <v>3566</v>
      </c>
      <c r="E1306" s="7" t="s">
        <v>3521</v>
      </c>
      <c r="F1306" s="7" t="s">
        <v>1130</v>
      </c>
      <c r="G1306" s="7" t="s">
        <v>3567</v>
      </c>
      <c r="H1306" s="7">
        <v>8.5000000000000006E-2</v>
      </c>
      <c r="I1306" s="7">
        <v>40</v>
      </c>
      <c r="J1306" s="7">
        <v>800</v>
      </c>
      <c r="K1306" s="7">
        <v>600</v>
      </c>
      <c r="L1306" s="7">
        <v>150</v>
      </c>
      <c r="M1306" s="7">
        <v>30</v>
      </c>
      <c r="N1306" s="7">
        <v>60</v>
      </c>
      <c r="O1306" s="7">
        <v>45</v>
      </c>
      <c r="P1306" s="7">
        <v>155</v>
      </c>
    </row>
    <row r="1307" spans="1:16" s="10" customFormat="1">
      <c r="A1307" s="7">
        <f>IF(B1307="","",SUBTOTAL(103,$B$2:B1307))</f>
        <v>1306</v>
      </c>
      <c r="B1307" s="8" t="s">
        <v>3518</v>
      </c>
      <c r="C1307" s="7" t="s">
        <v>3568</v>
      </c>
      <c r="D1307" s="9" t="s">
        <v>3569</v>
      </c>
      <c r="E1307" s="7" t="s">
        <v>3521</v>
      </c>
      <c r="F1307" s="7" t="s">
        <v>1002</v>
      </c>
      <c r="G1307" s="7" t="s">
        <v>3570</v>
      </c>
      <c r="H1307" s="7">
        <v>3.9E-2</v>
      </c>
      <c r="I1307" s="7">
        <v>80</v>
      </c>
      <c r="J1307" s="7">
        <v>800</v>
      </c>
      <c r="K1307" s="7">
        <v>600</v>
      </c>
      <c r="L1307" s="7">
        <v>150</v>
      </c>
      <c r="M1307" s="7">
        <v>30</v>
      </c>
      <c r="N1307" s="7">
        <v>60</v>
      </c>
      <c r="O1307" s="7">
        <v>25</v>
      </c>
      <c r="P1307" s="7">
        <v>135</v>
      </c>
    </row>
    <row r="1308" spans="1:16" s="10" customFormat="1">
      <c r="A1308" s="7">
        <f>IF(B1308="","",SUBTOTAL(103,$B$2:B1308))</f>
        <v>1307</v>
      </c>
      <c r="B1308" s="8" t="s">
        <v>3518</v>
      </c>
      <c r="C1308" s="7" t="s">
        <v>3568</v>
      </c>
      <c r="D1308" s="9" t="s">
        <v>3571</v>
      </c>
      <c r="E1308" s="7" t="s">
        <v>3521</v>
      </c>
      <c r="F1308" s="7" t="s">
        <v>1135</v>
      </c>
      <c r="G1308" s="7" t="s">
        <v>3572</v>
      </c>
      <c r="H1308" s="7">
        <v>3.9E-2</v>
      </c>
      <c r="I1308" s="7">
        <v>80</v>
      </c>
      <c r="J1308" s="7">
        <v>800</v>
      </c>
      <c r="K1308" s="7">
        <v>600</v>
      </c>
      <c r="L1308" s="7">
        <v>150</v>
      </c>
      <c r="M1308" s="7">
        <v>30</v>
      </c>
      <c r="N1308" s="7">
        <v>60</v>
      </c>
      <c r="O1308" s="7">
        <v>25</v>
      </c>
      <c r="P1308" s="7">
        <v>135</v>
      </c>
    </row>
    <row r="1309" spans="1:16" s="10" customFormat="1">
      <c r="A1309" s="7">
        <f>IF(B1309="","",SUBTOTAL(103,$B$2:B1309))</f>
        <v>1308</v>
      </c>
      <c r="B1309" s="8" t="s">
        <v>3518</v>
      </c>
      <c r="C1309" s="7" t="s">
        <v>3573</v>
      </c>
      <c r="D1309" s="9" t="s">
        <v>3574</v>
      </c>
      <c r="E1309" s="7" t="s">
        <v>3521</v>
      </c>
      <c r="F1309" s="7" t="s">
        <v>1139</v>
      </c>
      <c r="G1309" s="7" t="s">
        <v>3575</v>
      </c>
      <c r="H1309" s="7">
        <v>2.2170000000000001</v>
      </c>
      <c r="I1309" s="7">
        <v>4</v>
      </c>
      <c r="J1309" s="7">
        <v>800</v>
      </c>
      <c r="K1309" s="7">
        <v>600</v>
      </c>
      <c r="L1309" s="7">
        <v>150</v>
      </c>
      <c r="M1309" s="7">
        <v>30</v>
      </c>
      <c r="N1309" s="7">
        <v>60</v>
      </c>
      <c r="O1309" s="7">
        <v>500</v>
      </c>
      <c r="P1309" s="7">
        <v>600</v>
      </c>
    </row>
    <row r="1310" spans="1:16" s="10" customFormat="1">
      <c r="A1310" s="7">
        <f>IF(B1310="","",SUBTOTAL(103,$B$2:B1310))</f>
        <v>1309</v>
      </c>
      <c r="B1310" s="8" t="s">
        <v>3518</v>
      </c>
      <c r="C1310" s="7" t="s">
        <v>3573</v>
      </c>
      <c r="D1310" s="9" t="s">
        <v>3576</v>
      </c>
      <c r="E1310" s="7" t="s">
        <v>3521</v>
      </c>
      <c r="F1310" s="7" t="s">
        <v>1142</v>
      </c>
      <c r="G1310" s="7" t="s">
        <v>3577</v>
      </c>
      <c r="H1310" s="7">
        <v>2.2170000000000001</v>
      </c>
      <c r="I1310" s="7">
        <v>4</v>
      </c>
      <c r="J1310" s="7">
        <v>800</v>
      </c>
      <c r="K1310" s="7">
        <v>600</v>
      </c>
      <c r="L1310" s="7">
        <v>150</v>
      </c>
      <c r="M1310" s="7">
        <v>30</v>
      </c>
      <c r="N1310" s="7">
        <v>60</v>
      </c>
      <c r="O1310" s="7">
        <v>500</v>
      </c>
      <c r="P1310" s="7">
        <v>600</v>
      </c>
    </row>
    <row r="1311" spans="1:16" s="10" customFormat="1">
      <c r="A1311" s="7">
        <f>IF(B1311="","",SUBTOTAL(103,$B$2:B1311))</f>
        <v>1310</v>
      </c>
      <c r="B1311" s="8" t="s">
        <v>3578</v>
      </c>
      <c r="C1311" s="7" t="s">
        <v>3579</v>
      </c>
      <c r="D1311" s="9" t="s">
        <v>3580</v>
      </c>
      <c r="E1311" s="7" t="s">
        <v>3581</v>
      </c>
      <c r="F1311" s="7" t="s">
        <v>1300</v>
      </c>
      <c r="G1311" s="7" t="s">
        <v>3582</v>
      </c>
      <c r="H1311" s="7">
        <v>0.156</v>
      </c>
      <c r="I1311" s="7">
        <v>28</v>
      </c>
      <c r="J1311" s="7">
        <v>800</v>
      </c>
      <c r="K1311" s="7">
        <v>600</v>
      </c>
      <c r="L1311" s="7">
        <v>150</v>
      </c>
      <c r="M1311" s="7">
        <v>30</v>
      </c>
      <c r="N1311" s="7">
        <v>60</v>
      </c>
      <c r="O1311" s="7">
        <v>70</v>
      </c>
      <c r="P1311" s="7">
        <v>165</v>
      </c>
    </row>
    <row r="1312" spans="1:16" s="10" customFormat="1">
      <c r="A1312" s="7">
        <f>IF(B1312="","",SUBTOTAL(103,$B$2:B1312))</f>
        <v>1311</v>
      </c>
      <c r="B1312" s="8" t="s">
        <v>3578</v>
      </c>
      <c r="C1312" s="7" t="s">
        <v>3579</v>
      </c>
      <c r="D1312" s="9" t="s">
        <v>3583</v>
      </c>
      <c r="E1312" s="7" t="s">
        <v>3581</v>
      </c>
      <c r="F1312" s="7" t="s">
        <v>1303</v>
      </c>
      <c r="G1312" s="7" t="s">
        <v>3584</v>
      </c>
      <c r="H1312" s="7">
        <v>0.156</v>
      </c>
      <c r="I1312" s="7">
        <v>28</v>
      </c>
      <c r="J1312" s="7">
        <v>800</v>
      </c>
      <c r="K1312" s="7">
        <v>600</v>
      </c>
      <c r="L1312" s="7">
        <v>150</v>
      </c>
      <c r="M1312" s="7">
        <v>30</v>
      </c>
      <c r="N1312" s="7">
        <v>60</v>
      </c>
      <c r="O1312" s="7">
        <v>70</v>
      </c>
      <c r="P1312" s="7">
        <v>165</v>
      </c>
    </row>
    <row r="1313" spans="1:16" s="10" customFormat="1">
      <c r="A1313" s="7">
        <f>IF(B1313="","",SUBTOTAL(103,$B$2:B1313))</f>
        <v>1312</v>
      </c>
      <c r="B1313" s="8" t="s">
        <v>3578</v>
      </c>
      <c r="C1313" s="7" t="s">
        <v>3585</v>
      </c>
      <c r="D1313" s="9" t="s">
        <v>3586</v>
      </c>
      <c r="E1313" s="7" t="s">
        <v>3581</v>
      </c>
      <c r="F1313" s="7" t="s">
        <v>1306</v>
      </c>
      <c r="G1313" s="7" t="s">
        <v>3587</v>
      </c>
      <c r="H1313" s="7">
        <v>0.05</v>
      </c>
      <c r="I1313" s="7">
        <v>48</v>
      </c>
      <c r="J1313" s="7">
        <v>800</v>
      </c>
      <c r="K1313" s="7">
        <v>600</v>
      </c>
      <c r="L1313" s="7">
        <v>150</v>
      </c>
      <c r="M1313" s="7">
        <v>30</v>
      </c>
      <c r="N1313" s="7">
        <v>60</v>
      </c>
      <c r="O1313" s="7">
        <v>41</v>
      </c>
      <c r="P1313" s="7">
        <v>145</v>
      </c>
    </row>
    <row r="1314" spans="1:16" s="10" customFormat="1">
      <c r="A1314" s="7">
        <f>IF(B1314="","",SUBTOTAL(103,$B$2:B1314))</f>
        <v>1313</v>
      </c>
      <c r="B1314" s="8" t="s">
        <v>3578</v>
      </c>
      <c r="C1314" s="7" t="s">
        <v>3585</v>
      </c>
      <c r="D1314" s="9" t="s">
        <v>3588</v>
      </c>
      <c r="E1314" s="7" t="s">
        <v>3581</v>
      </c>
      <c r="F1314" s="7" t="s">
        <v>1309</v>
      </c>
      <c r="G1314" s="7" t="s">
        <v>3589</v>
      </c>
      <c r="H1314" s="7">
        <v>0.05</v>
      </c>
      <c r="I1314" s="7">
        <v>48</v>
      </c>
      <c r="J1314" s="7">
        <v>800</v>
      </c>
      <c r="K1314" s="7">
        <v>600</v>
      </c>
      <c r="L1314" s="7">
        <v>150</v>
      </c>
      <c r="M1314" s="7">
        <v>30</v>
      </c>
      <c r="N1314" s="7">
        <v>60</v>
      </c>
      <c r="O1314" s="7">
        <v>41</v>
      </c>
      <c r="P1314" s="7">
        <v>145</v>
      </c>
    </row>
    <row r="1315" spans="1:16" s="10" customFormat="1">
      <c r="A1315" s="7">
        <f>IF(B1315="","",SUBTOTAL(103,$B$2:B1315))</f>
        <v>1314</v>
      </c>
      <c r="B1315" s="8" t="s">
        <v>3578</v>
      </c>
      <c r="C1315" s="7" t="s">
        <v>3590</v>
      </c>
      <c r="D1315" s="9" t="s">
        <v>3591</v>
      </c>
      <c r="E1315" s="7" t="s">
        <v>3581</v>
      </c>
      <c r="F1315" s="7" t="s">
        <v>1312</v>
      </c>
      <c r="G1315" s="7" t="s">
        <v>3592</v>
      </c>
      <c r="H1315" s="7">
        <v>2.3E-2</v>
      </c>
      <c r="I1315" s="7">
        <v>124</v>
      </c>
      <c r="J1315" s="7">
        <v>800</v>
      </c>
      <c r="K1315" s="7">
        <v>600</v>
      </c>
      <c r="L1315" s="7">
        <v>150</v>
      </c>
      <c r="M1315" s="7">
        <v>30</v>
      </c>
      <c r="N1315" s="7">
        <v>60</v>
      </c>
      <c r="O1315" s="7">
        <v>25</v>
      </c>
      <c r="P1315" s="7">
        <v>125</v>
      </c>
    </row>
    <row r="1316" spans="1:16" s="10" customFormat="1">
      <c r="A1316" s="7">
        <f>IF(B1316="","",SUBTOTAL(103,$B$2:B1316))</f>
        <v>1315</v>
      </c>
      <c r="B1316" s="8" t="s">
        <v>3578</v>
      </c>
      <c r="C1316" s="7" t="s">
        <v>3590</v>
      </c>
      <c r="D1316" s="9" t="s">
        <v>3593</v>
      </c>
      <c r="E1316" s="7" t="s">
        <v>3581</v>
      </c>
      <c r="F1316" s="7" t="s">
        <v>1315</v>
      </c>
      <c r="G1316" s="7" t="s">
        <v>3594</v>
      </c>
      <c r="H1316" s="7">
        <v>2.3E-2</v>
      </c>
      <c r="I1316" s="7">
        <v>124</v>
      </c>
      <c r="J1316" s="7">
        <v>800</v>
      </c>
      <c r="K1316" s="7">
        <v>600</v>
      </c>
      <c r="L1316" s="7">
        <v>150</v>
      </c>
      <c r="M1316" s="7">
        <v>30</v>
      </c>
      <c r="N1316" s="7">
        <v>60</v>
      </c>
      <c r="O1316" s="7">
        <v>25</v>
      </c>
      <c r="P1316" s="7">
        <v>125</v>
      </c>
    </row>
    <row r="1317" spans="1:16" s="10" customFormat="1">
      <c r="A1317" s="7">
        <f>IF(B1317="","",SUBTOTAL(103,$B$2:B1317))</f>
        <v>1316</v>
      </c>
      <c r="B1317" s="8" t="s">
        <v>3578</v>
      </c>
      <c r="C1317" s="7" t="s">
        <v>3595</v>
      </c>
      <c r="D1317" s="9" t="s">
        <v>3596</v>
      </c>
      <c r="E1317" s="7" t="s">
        <v>3581</v>
      </c>
      <c r="F1317" s="7" t="s">
        <v>1318</v>
      </c>
      <c r="G1317" s="7" t="s">
        <v>3597</v>
      </c>
      <c r="H1317" s="7">
        <v>1.2E-2</v>
      </c>
      <c r="I1317" s="7">
        <v>140</v>
      </c>
      <c r="J1317" s="7">
        <v>800</v>
      </c>
      <c r="K1317" s="7">
        <v>600</v>
      </c>
      <c r="L1317" s="7">
        <v>150</v>
      </c>
      <c r="M1317" s="7">
        <v>30</v>
      </c>
      <c r="N1317" s="7">
        <v>60</v>
      </c>
      <c r="O1317" s="7">
        <v>20</v>
      </c>
      <c r="P1317" s="7">
        <v>115</v>
      </c>
    </row>
    <row r="1318" spans="1:16" s="10" customFormat="1">
      <c r="A1318" s="7">
        <f>IF(B1318="","",SUBTOTAL(103,$B$2:B1318))</f>
        <v>1317</v>
      </c>
      <c r="B1318" s="8" t="s">
        <v>3578</v>
      </c>
      <c r="C1318" s="7" t="s">
        <v>3595</v>
      </c>
      <c r="D1318" s="9" t="s">
        <v>3598</v>
      </c>
      <c r="E1318" s="7" t="s">
        <v>3581</v>
      </c>
      <c r="F1318" s="7" t="s">
        <v>1322</v>
      </c>
      <c r="G1318" s="7" t="s">
        <v>3599</v>
      </c>
      <c r="H1318" s="7">
        <v>1.2E-2</v>
      </c>
      <c r="I1318" s="7">
        <v>140</v>
      </c>
      <c r="J1318" s="7">
        <v>800</v>
      </c>
      <c r="K1318" s="7">
        <v>600</v>
      </c>
      <c r="L1318" s="7">
        <v>150</v>
      </c>
      <c r="M1318" s="7">
        <v>30</v>
      </c>
      <c r="N1318" s="7">
        <v>60</v>
      </c>
      <c r="O1318" s="7">
        <v>20</v>
      </c>
      <c r="P1318" s="7">
        <v>115</v>
      </c>
    </row>
    <row r="1319" spans="1:16" s="10" customFormat="1">
      <c r="A1319" s="7">
        <f>IF(B1319="","",SUBTOTAL(103,$B$2:B1319))</f>
        <v>1318</v>
      </c>
      <c r="B1319" s="8" t="s">
        <v>3578</v>
      </c>
      <c r="C1319" s="7" t="s">
        <v>3600</v>
      </c>
      <c r="D1319" s="9" t="s">
        <v>3601</v>
      </c>
      <c r="E1319" s="7" t="s">
        <v>3581</v>
      </c>
      <c r="F1319" s="7" t="s">
        <v>1325</v>
      </c>
      <c r="G1319" s="7" t="s">
        <v>3602</v>
      </c>
      <c r="H1319" s="7">
        <v>0.317</v>
      </c>
      <c r="I1319" s="7">
        <v>15</v>
      </c>
      <c r="J1319" s="7">
        <v>800</v>
      </c>
      <c r="K1319" s="7">
        <v>600</v>
      </c>
      <c r="L1319" s="7">
        <v>150</v>
      </c>
      <c r="M1319" s="7">
        <v>30</v>
      </c>
      <c r="N1319" s="7">
        <v>60</v>
      </c>
      <c r="O1319" s="7">
        <v>120</v>
      </c>
      <c r="P1319" s="7">
        <v>225</v>
      </c>
    </row>
    <row r="1320" spans="1:16" s="10" customFormat="1">
      <c r="A1320" s="7">
        <f>IF(B1320="","",SUBTOTAL(103,$B$2:B1320))</f>
        <v>1319</v>
      </c>
      <c r="B1320" s="8" t="s">
        <v>3578</v>
      </c>
      <c r="C1320" s="7" t="s">
        <v>3600</v>
      </c>
      <c r="D1320" s="9" t="s">
        <v>3603</v>
      </c>
      <c r="E1320" s="7" t="s">
        <v>3581</v>
      </c>
      <c r="F1320" s="7" t="s">
        <v>1328</v>
      </c>
      <c r="G1320" s="7" t="s">
        <v>3604</v>
      </c>
      <c r="H1320" s="7">
        <v>0.317</v>
      </c>
      <c r="I1320" s="7">
        <v>15</v>
      </c>
      <c r="J1320" s="7">
        <v>800</v>
      </c>
      <c r="K1320" s="7">
        <v>600</v>
      </c>
      <c r="L1320" s="7">
        <v>150</v>
      </c>
      <c r="M1320" s="7">
        <v>30</v>
      </c>
      <c r="N1320" s="7">
        <v>60</v>
      </c>
      <c r="O1320" s="7">
        <v>120</v>
      </c>
      <c r="P1320" s="7">
        <v>225</v>
      </c>
    </row>
    <row r="1321" spans="1:16" s="10" customFormat="1">
      <c r="A1321" s="7">
        <f>IF(B1321="","",SUBTOTAL(103,$B$2:B1321))</f>
        <v>1320</v>
      </c>
      <c r="B1321" s="8" t="s">
        <v>3578</v>
      </c>
      <c r="C1321" s="7" t="s">
        <v>3605</v>
      </c>
      <c r="D1321" s="9" t="s">
        <v>3606</v>
      </c>
      <c r="E1321" s="7" t="s">
        <v>3581</v>
      </c>
      <c r="F1321" s="7" t="s">
        <v>1331</v>
      </c>
      <c r="G1321" s="7" t="s">
        <v>3607</v>
      </c>
      <c r="H1321" s="7">
        <v>0.252</v>
      </c>
      <c r="I1321" s="7">
        <v>24</v>
      </c>
      <c r="J1321" s="7">
        <v>800</v>
      </c>
      <c r="K1321" s="7">
        <v>600</v>
      </c>
      <c r="L1321" s="7">
        <v>150</v>
      </c>
      <c r="M1321" s="7">
        <v>30</v>
      </c>
      <c r="N1321" s="7">
        <v>60</v>
      </c>
      <c r="O1321" s="7">
        <v>75</v>
      </c>
      <c r="P1321" s="7">
        <v>215</v>
      </c>
    </row>
    <row r="1322" spans="1:16" s="10" customFormat="1">
      <c r="A1322" s="7">
        <f>IF(B1322="","",SUBTOTAL(103,$B$2:B1322))</f>
        <v>1321</v>
      </c>
      <c r="B1322" s="8" t="s">
        <v>3578</v>
      </c>
      <c r="C1322" s="7" t="s">
        <v>3605</v>
      </c>
      <c r="D1322" s="9" t="s">
        <v>3608</v>
      </c>
      <c r="E1322" s="7" t="s">
        <v>3581</v>
      </c>
      <c r="F1322" s="7" t="s">
        <v>1334</v>
      </c>
      <c r="G1322" s="7" t="s">
        <v>3609</v>
      </c>
      <c r="H1322" s="7">
        <v>0.252</v>
      </c>
      <c r="I1322" s="7">
        <v>24</v>
      </c>
      <c r="J1322" s="7">
        <v>800</v>
      </c>
      <c r="K1322" s="7">
        <v>600</v>
      </c>
      <c r="L1322" s="7">
        <v>150</v>
      </c>
      <c r="M1322" s="7">
        <v>30</v>
      </c>
      <c r="N1322" s="7">
        <v>60</v>
      </c>
      <c r="O1322" s="7">
        <v>75</v>
      </c>
      <c r="P1322" s="7">
        <v>215</v>
      </c>
    </row>
    <row r="1323" spans="1:16" s="10" customFormat="1">
      <c r="A1323" s="7">
        <f>IF(B1323="","",SUBTOTAL(103,$B$2:B1323))</f>
        <v>1322</v>
      </c>
      <c r="B1323" s="8" t="s">
        <v>3578</v>
      </c>
      <c r="C1323" s="7" t="s">
        <v>3610</v>
      </c>
      <c r="D1323" s="9" t="s">
        <v>3611</v>
      </c>
      <c r="E1323" s="7" t="s">
        <v>3581</v>
      </c>
      <c r="F1323" s="7" t="s">
        <v>1339</v>
      </c>
      <c r="G1323" s="7" t="s">
        <v>3612</v>
      </c>
      <c r="H1323" s="7">
        <v>0.49</v>
      </c>
      <c r="I1323" s="7">
        <v>12</v>
      </c>
      <c r="J1323" s="7">
        <v>800</v>
      </c>
      <c r="K1323" s="7">
        <v>600</v>
      </c>
      <c r="L1323" s="7">
        <v>150</v>
      </c>
      <c r="M1323" s="7">
        <v>30</v>
      </c>
      <c r="N1323" s="7">
        <v>60</v>
      </c>
      <c r="O1323" s="7">
        <v>150</v>
      </c>
      <c r="P1323" s="7">
        <v>500</v>
      </c>
    </row>
    <row r="1324" spans="1:16" s="10" customFormat="1">
      <c r="A1324" s="7">
        <f>IF(B1324="","",SUBTOTAL(103,$B$2:B1324))</f>
        <v>1323</v>
      </c>
      <c r="B1324" s="8" t="s">
        <v>3578</v>
      </c>
      <c r="C1324" s="7" t="s">
        <v>3610</v>
      </c>
      <c r="D1324" s="9" t="s">
        <v>3613</v>
      </c>
      <c r="E1324" s="7" t="s">
        <v>3581</v>
      </c>
      <c r="F1324" s="7" t="s">
        <v>1342</v>
      </c>
      <c r="G1324" s="7" t="s">
        <v>3614</v>
      </c>
      <c r="H1324" s="7">
        <v>0.49</v>
      </c>
      <c r="I1324" s="7">
        <v>12</v>
      </c>
      <c r="J1324" s="7">
        <v>800</v>
      </c>
      <c r="K1324" s="7">
        <v>600</v>
      </c>
      <c r="L1324" s="7">
        <v>150</v>
      </c>
      <c r="M1324" s="7">
        <v>30</v>
      </c>
      <c r="N1324" s="7">
        <v>60</v>
      </c>
      <c r="O1324" s="7">
        <v>150</v>
      </c>
      <c r="P1324" s="7">
        <v>500</v>
      </c>
    </row>
    <row r="1325" spans="1:16" s="10" customFormat="1">
      <c r="A1325" s="7">
        <f>IF(B1325="","",SUBTOTAL(103,$B$2:B1325))</f>
        <v>1324</v>
      </c>
      <c r="B1325" s="8" t="s">
        <v>3578</v>
      </c>
      <c r="C1325" s="7" t="s">
        <v>3615</v>
      </c>
      <c r="D1325" s="9" t="s">
        <v>3616</v>
      </c>
      <c r="E1325" s="7" t="s">
        <v>3581</v>
      </c>
      <c r="F1325" s="7" t="s">
        <v>1345</v>
      </c>
      <c r="G1325" s="7" t="s">
        <v>3617</v>
      </c>
      <c r="H1325" s="7">
        <v>0.84399999999999997</v>
      </c>
      <c r="I1325" s="7">
        <v>6</v>
      </c>
      <c r="J1325" s="7">
        <v>800</v>
      </c>
      <c r="K1325" s="7">
        <v>600</v>
      </c>
      <c r="L1325" s="7">
        <v>150</v>
      </c>
      <c r="M1325" s="7">
        <v>30</v>
      </c>
      <c r="N1325" s="7">
        <v>60</v>
      </c>
      <c r="O1325" s="7">
        <v>310</v>
      </c>
      <c r="P1325" s="7">
        <v>350</v>
      </c>
    </row>
    <row r="1326" spans="1:16" s="10" customFormat="1">
      <c r="A1326" s="7">
        <f>IF(B1326="","",SUBTOTAL(103,$B$2:B1326))</f>
        <v>1325</v>
      </c>
      <c r="B1326" s="8" t="s">
        <v>3578</v>
      </c>
      <c r="C1326" s="7" t="s">
        <v>3615</v>
      </c>
      <c r="D1326" s="9" t="s">
        <v>3618</v>
      </c>
      <c r="E1326" s="7" t="s">
        <v>3581</v>
      </c>
      <c r="F1326" s="7" t="s">
        <v>1348</v>
      </c>
      <c r="G1326" s="7" t="s">
        <v>3619</v>
      </c>
      <c r="H1326" s="7">
        <v>0.84399999999999997</v>
      </c>
      <c r="I1326" s="7">
        <v>6</v>
      </c>
      <c r="J1326" s="7">
        <v>800</v>
      </c>
      <c r="K1326" s="7">
        <v>600</v>
      </c>
      <c r="L1326" s="7">
        <v>150</v>
      </c>
      <c r="M1326" s="7">
        <v>30</v>
      </c>
      <c r="N1326" s="7">
        <v>60</v>
      </c>
      <c r="O1326" s="7">
        <v>310</v>
      </c>
      <c r="P1326" s="7">
        <v>350</v>
      </c>
    </row>
    <row r="1327" spans="1:16" s="10" customFormat="1">
      <c r="A1327" s="7">
        <f>IF(B1327="","",SUBTOTAL(103,$B$2:B1327))</f>
        <v>1326</v>
      </c>
      <c r="B1327" s="8" t="s">
        <v>3578</v>
      </c>
      <c r="C1327" s="7" t="s">
        <v>3620</v>
      </c>
      <c r="D1327" s="9" t="s">
        <v>3621</v>
      </c>
      <c r="E1327" s="7" t="s">
        <v>3581</v>
      </c>
      <c r="F1327" s="7" t="s">
        <v>1351</v>
      </c>
      <c r="G1327" s="7" t="s">
        <v>3622</v>
      </c>
      <c r="H1327" s="7">
        <v>1.3260000000000001</v>
      </c>
      <c r="I1327" s="7">
        <v>5</v>
      </c>
      <c r="J1327" s="7">
        <v>800</v>
      </c>
      <c r="K1327" s="7">
        <v>600</v>
      </c>
      <c r="L1327" s="7">
        <v>150</v>
      </c>
      <c r="M1327" s="7">
        <v>30</v>
      </c>
      <c r="N1327" s="7">
        <v>60</v>
      </c>
      <c r="O1327" s="7">
        <v>400</v>
      </c>
      <c r="P1327" s="7">
        <v>565</v>
      </c>
    </row>
    <row r="1328" spans="1:16" s="10" customFormat="1">
      <c r="A1328" s="7">
        <f>IF(B1328="","",SUBTOTAL(103,$B$2:B1328))</f>
        <v>1327</v>
      </c>
      <c r="B1328" s="8" t="s">
        <v>3578</v>
      </c>
      <c r="C1328" s="7" t="s">
        <v>3620</v>
      </c>
      <c r="D1328" s="9" t="s">
        <v>3623</v>
      </c>
      <c r="E1328" s="7" t="s">
        <v>3581</v>
      </c>
      <c r="F1328" s="7" t="s">
        <v>1354</v>
      </c>
      <c r="G1328" s="7" t="s">
        <v>3624</v>
      </c>
      <c r="H1328" s="7">
        <v>1.3260000000000001</v>
      </c>
      <c r="I1328" s="7">
        <v>5</v>
      </c>
      <c r="J1328" s="7">
        <v>800</v>
      </c>
      <c r="K1328" s="7">
        <v>600</v>
      </c>
      <c r="L1328" s="7">
        <v>150</v>
      </c>
      <c r="M1328" s="7">
        <v>30</v>
      </c>
      <c r="N1328" s="7">
        <v>60</v>
      </c>
      <c r="O1328" s="7">
        <v>400</v>
      </c>
      <c r="P1328" s="7">
        <v>565</v>
      </c>
    </row>
    <row r="1329" spans="1:16" s="10" customFormat="1">
      <c r="A1329" s="7">
        <f>IF(B1329="","",SUBTOTAL(103,$B$2:B1329))</f>
        <v>1328</v>
      </c>
      <c r="B1329" s="8" t="s">
        <v>3578</v>
      </c>
      <c r="C1329" s="7" t="s">
        <v>3625</v>
      </c>
      <c r="D1329" s="9" t="s">
        <v>3626</v>
      </c>
      <c r="E1329" s="7" t="s">
        <v>3581</v>
      </c>
      <c r="F1329" s="7" t="s">
        <v>1357</v>
      </c>
      <c r="G1329" s="7" t="s">
        <v>3627</v>
      </c>
      <c r="H1329" s="7">
        <v>8.5000000000000006E-2</v>
      </c>
      <c r="I1329" s="7">
        <v>32</v>
      </c>
      <c r="J1329" s="7">
        <v>800</v>
      </c>
      <c r="K1329" s="7">
        <v>600</v>
      </c>
      <c r="L1329" s="7">
        <v>150</v>
      </c>
      <c r="M1329" s="7">
        <v>30</v>
      </c>
      <c r="N1329" s="7">
        <v>60</v>
      </c>
      <c r="O1329" s="7">
        <v>54</v>
      </c>
      <c r="P1329" s="7">
        <v>155</v>
      </c>
    </row>
    <row r="1330" spans="1:16" s="10" customFormat="1">
      <c r="A1330" s="7">
        <f>IF(B1330="","",SUBTOTAL(103,$B$2:B1330))</f>
        <v>1329</v>
      </c>
      <c r="B1330" s="8" t="s">
        <v>3578</v>
      </c>
      <c r="C1330" s="7" t="s">
        <v>3625</v>
      </c>
      <c r="D1330" s="9" t="s">
        <v>3628</v>
      </c>
      <c r="E1330" s="7" t="s">
        <v>3581</v>
      </c>
      <c r="F1330" s="7" t="s">
        <v>1360</v>
      </c>
      <c r="G1330" s="7" t="s">
        <v>3629</v>
      </c>
      <c r="H1330" s="7">
        <v>8.5000000000000006E-2</v>
      </c>
      <c r="I1330" s="7">
        <v>32</v>
      </c>
      <c r="J1330" s="7">
        <v>800</v>
      </c>
      <c r="K1330" s="7">
        <v>600</v>
      </c>
      <c r="L1330" s="7">
        <v>150</v>
      </c>
      <c r="M1330" s="7">
        <v>30</v>
      </c>
      <c r="N1330" s="7">
        <v>60</v>
      </c>
      <c r="O1330" s="7">
        <v>54</v>
      </c>
      <c r="P1330" s="7">
        <v>155</v>
      </c>
    </row>
    <row r="1331" spans="1:16" s="10" customFormat="1">
      <c r="A1331" s="7">
        <f>IF(B1331="","",SUBTOTAL(103,$B$2:B1331))</f>
        <v>1330</v>
      </c>
      <c r="B1331" s="8" t="s">
        <v>3578</v>
      </c>
      <c r="C1331" s="7" t="s">
        <v>3630</v>
      </c>
      <c r="D1331" s="9" t="s">
        <v>3631</v>
      </c>
      <c r="E1331" s="7" t="s">
        <v>3581</v>
      </c>
      <c r="F1331" s="7" t="s">
        <v>1363</v>
      </c>
      <c r="G1331" s="7" t="s">
        <v>3632</v>
      </c>
      <c r="H1331" s="7">
        <v>3.5999999999999997E-2</v>
      </c>
      <c r="I1331" s="7">
        <v>80</v>
      </c>
      <c r="J1331" s="7">
        <v>800</v>
      </c>
      <c r="K1331" s="7">
        <v>600</v>
      </c>
      <c r="L1331" s="7">
        <v>150</v>
      </c>
      <c r="M1331" s="7">
        <v>30</v>
      </c>
      <c r="N1331" s="7">
        <v>60</v>
      </c>
      <c r="O1331" s="7">
        <v>25</v>
      </c>
      <c r="P1331" s="7">
        <v>135</v>
      </c>
    </row>
    <row r="1332" spans="1:16" s="10" customFormat="1">
      <c r="A1332" s="7">
        <f>IF(B1332="","",SUBTOTAL(103,$B$2:B1332))</f>
        <v>1331</v>
      </c>
      <c r="B1332" s="8" t="s">
        <v>3578</v>
      </c>
      <c r="C1332" s="7" t="s">
        <v>3630</v>
      </c>
      <c r="D1332" s="9" t="s">
        <v>3633</v>
      </c>
      <c r="E1332" s="7" t="s">
        <v>3581</v>
      </c>
      <c r="F1332" s="7" t="s">
        <v>1366</v>
      </c>
      <c r="G1332" s="7" t="s">
        <v>3634</v>
      </c>
      <c r="H1332" s="7">
        <v>3.5999999999999997E-2</v>
      </c>
      <c r="I1332" s="7">
        <v>80</v>
      </c>
      <c r="J1332" s="7">
        <v>800</v>
      </c>
      <c r="K1332" s="7">
        <v>600</v>
      </c>
      <c r="L1332" s="7">
        <v>150</v>
      </c>
      <c r="M1332" s="7">
        <v>30</v>
      </c>
      <c r="N1332" s="7">
        <v>60</v>
      </c>
      <c r="O1332" s="7">
        <v>25</v>
      </c>
      <c r="P1332" s="7">
        <v>135</v>
      </c>
    </row>
    <row r="1333" spans="1:16" s="10" customFormat="1">
      <c r="A1333" s="7">
        <f>IF(B1333="","",SUBTOTAL(103,$B$2:B1333))</f>
        <v>1332</v>
      </c>
      <c r="B1333" s="8" t="s">
        <v>3578</v>
      </c>
      <c r="C1333" s="7" t="s">
        <v>3635</v>
      </c>
      <c r="D1333" s="9" t="s">
        <v>3636</v>
      </c>
      <c r="E1333" s="7" t="s">
        <v>3581</v>
      </c>
      <c r="F1333" s="7" t="s">
        <v>1369</v>
      </c>
      <c r="G1333" s="7" t="s">
        <v>3637</v>
      </c>
      <c r="H1333" s="7">
        <v>2.181</v>
      </c>
      <c r="I1333" s="7">
        <v>4</v>
      </c>
      <c r="J1333" s="7">
        <v>800</v>
      </c>
      <c r="K1333" s="7">
        <v>600</v>
      </c>
      <c r="L1333" s="7">
        <v>150</v>
      </c>
      <c r="M1333" s="7">
        <v>30</v>
      </c>
      <c r="N1333" s="7">
        <v>60</v>
      </c>
      <c r="O1333" s="7">
        <v>500</v>
      </c>
      <c r="P1333" s="7">
        <v>600</v>
      </c>
    </row>
    <row r="1334" spans="1:16" s="10" customFormat="1">
      <c r="A1334" s="7">
        <f>IF(B1334="","",SUBTOTAL(103,$B$2:B1334))</f>
        <v>1333</v>
      </c>
      <c r="B1334" s="8" t="s">
        <v>3578</v>
      </c>
      <c r="C1334" s="7" t="s">
        <v>3635</v>
      </c>
      <c r="D1334" s="9" t="s">
        <v>3638</v>
      </c>
      <c r="E1334" s="7" t="s">
        <v>3581</v>
      </c>
      <c r="F1334" s="7" t="s">
        <v>1372</v>
      </c>
      <c r="G1334" s="7" t="s">
        <v>3639</v>
      </c>
      <c r="H1334" s="7">
        <v>2.181</v>
      </c>
      <c r="I1334" s="7">
        <v>4</v>
      </c>
      <c r="J1334" s="7">
        <v>800</v>
      </c>
      <c r="K1334" s="7">
        <v>600</v>
      </c>
      <c r="L1334" s="7">
        <v>150</v>
      </c>
      <c r="M1334" s="7">
        <v>30</v>
      </c>
      <c r="N1334" s="7">
        <v>60</v>
      </c>
      <c r="O1334" s="7">
        <v>500</v>
      </c>
      <c r="P1334" s="7">
        <v>600</v>
      </c>
    </row>
    <row r="1335" spans="1:16" s="10" customFormat="1">
      <c r="A1335" s="7">
        <f>IF(B1335="","",SUBTOTAL(103,$B$2:B1335))</f>
        <v>1334</v>
      </c>
      <c r="B1335" s="8" t="s">
        <v>3640</v>
      </c>
      <c r="C1335" s="7" t="s">
        <v>3641</v>
      </c>
      <c r="D1335" s="9" t="s">
        <v>3642</v>
      </c>
      <c r="E1335" s="7" t="s">
        <v>3643</v>
      </c>
      <c r="F1335" s="7" t="s">
        <v>1066</v>
      </c>
      <c r="G1335" s="7" t="s">
        <v>3644</v>
      </c>
      <c r="H1335" s="7">
        <v>0.107</v>
      </c>
      <c r="I1335" s="7">
        <v>38</v>
      </c>
      <c r="J1335" s="7">
        <v>800</v>
      </c>
      <c r="K1335" s="7">
        <v>600</v>
      </c>
      <c r="L1335" s="7">
        <v>150</v>
      </c>
      <c r="M1335" s="7">
        <v>30</v>
      </c>
      <c r="N1335" s="7">
        <v>60</v>
      </c>
      <c r="O1335" s="7">
        <v>50</v>
      </c>
      <c r="P1335" s="7">
        <v>165</v>
      </c>
    </row>
    <row r="1336" spans="1:16" s="10" customFormat="1">
      <c r="A1336" s="7">
        <f>IF(B1336="","",SUBTOTAL(103,$B$2:B1336))</f>
        <v>1335</v>
      </c>
      <c r="B1336" s="8" t="s">
        <v>3640</v>
      </c>
      <c r="C1336" s="7" t="s">
        <v>3641</v>
      </c>
      <c r="D1336" s="9" t="s">
        <v>3645</v>
      </c>
      <c r="E1336" s="7" t="s">
        <v>3643</v>
      </c>
      <c r="F1336" s="7" t="s">
        <v>1069</v>
      </c>
      <c r="G1336" s="7" t="s">
        <v>3646</v>
      </c>
      <c r="H1336" s="7">
        <v>1.9E-2</v>
      </c>
      <c r="I1336" s="7">
        <v>38</v>
      </c>
      <c r="J1336" s="7">
        <v>800</v>
      </c>
      <c r="K1336" s="7">
        <v>600</v>
      </c>
      <c r="L1336" s="7">
        <v>150</v>
      </c>
      <c r="M1336" s="7">
        <v>30</v>
      </c>
      <c r="N1336" s="7">
        <v>60</v>
      </c>
      <c r="O1336" s="7">
        <v>50</v>
      </c>
      <c r="P1336" s="7">
        <v>165</v>
      </c>
    </row>
    <row r="1337" spans="1:16" s="10" customFormat="1">
      <c r="A1337" s="7">
        <f>IF(B1337="","",SUBTOTAL(103,$B$2:B1337))</f>
        <v>1336</v>
      </c>
      <c r="B1337" s="8" t="s">
        <v>3640</v>
      </c>
      <c r="C1337" s="7" t="s">
        <v>3647</v>
      </c>
      <c r="D1337" s="9" t="s">
        <v>3648</v>
      </c>
      <c r="E1337" s="7" t="s">
        <v>3643</v>
      </c>
      <c r="F1337" s="7" t="s">
        <v>1073</v>
      </c>
      <c r="G1337" s="7" t="s">
        <v>3649</v>
      </c>
      <c r="H1337" s="7">
        <v>4.1000000000000002E-2</v>
      </c>
      <c r="I1337" s="7">
        <v>68</v>
      </c>
      <c r="J1337" s="7">
        <v>800</v>
      </c>
      <c r="K1337" s="7">
        <v>600</v>
      </c>
      <c r="L1337" s="7">
        <v>150</v>
      </c>
      <c r="M1337" s="7">
        <v>30</v>
      </c>
      <c r="N1337" s="7">
        <v>60</v>
      </c>
      <c r="O1337" s="7">
        <v>30</v>
      </c>
      <c r="P1337" s="7">
        <v>145</v>
      </c>
    </row>
    <row r="1338" spans="1:16" s="10" customFormat="1">
      <c r="A1338" s="7">
        <f>IF(B1338="","",SUBTOTAL(103,$B$2:B1338))</f>
        <v>1337</v>
      </c>
      <c r="B1338" s="8" t="s">
        <v>3640</v>
      </c>
      <c r="C1338" s="7" t="s">
        <v>3647</v>
      </c>
      <c r="D1338" s="9" t="s">
        <v>3650</v>
      </c>
      <c r="E1338" s="7" t="s">
        <v>3643</v>
      </c>
      <c r="F1338" s="7" t="s">
        <v>1076</v>
      </c>
      <c r="G1338" s="7" t="s">
        <v>3651</v>
      </c>
      <c r="H1338" s="7">
        <v>4.1000000000000002E-2</v>
      </c>
      <c r="I1338" s="7">
        <v>68</v>
      </c>
      <c r="J1338" s="7">
        <v>800</v>
      </c>
      <c r="K1338" s="7">
        <v>600</v>
      </c>
      <c r="L1338" s="7">
        <v>150</v>
      </c>
      <c r="M1338" s="7">
        <v>30</v>
      </c>
      <c r="N1338" s="7">
        <v>60</v>
      </c>
      <c r="O1338" s="7">
        <v>30</v>
      </c>
      <c r="P1338" s="7">
        <v>145</v>
      </c>
    </row>
    <row r="1339" spans="1:16" s="10" customFormat="1">
      <c r="A1339" s="7">
        <f>IF(B1339="","",SUBTOTAL(103,$B$2:B1339))</f>
        <v>1338</v>
      </c>
      <c r="B1339" s="8" t="s">
        <v>3640</v>
      </c>
      <c r="C1339" s="7" t="s">
        <v>3652</v>
      </c>
      <c r="D1339" s="9" t="s">
        <v>3653</v>
      </c>
      <c r="E1339" s="7" t="s">
        <v>3643</v>
      </c>
      <c r="F1339" s="7" t="s">
        <v>998</v>
      </c>
      <c r="G1339" s="7" t="s">
        <v>3654</v>
      </c>
      <c r="H1339" s="7">
        <v>1.9E-2</v>
      </c>
      <c r="I1339" s="7">
        <v>124</v>
      </c>
      <c r="J1339" s="7">
        <v>800</v>
      </c>
      <c r="K1339" s="7">
        <v>600</v>
      </c>
      <c r="L1339" s="7">
        <v>150</v>
      </c>
      <c r="M1339" s="7">
        <v>30</v>
      </c>
      <c r="N1339" s="7">
        <v>60</v>
      </c>
      <c r="O1339" s="7">
        <v>25</v>
      </c>
      <c r="P1339" s="7">
        <v>125</v>
      </c>
    </row>
    <row r="1340" spans="1:16" s="10" customFormat="1">
      <c r="A1340" s="7">
        <f>IF(B1340="","",SUBTOTAL(103,$B$2:B1340))</f>
        <v>1339</v>
      </c>
      <c r="B1340" s="8" t="s">
        <v>3640</v>
      </c>
      <c r="C1340" s="7" t="s">
        <v>3652</v>
      </c>
      <c r="D1340" s="9" t="s">
        <v>3655</v>
      </c>
      <c r="E1340" s="7" t="s">
        <v>3643</v>
      </c>
      <c r="F1340" s="7" t="s">
        <v>1081</v>
      </c>
      <c r="G1340" s="7" t="s">
        <v>3656</v>
      </c>
      <c r="H1340" s="7">
        <v>6.2E-2</v>
      </c>
      <c r="I1340" s="7">
        <v>124</v>
      </c>
      <c r="J1340" s="7">
        <v>800</v>
      </c>
      <c r="K1340" s="7">
        <v>600</v>
      </c>
      <c r="L1340" s="7">
        <v>150</v>
      </c>
      <c r="M1340" s="7">
        <v>30</v>
      </c>
      <c r="N1340" s="7">
        <v>60</v>
      </c>
      <c r="O1340" s="7">
        <v>25</v>
      </c>
      <c r="P1340" s="7">
        <v>125</v>
      </c>
    </row>
    <row r="1341" spans="1:16" s="10" customFormat="1">
      <c r="A1341" s="7">
        <f>IF(B1341="","",SUBTOTAL(103,$B$2:B1341))</f>
        <v>1340</v>
      </c>
      <c r="B1341" s="8" t="s">
        <v>3640</v>
      </c>
      <c r="C1341" s="7" t="s">
        <v>3657</v>
      </c>
      <c r="D1341" s="9" t="s">
        <v>3658</v>
      </c>
      <c r="E1341" s="7" t="s">
        <v>3643</v>
      </c>
      <c r="F1341" s="7" t="s">
        <v>1085</v>
      </c>
      <c r="G1341" s="7" t="s">
        <v>3659</v>
      </c>
      <c r="H1341" s="7">
        <v>9.9000000000000005E-2</v>
      </c>
      <c r="I1341" s="7">
        <v>140</v>
      </c>
      <c r="J1341" s="7">
        <v>800</v>
      </c>
      <c r="K1341" s="7">
        <v>600</v>
      </c>
      <c r="L1341" s="7">
        <v>150</v>
      </c>
      <c r="M1341" s="7">
        <v>30</v>
      </c>
      <c r="N1341" s="7">
        <v>60</v>
      </c>
      <c r="O1341" s="7">
        <v>20</v>
      </c>
      <c r="P1341" s="7">
        <v>115</v>
      </c>
    </row>
    <row r="1342" spans="1:16" s="10" customFormat="1">
      <c r="A1342" s="7">
        <f>IF(B1342="","",SUBTOTAL(103,$B$2:B1342))</f>
        <v>1341</v>
      </c>
      <c r="B1342" s="8" t="s">
        <v>3640</v>
      </c>
      <c r="C1342" s="7" t="s">
        <v>3657</v>
      </c>
      <c r="D1342" s="9" t="s">
        <v>3660</v>
      </c>
      <c r="E1342" s="7" t="s">
        <v>3643</v>
      </c>
      <c r="F1342" s="7" t="s">
        <v>1088</v>
      </c>
      <c r="G1342" s="7" t="s">
        <v>3661</v>
      </c>
      <c r="H1342" s="7">
        <v>9.9000000000000005E-2</v>
      </c>
      <c r="I1342" s="7">
        <v>140</v>
      </c>
      <c r="J1342" s="7">
        <v>800</v>
      </c>
      <c r="K1342" s="7">
        <v>600</v>
      </c>
      <c r="L1342" s="7">
        <v>150</v>
      </c>
      <c r="M1342" s="7">
        <v>30</v>
      </c>
      <c r="N1342" s="7">
        <v>60</v>
      </c>
      <c r="O1342" s="7">
        <v>20</v>
      </c>
      <c r="P1342" s="7">
        <v>115</v>
      </c>
    </row>
    <row r="1343" spans="1:16" s="10" customFormat="1">
      <c r="A1343" s="7">
        <f>IF(B1343="","",SUBTOTAL(103,$B$2:B1343))</f>
        <v>1342</v>
      </c>
      <c r="B1343" s="8" t="s">
        <v>3640</v>
      </c>
      <c r="C1343" s="7" t="s">
        <v>3662</v>
      </c>
      <c r="D1343" s="9" t="s">
        <v>3663</v>
      </c>
      <c r="E1343" s="7" t="s">
        <v>3643</v>
      </c>
      <c r="F1343" s="7" t="s">
        <v>1092</v>
      </c>
      <c r="G1343" s="7" t="s">
        <v>3664</v>
      </c>
      <c r="H1343" s="7">
        <v>0.191</v>
      </c>
      <c r="I1343" s="7">
        <v>18</v>
      </c>
      <c r="J1343" s="7">
        <v>800</v>
      </c>
      <c r="K1343" s="7">
        <v>600</v>
      </c>
      <c r="L1343" s="7">
        <v>150</v>
      </c>
      <c r="M1343" s="7">
        <v>30</v>
      </c>
      <c r="N1343" s="7">
        <v>60</v>
      </c>
      <c r="O1343" s="7">
        <v>100</v>
      </c>
      <c r="P1343" s="7">
        <v>225</v>
      </c>
    </row>
    <row r="1344" spans="1:16" s="10" customFormat="1">
      <c r="A1344" s="7">
        <f>IF(B1344="","",SUBTOTAL(103,$B$2:B1344))</f>
        <v>1343</v>
      </c>
      <c r="B1344" s="8" t="s">
        <v>3640</v>
      </c>
      <c r="C1344" s="7" t="s">
        <v>3662</v>
      </c>
      <c r="D1344" s="9" t="s">
        <v>3665</v>
      </c>
      <c r="E1344" s="7" t="s">
        <v>3643</v>
      </c>
      <c r="F1344" s="7" t="s">
        <v>1095</v>
      </c>
      <c r="G1344" s="7" t="s">
        <v>3666</v>
      </c>
      <c r="H1344" s="7">
        <v>0.191</v>
      </c>
      <c r="I1344" s="7">
        <v>18</v>
      </c>
      <c r="J1344" s="7">
        <v>800</v>
      </c>
      <c r="K1344" s="7">
        <v>600</v>
      </c>
      <c r="L1344" s="7">
        <v>150</v>
      </c>
      <c r="M1344" s="7">
        <v>30</v>
      </c>
      <c r="N1344" s="7">
        <v>60</v>
      </c>
      <c r="O1344" s="7">
        <v>100</v>
      </c>
      <c r="P1344" s="7">
        <v>225</v>
      </c>
    </row>
    <row r="1345" spans="1:16" s="10" customFormat="1">
      <c r="A1345" s="7">
        <f>IF(B1345="","",SUBTOTAL(103,$B$2:B1345))</f>
        <v>1344</v>
      </c>
      <c r="B1345" s="8" t="s">
        <v>3640</v>
      </c>
      <c r="C1345" s="7" t="s">
        <v>3667</v>
      </c>
      <c r="D1345" s="9" t="s">
        <v>3668</v>
      </c>
      <c r="E1345" s="7" t="s">
        <v>3643</v>
      </c>
      <c r="F1345" s="7" t="s">
        <v>1099</v>
      </c>
      <c r="G1345" s="7" t="s">
        <v>3669</v>
      </c>
      <c r="H1345" s="7">
        <v>0.17100000000000001</v>
      </c>
      <c r="I1345" s="7">
        <v>24</v>
      </c>
      <c r="J1345" s="7">
        <v>800</v>
      </c>
      <c r="K1345" s="7">
        <v>600</v>
      </c>
      <c r="L1345" s="7">
        <v>150</v>
      </c>
      <c r="M1345" s="7">
        <v>30</v>
      </c>
      <c r="N1345" s="7">
        <v>60</v>
      </c>
      <c r="O1345" s="7">
        <v>75</v>
      </c>
      <c r="P1345" s="7">
        <v>215</v>
      </c>
    </row>
    <row r="1346" spans="1:16" s="10" customFormat="1">
      <c r="A1346" s="7">
        <f>IF(B1346="","",SUBTOTAL(103,$B$2:B1346))</f>
        <v>1345</v>
      </c>
      <c r="B1346" s="8" t="s">
        <v>3640</v>
      </c>
      <c r="C1346" s="7" t="s">
        <v>3667</v>
      </c>
      <c r="D1346" s="9" t="s">
        <v>3670</v>
      </c>
      <c r="E1346" s="7" t="s">
        <v>3643</v>
      </c>
      <c r="F1346" s="7" t="s">
        <v>1102</v>
      </c>
      <c r="G1346" s="7" t="s">
        <v>3671</v>
      </c>
      <c r="H1346" s="7">
        <v>0.17100000000000001</v>
      </c>
      <c r="I1346" s="7">
        <v>24</v>
      </c>
      <c r="J1346" s="7">
        <v>800</v>
      </c>
      <c r="K1346" s="7">
        <v>600</v>
      </c>
      <c r="L1346" s="7">
        <v>150</v>
      </c>
      <c r="M1346" s="7">
        <v>30</v>
      </c>
      <c r="N1346" s="7">
        <v>60</v>
      </c>
      <c r="O1346" s="7">
        <v>75</v>
      </c>
      <c r="P1346" s="7">
        <v>215</v>
      </c>
    </row>
    <row r="1347" spans="1:16" s="10" customFormat="1">
      <c r="A1347" s="7">
        <f>IF(B1347="","",SUBTOTAL(103,$B$2:B1347))</f>
        <v>1346</v>
      </c>
      <c r="B1347" s="8" t="s">
        <v>3640</v>
      </c>
      <c r="C1347" s="7" t="s">
        <v>3672</v>
      </c>
      <c r="D1347" s="9" t="s">
        <v>3673</v>
      </c>
      <c r="E1347" s="7" t="s">
        <v>3643</v>
      </c>
      <c r="F1347" s="7" t="s">
        <v>1106</v>
      </c>
      <c r="G1347" s="7" t="s">
        <v>3674</v>
      </c>
      <c r="H1347" s="7">
        <v>0.34200000000000003</v>
      </c>
      <c r="I1347" s="7">
        <v>10</v>
      </c>
      <c r="J1347" s="7">
        <v>800</v>
      </c>
      <c r="K1347" s="7">
        <v>600</v>
      </c>
      <c r="L1347" s="7">
        <v>150</v>
      </c>
      <c r="M1347" s="7">
        <v>30</v>
      </c>
      <c r="N1347" s="7">
        <v>60</v>
      </c>
      <c r="O1347" s="7">
        <v>195</v>
      </c>
      <c r="P1347" s="7">
        <v>300</v>
      </c>
    </row>
    <row r="1348" spans="1:16" s="10" customFormat="1">
      <c r="A1348" s="7">
        <f>IF(B1348="","",SUBTOTAL(103,$B$2:B1348))</f>
        <v>1347</v>
      </c>
      <c r="B1348" s="8" t="s">
        <v>3640</v>
      </c>
      <c r="C1348" s="7" t="s">
        <v>3672</v>
      </c>
      <c r="D1348" s="9" t="s">
        <v>3675</v>
      </c>
      <c r="E1348" s="7" t="s">
        <v>3643</v>
      </c>
      <c r="F1348" s="7" t="s">
        <v>1109</v>
      </c>
      <c r="G1348" s="7" t="s">
        <v>3676</v>
      </c>
      <c r="H1348" s="7">
        <v>0.34200000000000003</v>
      </c>
      <c r="I1348" s="7">
        <v>10</v>
      </c>
      <c r="J1348" s="7">
        <v>800</v>
      </c>
      <c r="K1348" s="7">
        <v>600</v>
      </c>
      <c r="L1348" s="7">
        <v>150</v>
      </c>
      <c r="M1348" s="7">
        <v>30</v>
      </c>
      <c r="N1348" s="7">
        <v>60</v>
      </c>
      <c r="O1348" s="7">
        <v>195</v>
      </c>
      <c r="P1348" s="7">
        <v>300</v>
      </c>
    </row>
    <row r="1349" spans="1:16" s="10" customFormat="1">
      <c r="A1349" s="7">
        <f>IF(B1349="","",SUBTOTAL(103,$B$2:B1349))</f>
        <v>1348</v>
      </c>
      <c r="B1349" s="8" t="s">
        <v>3640</v>
      </c>
      <c r="C1349" s="7" t="s">
        <v>3677</v>
      </c>
      <c r="D1349" s="9" t="s">
        <v>3678</v>
      </c>
      <c r="E1349" s="7" t="s">
        <v>3643</v>
      </c>
      <c r="F1349" s="7" t="s">
        <v>1113</v>
      </c>
      <c r="G1349" s="7" t="s">
        <v>3679</v>
      </c>
      <c r="H1349" s="7">
        <v>0.72599999999999998</v>
      </c>
      <c r="I1349" s="7">
        <v>5</v>
      </c>
      <c r="J1349" s="7">
        <v>800</v>
      </c>
      <c r="K1349" s="7">
        <v>600</v>
      </c>
      <c r="L1349" s="7">
        <v>150</v>
      </c>
      <c r="M1349" s="7">
        <v>30</v>
      </c>
      <c r="N1349" s="7">
        <v>60</v>
      </c>
      <c r="O1349" s="7">
        <v>400</v>
      </c>
      <c r="P1349" s="7">
        <v>565</v>
      </c>
    </row>
    <row r="1350" spans="1:16" s="10" customFormat="1">
      <c r="A1350" s="7">
        <f>IF(B1350="","",SUBTOTAL(103,$B$2:B1350))</f>
        <v>1349</v>
      </c>
      <c r="B1350" s="8" t="s">
        <v>3640</v>
      </c>
      <c r="C1350" s="7" t="s">
        <v>3677</v>
      </c>
      <c r="D1350" s="9" t="s">
        <v>3680</v>
      </c>
      <c r="E1350" s="7" t="s">
        <v>3643</v>
      </c>
      <c r="F1350" s="7" t="s">
        <v>1116</v>
      </c>
      <c r="G1350" s="7" t="s">
        <v>3681</v>
      </c>
      <c r="H1350" s="7">
        <v>0.72599999999999998</v>
      </c>
      <c r="I1350" s="7">
        <v>5</v>
      </c>
      <c r="J1350" s="7">
        <v>800</v>
      </c>
      <c r="K1350" s="7">
        <v>600</v>
      </c>
      <c r="L1350" s="7">
        <v>150</v>
      </c>
      <c r="M1350" s="7">
        <v>30</v>
      </c>
      <c r="N1350" s="7">
        <v>60</v>
      </c>
      <c r="O1350" s="7">
        <v>400</v>
      </c>
      <c r="P1350" s="7">
        <v>565</v>
      </c>
    </row>
    <row r="1351" spans="1:16" s="10" customFormat="1">
      <c r="A1351" s="7">
        <f>IF(B1351="","",SUBTOTAL(103,$B$2:B1351))</f>
        <v>1350</v>
      </c>
      <c r="B1351" s="8" t="s">
        <v>3640</v>
      </c>
      <c r="C1351" s="7" t="s">
        <v>3682</v>
      </c>
      <c r="D1351" s="9" t="s">
        <v>3683</v>
      </c>
      <c r="E1351" s="7" t="s">
        <v>3643</v>
      </c>
      <c r="F1351" s="7" t="s">
        <v>1120</v>
      </c>
      <c r="G1351" s="7" t="s">
        <v>3684</v>
      </c>
      <c r="H1351" s="7">
        <v>0.997</v>
      </c>
      <c r="I1351" s="7">
        <v>5</v>
      </c>
      <c r="J1351" s="7">
        <v>800</v>
      </c>
      <c r="K1351" s="7">
        <v>600</v>
      </c>
      <c r="L1351" s="7">
        <v>150</v>
      </c>
      <c r="M1351" s="7">
        <v>30</v>
      </c>
      <c r="N1351" s="7">
        <v>60</v>
      </c>
      <c r="O1351" s="7">
        <v>400</v>
      </c>
      <c r="P1351" s="7">
        <v>565</v>
      </c>
    </row>
    <row r="1352" spans="1:16" s="10" customFormat="1">
      <c r="A1352" s="7">
        <f>IF(B1352="","",SUBTOTAL(103,$B$2:B1352))</f>
        <v>1351</v>
      </c>
      <c r="B1352" s="8" t="s">
        <v>3640</v>
      </c>
      <c r="C1352" s="7" t="s">
        <v>3682</v>
      </c>
      <c r="D1352" s="9" t="s">
        <v>3685</v>
      </c>
      <c r="E1352" s="7" t="s">
        <v>3643</v>
      </c>
      <c r="F1352" s="7" t="s">
        <v>1123</v>
      </c>
      <c r="G1352" s="7" t="s">
        <v>3686</v>
      </c>
      <c r="H1352" s="7">
        <v>0.98699999999999999</v>
      </c>
      <c r="I1352" s="7">
        <v>5</v>
      </c>
      <c r="J1352" s="7">
        <v>800</v>
      </c>
      <c r="K1352" s="7">
        <v>600</v>
      </c>
      <c r="L1352" s="7">
        <v>150</v>
      </c>
      <c r="M1352" s="7">
        <v>30</v>
      </c>
      <c r="N1352" s="7">
        <v>60</v>
      </c>
      <c r="O1352" s="7">
        <v>400</v>
      </c>
      <c r="P1352" s="7">
        <v>565</v>
      </c>
    </row>
    <row r="1353" spans="1:16" s="10" customFormat="1">
      <c r="A1353" s="7">
        <f>IF(B1353="","",SUBTOTAL(103,$B$2:B1353))</f>
        <v>1352</v>
      </c>
      <c r="B1353" s="8" t="s">
        <v>3640</v>
      </c>
      <c r="C1353" s="7" t="s">
        <v>3687</v>
      </c>
      <c r="D1353" s="9" t="s">
        <v>3688</v>
      </c>
      <c r="E1353" s="7" t="s">
        <v>3643</v>
      </c>
      <c r="F1353" s="7" t="s">
        <v>1127</v>
      </c>
      <c r="G1353" s="7" t="s">
        <v>3689</v>
      </c>
      <c r="H1353" s="7">
        <v>5.5E-2</v>
      </c>
      <c r="I1353" s="7">
        <v>48</v>
      </c>
      <c r="J1353" s="7">
        <v>800</v>
      </c>
      <c r="K1353" s="7">
        <v>600</v>
      </c>
      <c r="L1353" s="7">
        <v>150</v>
      </c>
      <c r="M1353" s="7">
        <v>30</v>
      </c>
      <c r="N1353" s="7">
        <v>60</v>
      </c>
      <c r="O1353" s="7">
        <v>41</v>
      </c>
      <c r="P1353" s="7">
        <v>155</v>
      </c>
    </row>
    <row r="1354" spans="1:16" s="10" customFormat="1">
      <c r="A1354" s="7">
        <f>IF(B1354="","",SUBTOTAL(103,$B$2:B1354))</f>
        <v>1353</v>
      </c>
      <c r="B1354" s="8" t="s">
        <v>3640</v>
      </c>
      <c r="C1354" s="7" t="s">
        <v>3687</v>
      </c>
      <c r="D1354" s="9" t="s">
        <v>3690</v>
      </c>
      <c r="E1354" s="7" t="s">
        <v>3643</v>
      </c>
      <c r="F1354" s="7" t="s">
        <v>1130</v>
      </c>
      <c r="G1354" s="7" t="s">
        <v>3691</v>
      </c>
      <c r="H1354" s="7">
        <v>5.5E-2</v>
      </c>
      <c r="I1354" s="7">
        <v>48</v>
      </c>
      <c r="J1354" s="7">
        <v>800</v>
      </c>
      <c r="K1354" s="7">
        <v>600</v>
      </c>
      <c r="L1354" s="7">
        <v>150</v>
      </c>
      <c r="M1354" s="7">
        <v>30</v>
      </c>
      <c r="N1354" s="7">
        <v>60</v>
      </c>
      <c r="O1354" s="7">
        <v>41</v>
      </c>
      <c r="P1354" s="7">
        <v>155</v>
      </c>
    </row>
    <row r="1355" spans="1:16" s="10" customFormat="1">
      <c r="A1355" s="7">
        <f>IF(B1355="","",SUBTOTAL(103,$B$2:B1355))</f>
        <v>1354</v>
      </c>
      <c r="B1355" s="8" t="s">
        <v>3640</v>
      </c>
      <c r="C1355" s="7" t="s">
        <v>3692</v>
      </c>
      <c r="D1355" s="9" t="s">
        <v>3693</v>
      </c>
      <c r="E1355" s="7" t="s">
        <v>3643</v>
      </c>
      <c r="F1355" s="7" t="s">
        <v>1002</v>
      </c>
      <c r="G1355" s="7" t="s">
        <v>3694</v>
      </c>
      <c r="H1355" s="7">
        <v>3.5000000000000003E-2</v>
      </c>
      <c r="I1355" s="7">
        <v>80</v>
      </c>
      <c r="J1355" s="7">
        <v>800</v>
      </c>
      <c r="K1355" s="7">
        <v>600</v>
      </c>
      <c r="L1355" s="7">
        <v>150</v>
      </c>
      <c r="M1355" s="7">
        <v>30</v>
      </c>
      <c r="N1355" s="7">
        <v>60</v>
      </c>
      <c r="O1355" s="7">
        <v>25</v>
      </c>
      <c r="P1355" s="7">
        <v>135</v>
      </c>
    </row>
    <row r="1356" spans="1:16" s="10" customFormat="1">
      <c r="A1356" s="7">
        <f>IF(B1356="","",SUBTOTAL(103,$B$2:B1356))</f>
        <v>1355</v>
      </c>
      <c r="B1356" s="8" t="s">
        <v>3640</v>
      </c>
      <c r="C1356" s="7" t="s">
        <v>3692</v>
      </c>
      <c r="D1356" s="9" t="s">
        <v>3695</v>
      </c>
      <c r="E1356" s="7" t="s">
        <v>3643</v>
      </c>
      <c r="F1356" s="7" t="s">
        <v>1135</v>
      </c>
      <c r="G1356" s="7" t="s">
        <v>3696</v>
      </c>
      <c r="H1356" s="7">
        <v>3.5000000000000003E-2</v>
      </c>
      <c r="I1356" s="7">
        <v>80</v>
      </c>
      <c r="J1356" s="7">
        <v>800</v>
      </c>
      <c r="K1356" s="7">
        <v>600</v>
      </c>
      <c r="L1356" s="7">
        <v>150</v>
      </c>
      <c r="M1356" s="7">
        <v>30</v>
      </c>
      <c r="N1356" s="7">
        <v>60</v>
      </c>
      <c r="O1356" s="7">
        <v>25</v>
      </c>
      <c r="P1356" s="7">
        <v>135</v>
      </c>
    </row>
    <row r="1357" spans="1:16" s="10" customFormat="1">
      <c r="A1357" s="7">
        <f>IF(B1357="","",SUBTOTAL(103,$B$2:B1357))</f>
        <v>1356</v>
      </c>
      <c r="B1357" s="8" t="s">
        <v>3640</v>
      </c>
      <c r="C1357" s="7" t="s">
        <v>3697</v>
      </c>
      <c r="D1357" s="9" t="s">
        <v>3698</v>
      </c>
      <c r="E1357" s="7" t="s">
        <v>3643</v>
      </c>
      <c r="F1357" s="7" t="s">
        <v>1139</v>
      </c>
      <c r="G1357" s="7" t="s">
        <v>3699</v>
      </c>
      <c r="H1357" s="7">
        <v>1.806</v>
      </c>
      <c r="I1357" s="7">
        <v>4</v>
      </c>
      <c r="J1357" s="7">
        <v>800</v>
      </c>
      <c r="K1357" s="7">
        <v>600</v>
      </c>
      <c r="L1357" s="7">
        <v>150</v>
      </c>
      <c r="M1357" s="7">
        <v>30</v>
      </c>
      <c r="N1357" s="7">
        <v>60</v>
      </c>
      <c r="O1357" s="7">
        <v>500</v>
      </c>
      <c r="P1357" s="7">
        <v>600</v>
      </c>
    </row>
    <row r="1358" spans="1:16" s="10" customFormat="1">
      <c r="A1358" s="7">
        <f>IF(B1358="","",SUBTOTAL(103,$B$2:B1358))</f>
        <v>1357</v>
      </c>
      <c r="B1358" s="8" t="s">
        <v>3640</v>
      </c>
      <c r="C1358" s="7" t="s">
        <v>3697</v>
      </c>
      <c r="D1358" s="9" t="s">
        <v>3700</v>
      </c>
      <c r="E1358" s="7" t="s">
        <v>3643</v>
      </c>
      <c r="F1358" s="7" t="s">
        <v>1142</v>
      </c>
      <c r="G1358" s="7" t="s">
        <v>3701</v>
      </c>
      <c r="H1358" s="7">
        <v>1.806</v>
      </c>
      <c r="I1358" s="7">
        <v>4</v>
      </c>
      <c r="J1358" s="7">
        <v>800</v>
      </c>
      <c r="K1358" s="7">
        <v>600</v>
      </c>
      <c r="L1358" s="7">
        <v>150</v>
      </c>
      <c r="M1358" s="7">
        <v>30</v>
      </c>
      <c r="N1358" s="7">
        <v>60</v>
      </c>
      <c r="O1358" s="7">
        <v>500</v>
      </c>
      <c r="P1358" s="7">
        <v>600</v>
      </c>
    </row>
    <row r="1359" spans="1:16" s="10" customFormat="1">
      <c r="A1359" s="7">
        <f>IF(B1359="","",SUBTOTAL(103,$B$2:B1359))</f>
        <v>1358</v>
      </c>
      <c r="B1359" s="8" t="s">
        <v>3702</v>
      </c>
      <c r="C1359" s="7" t="s">
        <v>3479</v>
      </c>
      <c r="D1359" s="9" t="s">
        <v>3703</v>
      </c>
      <c r="E1359" s="7" t="s">
        <v>3704</v>
      </c>
      <c r="F1359" s="7" t="s">
        <v>1300</v>
      </c>
      <c r="G1359" s="7" t="s">
        <v>3705</v>
      </c>
      <c r="H1359" s="7">
        <v>0.125</v>
      </c>
      <c r="I1359" s="7">
        <v>32</v>
      </c>
      <c r="J1359" s="7">
        <v>800</v>
      </c>
      <c r="K1359" s="7">
        <v>600</v>
      </c>
      <c r="L1359" s="7">
        <v>150</v>
      </c>
      <c r="M1359" s="7">
        <v>30</v>
      </c>
      <c r="N1359" s="7">
        <v>60</v>
      </c>
      <c r="O1359" s="7">
        <v>54</v>
      </c>
      <c r="P1359" s="7">
        <v>165</v>
      </c>
    </row>
    <row r="1360" spans="1:16" s="10" customFormat="1">
      <c r="A1360" s="7">
        <f>IF(B1360="","",SUBTOTAL(103,$B$2:B1360))</f>
        <v>1359</v>
      </c>
      <c r="B1360" s="8" t="s">
        <v>3702</v>
      </c>
      <c r="C1360" s="7" t="s">
        <v>3479</v>
      </c>
      <c r="D1360" s="9" t="s">
        <v>3706</v>
      </c>
      <c r="E1360" s="7" t="s">
        <v>3481</v>
      </c>
      <c r="F1360" s="7" t="s">
        <v>1300</v>
      </c>
      <c r="G1360" s="7" t="str">
        <f>E1360&amp;F1360</f>
        <v>KI 114  KI-08B PP1 CF8 NPT</v>
      </c>
      <c r="H1360" s="7">
        <v>0.125</v>
      </c>
      <c r="I1360" s="7">
        <v>32</v>
      </c>
      <c r="J1360" s="7">
        <v>800</v>
      </c>
      <c r="K1360" s="7">
        <v>600</v>
      </c>
      <c r="L1360" s="7">
        <v>150</v>
      </c>
      <c r="M1360" s="7">
        <v>30</v>
      </c>
      <c r="N1360" s="7">
        <v>60</v>
      </c>
      <c r="O1360" s="7">
        <v>54</v>
      </c>
      <c r="P1360" s="7">
        <v>165</v>
      </c>
    </row>
    <row r="1361" spans="1:16" s="10" customFormat="1">
      <c r="A1361" s="7">
        <f>IF(B1361="","",SUBTOTAL(103,$B$2:B1361))</f>
        <v>1360</v>
      </c>
      <c r="B1361" s="8" t="s">
        <v>3702</v>
      </c>
      <c r="C1361" s="7" t="s">
        <v>3479</v>
      </c>
      <c r="D1361" s="9" t="s">
        <v>3707</v>
      </c>
      <c r="E1361" s="7" t="s">
        <v>3704</v>
      </c>
      <c r="F1361" s="7" t="s">
        <v>1303</v>
      </c>
      <c r="G1361" s="7" t="s">
        <v>3708</v>
      </c>
      <c r="H1361" s="7">
        <v>0.125</v>
      </c>
      <c r="I1361" s="7">
        <v>32</v>
      </c>
      <c r="J1361" s="7">
        <v>800</v>
      </c>
      <c r="K1361" s="7">
        <v>600</v>
      </c>
      <c r="L1361" s="7">
        <v>150</v>
      </c>
      <c r="M1361" s="7">
        <v>30</v>
      </c>
      <c r="N1361" s="7">
        <v>60</v>
      </c>
      <c r="O1361" s="7">
        <v>54</v>
      </c>
      <c r="P1361" s="7">
        <v>165</v>
      </c>
    </row>
    <row r="1362" spans="1:16" s="10" customFormat="1">
      <c r="A1362" s="7">
        <f>IF(B1362="","",SUBTOTAL(103,$B$2:B1362))</f>
        <v>1361</v>
      </c>
      <c r="B1362" s="8" t="s">
        <v>3702</v>
      </c>
      <c r="C1362" s="7" t="s">
        <v>3483</v>
      </c>
      <c r="D1362" s="9" t="s">
        <v>3709</v>
      </c>
      <c r="E1362" s="7" t="s">
        <v>3704</v>
      </c>
      <c r="F1362" s="7" t="s">
        <v>1306</v>
      </c>
      <c r="G1362" s="7" t="s">
        <v>3710</v>
      </c>
      <c r="H1362" s="7">
        <v>4.4999999999999998E-2</v>
      </c>
      <c r="I1362" s="7">
        <v>68</v>
      </c>
      <c r="J1362" s="7">
        <v>800</v>
      </c>
      <c r="K1362" s="7">
        <v>600</v>
      </c>
      <c r="L1362" s="7">
        <v>150</v>
      </c>
      <c r="M1362" s="7">
        <v>30</v>
      </c>
      <c r="N1362" s="7">
        <v>60</v>
      </c>
      <c r="O1362" s="7">
        <v>30</v>
      </c>
      <c r="P1362" s="7">
        <v>145</v>
      </c>
    </row>
    <row r="1363" spans="1:16" s="10" customFormat="1">
      <c r="A1363" s="7">
        <f>IF(B1363="","",SUBTOTAL(103,$B$2:B1363))</f>
        <v>1362</v>
      </c>
      <c r="B1363" s="8" t="s">
        <v>3702</v>
      </c>
      <c r="C1363" s="7" t="s">
        <v>3483</v>
      </c>
      <c r="D1363" s="9" t="s">
        <v>3711</v>
      </c>
      <c r="E1363" s="7" t="s">
        <v>3704</v>
      </c>
      <c r="F1363" s="7" t="s">
        <v>1309</v>
      </c>
      <c r="G1363" s="7" t="s">
        <v>3712</v>
      </c>
      <c r="H1363" s="7">
        <v>4.4999999999999998E-2</v>
      </c>
      <c r="I1363" s="7">
        <v>68</v>
      </c>
      <c r="J1363" s="7">
        <v>800</v>
      </c>
      <c r="K1363" s="7">
        <v>600</v>
      </c>
      <c r="L1363" s="7">
        <v>150</v>
      </c>
      <c r="M1363" s="7">
        <v>30</v>
      </c>
      <c r="N1363" s="7">
        <v>60</v>
      </c>
      <c r="O1363" s="7">
        <v>30</v>
      </c>
      <c r="P1363" s="7">
        <v>145</v>
      </c>
    </row>
    <row r="1364" spans="1:16" s="10" customFormat="1">
      <c r="A1364" s="7">
        <f>IF(B1364="","",SUBTOTAL(103,$B$2:B1364))</f>
        <v>1363</v>
      </c>
      <c r="B1364" s="8" t="s">
        <v>3702</v>
      </c>
      <c r="C1364" s="7" t="s">
        <v>3488</v>
      </c>
      <c r="D1364" s="9" t="s">
        <v>3713</v>
      </c>
      <c r="E1364" s="7" t="s">
        <v>3704</v>
      </c>
      <c r="F1364" s="7" t="s">
        <v>1312</v>
      </c>
      <c r="G1364" s="7" t="s">
        <v>3714</v>
      </c>
      <c r="H1364" s="7">
        <v>0.02</v>
      </c>
      <c r="I1364" s="7">
        <v>124</v>
      </c>
      <c r="J1364" s="7">
        <v>800</v>
      </c>
      <c r="K1364" s="7">
        <v>600</v>
      </c>
      <c r="L1364" s="7">
        <v>150</v>
      </c>
      <c r="M1364" s="7">
        <v>30</v>
      </c>
      <c r="N1364" s="7">
        <v>60</v>
      </c>
      <c r="O1364" s="7">
        <v>25</v>
      </c>
      <c r="P1364" s="7">
        <v>125</v>
      </c>
    </row>
    <row r="1365" spans="1:16" s="10" customFormat="1">
      <c r="A1365" s="7">
        <f>IF(B1365="","",SUBTOTAL(103,$B$2:B1365))</f>
        <v>1364</v>
      </c>
      <c r="B1365" s="8" t="s">
        <v>3702</v>
      </c>
      <c r="C1365" s="7" t="s">
        <v>3488</v>
      </c>
      <c r="D1365" s="9" t="s">
        <v>3715</v>
      </c>
      <c r="E1365" s="7" t="s">
        <v>3704</v>
      </c>
      <c r="F1365" s="7" t="s">
        <v>1315</v>
      </c>
      <c r="G1365" s="7" t="s">
        <v>3716</v>
      </c>
      <c r="H1365" s="7">
        <v>0.02</v>
      </c>
      <c r="I1365" s="7">
        <v>124</v>
      </c>
      <c r="J1365" s="7">
        <v>800</v>
      </c>
      <c r="K1365" s="7">
        <v>600</v>
      </c>
      <c r="L1365" s="7">
        <v>150</v>
      </c>
      <c r="M1365" s="7">
        <v>30</v>
      </c>
      <c r="N1365" s="7">
        <v>60</v>
      </c>
      <c r="O1365" s="7">
        <v>25</v>
      </c>
      <c r="P1365" s="7">
        <v>125</v>
      </c>
    </row>
    <row r="1366" spans="1:16" s="10" customFormat="1">
      <c r="A1366" s="7">
        <f>IF(B1366="","",SUBTOTAL(103,$B$2:B1366))</f>
        <v>1365</v>
      </c>
      <c r="B1366" s="8" t="s">
        <v>3702</v>
      </c>
      <c r="C1366" s="7" t="s">
        <v>3493</v>
      </c>
      <c r="D1366" s="9" t="s">
        <v>3717</v>
      </c>
      <c r="E1366" s="7" t="s">
        <v>3704</v>
      </c>
      <c r="F1366" s="7" t="s">
        <v>1318</v>
      </c>
      <c r="G1366" s="7" t="s">
        <v>3718</v>
      </c>
      <c r="H1366" s="7">
        <v>0.01</v>
      </c>
      <c r="I1366" s="7">
        <v>140</v>
      </c>
      <c r="J1366" s="7">
        <v>800</v>
      </c>
      <c r="K1366" s="7">
        <v>600</v>
      </c>
      <c r="L1366" s="7">
        <v>150</v>
      </c>
      <c r="M1366" s="7">
        <v>30</v>
      </c>
      <c r="N1366" s="7">
        <v>60</v>
      </c>
      <c r="O1366" s="7">
        <v>20</v>
      </c>
      <c r="P1366" s="7">
        <v>115</v>
      </c>
    </row>
    <row r="1367" spans="1:16" s="10" customFormat="1">
      <c r="A1367" s="7">
        <f>IF(B1367="","",SUBTOTAL(103,$B$2:B1367))</f>
        <v>1366</v>
      </c>
      <c r="B1367" s="8" t="s">
        <v>3702</v>
      </c>
      <c r="C1367" s="7" t="s">
        <v>3493</v>
      </c>
      <c r="D1367" s="9" t="s">
        <v>3719</v>
      </c>
      <c r="E1367" s="7" t="s">
        <v>3481</v>
      </c>
      <c r="F1367" s="7" t="s">
        <v>1318</v>
      </c>
      <c r="G1367" s="7" t="str">
        <f>E1367&amp;F1367</f>
        <v>KI 114  KI-08B PP1/8 CF8 NPT</v>
      </c>
      <c r="H1367" s="7">
        <v>0.01</v>
      </c>
      <c r="I1367" s="7">
        <v>140</v>
      </c>
      <c r="J1367" s="7">
        <v>800</v>
      </c>
      <c r="K1367" s="7">
        <v>600</v>
      </c>
      <c r="L1367" s="7">
        <v>150</v>
      </c>
      <c r="M1367" s="7">
        <v>30</v>
      </c>
      <c r="N1367" s="7">
        <v>60</v>
      </c>
      <c r="O1367" s="7">
        <v>20</v>
      </c>
      <c r="P1367" s="7">
        <v>115</v>
      </c>
    </row>
    <row r="1368" spans="1:16" s="10" customFormat="1">
      <c r="A1368" s="7">
        <f>IF(B1368="","",SUBTOTAL(103,$B$2:B1368))</f>
        <v>1367</v>
      </c>
      <c r="B1368" s="8" t="s">
        <v>3702</v>
      </c>
      <c r="C1368" s="7" t="s">
        <v>3493</v>
      </c>
      <c r="D1368" s="9" t="s">
        <v>3720</v>
      </c>
      <c r="E1368" s="7" t="s">
        <v>3704</v>
      </c>
      <c r="F1368" s="7" t="s">
        <v>1322</v>
      </c>
      <c r="G1368" s="7" t="s">
        <v>3721</v>
      </c>
      <c r="H1368" s="7">
        <v>0.01</v>
      </c>
      <c r="I1368" s="7">
        <v>140</v>
      </c>
      <c r="J1368" s="7">
        <v>800</v>
      </c>
      <c r="K1368" s="7">
        <v>600</v>
      </c>
      <c r="L1368" s="7">
        <v>150</v>
      </c>
      <c r="M1368" s="7">
        <v>30</v>
      </c>
      <c r="N1368" s="7">
        <v>60</v>
      </c>
      <c r="O1368" s="7">
        <v>20</v>
      </c>
      <c r="P1368" s="7">
        <v>115</v>
      </c>
    </row>
    <row r="1369" spans="1:16" s="10" customFormat="1">
      <c r="A1369" s="7">
        <f>IF(B1369="","",SUBTOTAL(103,$B$2:B1369))</f>
        <v>1368</v>
      </c>
      <c r="B1369" s="8" t="s">
        <v>3702</v>
      </c>
      <c r="C1369" s="7" t="s">
        <v>3496</v>
      </c>
      <c r="D1369" s="9" t="s">
        <v>3722</v>
      </c>
      <c r="E1369" s="7" t="s">
        <v>3704</v>
      </c>
      <c r="F1369" s="7" t="s">
        <v>1325</v>
      </c>
      <c r="G1369" s="7" t="s">
        <v>3723</v>
      </c>
      <c r="H1369" s="7">
        <v>0.24199999999999999</v>
      </c>
      <c r="I1369" s="7">
        <v>18</v>
      </c>
      <c r="J1369" s="7">
        <v>800</v>
      </c>
      <c r="K1369" s="7">
        <v>600</v>
      </c>
      <c r="L1369" s="7">
        <v>150</v>
      </c>
      <c r="M1369" s="7">
        <v>30</v>
      </c>
      <c r="N1369" s="7">
        <v>60</v>
      </c>
      <c r="O1369" s="7">
        <v>100</v>
      </c>
      <c r="P1369" s="7">
        <v>225</v>
      </c>
    </row>
    <row r="1370" spans="1:16" s="10" customFormat="1">
      <c r="A1370" s="7">
        <f>IF(B1370="","",SUBTOTAL(103,$B$2:B1370))</f>
        <v>1369</v>
      </c>
      <c r="B1370" s="8" t="s">
        <v>3702</v>
      </c>
      <c r="C1370" s="7" t="s">
        <v>3496</v>
      </c>
      <c r="D1370" s="9" t="s">
        <v>3724</v>
      </c>
      <c r="E1370" s="7" t="s">
        <v>3704</v>
      </c>
      <c r="F1370" s="7" t="s">
        <v>1328</v>
      </c>
      <c r="G1370" s="7" t="s">
        <v>3725</v>
      </c>
      <c r="H1370" s="7">
        <v>0.24199999999999999</v>
      </c>
      <c r="I1370" s="7">
        <v>18</v>
      </c>
      <c r="J1370" s="7">
        <v>800</v>
      </c>
      <c r="K1370" s="7">
        <v>600</v>
      </c>
      <c r="L1370" s="7">
        <v>150</v>
      </c>
      <c r="M1370" s="7">
        <v>30</v>
      </c>
      <c r="N1370" s="7">
        <v>60</v>
      </c>
      <c r="O1370" s="7">
        <v>100</v>
      </c>
      <c r="P1370" s="7">
        <v>225</v>
      </c>
    </row>
    <row r="1371" spans="1:16" s="10" customFormat="1">
      <c r="A1371" s="7">
        <f>IF(B1371="","",SUBTOTAL(103,$B$2:B1371))</f>
        <v>1370</v>
      </c>
      <c r="B1371" s="8" t="s">
        <v>3702</v>
      </c>
      <c r="C1371" s="7" t="s">
        <v>3726</v>
      </c>
      <c r="D1371" s="9" t="s">
        <v>3727</v>
      </c>
      <c r="E1371" s="7" t="s">
        <v>3704</v>
      </c>
      <c r="F1371" s="7" t="s">
        <v>1331</v>
      </c>
      <c r="G1371" s="7" t="s">
        <v>3728</v>
      </c>
      <c r="H1371" s="7">
        <v>0.19</v>
      </c>
      <c r="I1371" s="7">
        <v>18</v>
      </c>
      <c r="J1371" s="7">
        <v>800</v>
      </c>
      <c r="K1371" s="7">
        <v>600</v>
      </c>
      <c r="L1371" s="7">
        <v>150</v>
      </c>
      <c r="M1371" s="7">
        <v>30</v>
      </c>
      <c r="N1371" s="7">
        <v>60</v>
      </c>
      <c r="O1371" s="7">
        <v>100</v>
      </c>
      <c r="P1371" s="7">
        <v>215</v>
      </c>
    </row>
    <row r="1372" spans="1:16" s="10" customFormat="1">
      <c r="A1372" s="7">
        <f>IF(B1372="","",SUBTOTAL(103,$B$2:B1372))</f>
        <v>1371</v>
      </c>
      <c r="B1372" s="8" t="s">
        <v>3702</v>
      </c>
      <c r="C1372" s="7" t="s">
        <v>3726</v>
      </c>
      <c r="D1372" s="9" t="s">
        <v>3729</v>
      </c>
      <c r="E1372" s="7" t="s">
        <v>3481</v>
      </c>
      <c r="F1372" s="7" t="s">
        <v>1331</v>
      </c>
      <c r="G1372" s="7" t="str">
        <f>E1372&amp;F1372</f>
        <v>KI 114  KI-08B PP11/4 CF8 NPT</v>
      </c>
      <c r="H1372" s="7">
        <v>0.19</v>
      </c>
      <c r="I1372" s="7">
        <v>18</v>
      </c>
      <c r="J1372" s="7">
        <v>800</v>
      </c>
      <c r="K1372" s="7">
        <v>600</v>
      </c>
      <c r="L1372" s="7">
        <v>150</v>
      </c>
      <c r="M1372" s="7">
        <v>30</v>
      </c>
      <c r="N1372" s="7">
        <v>60</v>
      </c>
      <c r="O1372" s="7">
        <v>100</v>
      </c>
      <c r="P1372" s="7">
        <v>215</v>
      </c>
    </row>
    <row r="1373" spans="1:16" s="10" customFormat="1">
      <c r="A1373" s="7">
        <f>IF(B1373="","",SUBTOTAL(103,$B$2:B1373))</f>
        <v>1372</v>
      </c>
      <c r="B1373" s="8" t="s">
        <v>3702</v>
      </c>
      <c r="C1373" s="7" t="s">
        <v>3726</v>
      </c>
      <c r="D1373" s="9" t="s">
        <v>3730</v>
      </c>
      <c r="E1373" s="7" t="s">
        <v>3704</v>
      </c>
      <c r="F1373" s="7" t="s">
        <v>1334</v>
      </c>
      <c r="G1373" s="7" t="s">
        <v>3731</v>
      </c>
      <c r="H1373" s="7">
        <v>0.19</v>
      </c>
      <c r="I1373" s="7">
        <v>18</v>
      </c>
      <c r="J1373" s="7">
        <v>800</v>
      </c>
      <c r="K1373" s="7">
        <v>600</v>
      </c>
      <c r="L1373" s="7">
        <v>150</v>
      </c>
      <c r="M1373" s="7">
        <v>30</v>
      </c>
      <c r="N1373" s="7">
        <v>60</v>
      </c>
      <c r="O1373" s="7">
        <v>100</v>
      </c>
      <c r="P1373" s="7">
        <v>215</v>
      </c>
    </row>
    <row r="1374" spans="1:16" s="10" customFormat="1">
      <c r="A1374" s="7">
        <f>IF(B1374="","",SUBTOTAL(103,$B$2:B1374))</f>
        <v>1373</v>
      </c>
      <c r="B1374" s="8" t="s">
        <v>3702</v>
      </c>
      <c r="C1374" s="7" t="s">
        <v>3726</v>
      </c>
      <c r="D1374" s="9" t="s">
        <v>3732</v>
      </c>
      <c r="E1374" s="7" t="s">
        <v>3481</v>
      </c>
      <c r="F1374" s="7" t="s">
        <v>1334</v>
      </c>
      <c r="G1374" s="7" t="s">
        <v>3733</v>
      </c>
      <c r="H1374" s="7">
        <v>0.19</v>
      </c>
      <c r="I1374" s="7">
        <v>18</v>
      </c>
      <c r="J1374" s="7">
        <v>800</v>
      </c>
      <c r="K1374" s="7">
        <v>600</v>
      </c>
      <c r="L1374" s="7">
        <v>150</v>
      </c>
      <c r="M1374" s="7">
        <v>30</v>
      </c>
      <c r="N1374" s="7">
        <v>60</v>
      </c>
      <c r="O1374" s="7">
        <v>100</v>
      </c>
      <c r="P1374" s="7">
        <v>215</v>
      </c>
    </row>
    <row r="1375" spans="1:16" s="10" customFormat="1">
      <c r="A1375" s="7">
        <f>IF(B1375="","",SUBTOTAL(103,$B$2:B1375))</f>
        <v>1374</v>
      </c>
      <c r="B1375" s="8" t="s">
        <v>3702</v>
      </c>
      <c r="C1375" s="7" t="s">
        <v>3501</v>
      </c>
      <c r="D1375" s="9" t="s">
        <v>3734</v>
      </c>
      <c r="E1375" s="7" t="s">
        <v>3704</v>
      </c>
      <c r="F1375" s="7" t="s">
        <v>1339</v>
      </c>
      <c r="G1375" s="7" t="s">
        <v>3735</v>
      </c>
      <c r="H1375" s="7">
        <v>0.40500000000000003</v>
      </c>
      <c r="I1375" s="7">
        <v>12</v>
      </c>
      <c r="J1375" s="7">
        <v>800</v>
      </c>
      <c r="K1375" s="7">
        <v>600</v>
      </c>
      <c r="L1375" s="7">
        <v>150</v>
      </c>
      <c r="M1375" s="7">
        <v>30</v>
      </c>
      <c r="N1375" s="7">
        <v>60</v>
      </c>
      <c r="O1375" s="7">
        <v>150</v>
      </c>
      <c r="P1375" s="7">
        <v>500</v>
      </c>
    </row>
    <row r="1376" spans="1:16" s="10" customFormat="1">
      <c r="A1376" s="7">
        <f>IF(B1376="","",SUBTOTAL(103,$B$2:B1376))</f>
        <v>1375</v>
      </c>
      <c r="B1376" s="8" t="s">
        <v>3702</v>
      </c>
      <c r="C1376" s="7" t="s">
        <v>3501</v>
      </c>
      <c r="D1376" s="9" t="s">
        <v>3736</v>
      </c>
      <c r="E1376" s="7" t="s">
        <v>3704</v>
      </c>
      <c r="F1376" s="7" t="s">
        <v>1342</v>
      </c>
      <c r="G1376" s="7" t="s">
        <v>3737</v>
      </c>
      <c r="H1376" s="7">
        <v>0.40500000000000003</v>
      </c>
      <c r="I1376" s="7">
        <v>12</v>
      </c>
      <c r="J1376" s="7">
        <v>800</v>
      </c>
      <c r="K1376" s="7">
        <v>600</v>
      </c>
      <c r="L1376" s="7">
        <v>150</v>
      </c>
      <c r="M1376" s="7">
        <v>30</v>
      </c>
      <c r="N1376" s="7">
        <v>60</v>
      </c>
      <c r="O1376" s="7">
        <v>150</v>
      </c>
      <c r="P1376" s="7">
        <v>500</v>
      </c>
    </row>
    <row r="1377" spans="1:16" s="10" customFormat="1">
      <c r="A1377" s="7">
        <f>IF(B1377="","",SUBTOTAL(103,$B$2:B1377))</f>
        <v>1376</v>
      </c>
      <c r="B1377" s="8" t="s">
        <v>3702</v>
      </c>
      <c r="C1377" s="7" t="s">
        <v>3506</v>
      </c>
      <c r="D1377" s="9" t="s">
        <v>3738</v>
      </c>
      <c r="E1377" s="7" t="s">
        <v>3704</v>
      </c>
      <c r="F1377" s="7" t="s">
        <v>1345</v>
      </c>
      <c r="G1377" s="7" t="s">
        <v>3739</v>
      </c>
      <c r="H1377" s="7">
        <v>0.60799999999999998</v>
      </c>
      <c r="I1377" s="7">
        <v>5</v>
      </c>
      <c r="J1377" s="7">
        <v>800</v>
      </c>
      <c r="K1377" s="7">
        <v>600</v>
      </c>
      <c r="L1377" s="7">
        <v>150</v>
      </c>
      <c r="M1377" s="7">
        <v>30</v>
      </c>
      <c r="N1377" s="7">
        <v>60</v>
      </c>
      <c r="O1377" s="7">
        <v>400</v>
      </c>
      <c r="P1377" s="7">
        <v>565</v>
      </c>
    </row>
    <row r="1378" spans="1:16" s="10" customFormat="1">
      <c r="A1378" s="7">
        <f>IF(B1378="","",SUBTOTAL(103,$B$2:B1378))</f>
        <v>1377</v>
      </c>
      <c r="B1378" s="8" t="s">
        <v>3702</v>
      </c>
      <c r="C1378" s="7" t="s">
        <v>3506</v>
      </c>
      <c r="D1378" s="9" t="s">
        <v>3740</v>
      </c>
      <c r="E1378" s="7" t="s">
        <v>3704</v>
      </c>
      <c r="F1378" s="7" t="s">
        <v>1348</v>
      </c>
      <c r="G1378" s="7" t="s">
        <v>3741</v>
      </c>
      <c r="H1378" s="7">
        <v>0.60799999999999998</v>
      </c>
      <c r="I1378" s="7">
        <v>5</v>
      </c>
      <c r="J1378" s="7">
        <v>800</v>
      </c>
      <c r="K1378" s="7">
        <v>600</v>
      </c>
      <c r="L1378" s="7">
        <v>150</v>
      </c>
      <c r="M1378" s="7">
        <v>30</v>
      </c>
      <c r="N1378" s="7">
        <v>60</v>
      </c>
      <c r="O1378" s="7">
        <v>400</v>
      </c>
      <c r="P1378" s="7">
        <v>565</v>
      </c>
    </row>
    <row r="1379" spans="1:16" s="10" customFormat="1">
      <c r="A1379" s="7">
        <f>IF(B1379="","",SUBTOTAL(103,$B$2:B1379))</f>
        <v>1378</v>
      </c>
      <c r="B1379" s="8" t="s">
        <v>3702</v>
      </c>
      <c r="C1379" s="7" t="s">
        <v>3509</v>
      </c>
      <c r="D1379" s="9" t="s">
        <v>3742</v>
      </c>
      <c r="E1379" s="7" t="s">
        <v>3704</v>
      </c>
      <c r="F1379" s="7" t="s">
        <v>1351</v>
      </c>
      <c r="G1379" s="7" t="s">
        <v>3743</v>
      </c>
      <c r="H1379" s="7">
        <v>1.008</v>
      </c>
      <c r="I1379" s="7">
        <v>5</v>
      </c>
      <c r="J1379" s="7">
        <v>800</v>
      </c>
      <c r="K1379" s="7">
        <v>600</v>
      </c>
      <c r="L1379" s="7">
        <v>150</v>
      </c>
      <c r="M1379" s="7">
        <v>30</v>
      </c>
      <c r="N1379" s="7">
        <v>60</v>
      </c>
      <c r="O1379" s="7">
        <v>400</v>
      </c>
      <c r="P1379" s="7">
        <v>565</v>
      </c>
    </row>
    <row r="1380" spans="1:16" s="10" customFormat="1">
      <c r="A1380" s="7">
        <f>IF(B1380="","",SUBTOTAL(103,$B$2:B1380))</f>
        <v>1379</v>
      </c>
      <c r="B1380" s="8" t="s">
        <v>3702</v>
      </c>
      <c r="C1380" s="7" t="s">
        <v>3509</v>
      </c>
      <c r="D1380" s="9" t="s">
        <v>3744</v>
      </c>
      <c r="E1380" s="7" t="s">
        <v>3481</v>
      </c>
      <c r="F1380" s="7" t="s">
        <v>1351</v>
      </c>
      <c r="G1380" s="7" t="str">
        <f>E1380&amp;F1380</f>
        <v>KI 114  KI-08B PP3 CF8 NPT</v>
      </c>
      <c r="H1380" s="7">
        <v>1.008</v>
      </c>
      <c r="I1380" s="7">
        <v>5</v>
      </c>
      <c r="J1380" s="7">
        <v>800</v>
      </c>
      <c r="K1380" s="7">
        <v>600</v>
      </c>
      <c r="L1380" s="7">
        <v>150</v>
      </c>
      <c r="M1380" s="7">
        <v>30</v>
      </c>
      <c r="N1380" s="7">
        <v>60</v>
      </c>
      <c r="O1380" s="7">
        <v>400</v>
      </c>
      <c r="P1380" s="7">
        <v>565</v>
      </c>
    </row>
    <row r="1381" spans="1:16" s="10" customFormat="1">
      <c r="A1381" s="7">
        <f>IF(B1381="","",SUBTOTAL(103,$B$2:B1381))</f>
        <v>1380</v>
      </c>
      <c r="B1381" s="8" t="s">
        <v>3702</v>
      </c>
      <c r="C1381" s="7" t="s">
        <v>3509</v>
      </c>
      <c r="D1381" s="9" t="s">
        <v>3745</v>
      </c>
      <c r="E1381" s="7" t="s">
        <v>3704</v>
      </c>
      <c r="F1381" s="7" t="s">
        <v>1354</v>
      </c>
      <c r="G1381" s="7" t="s">
        <v>3746</v>
      </c>
      <c r="H1381" s="7">
        <v>1.008</v>
      </c>
      <c r="I1381" s="7">
        <v>5</v>
      </c>
      <c r="J1381" s="7">
        <v>800</v>
      </c>
      <c r="K1381" s="7">
        <v>600</v>
      </c>
      <c r="L1381" s="7">
        <v>150</v>
      </c>
      <c r="M1381" s="7">
        <v>30</v>
      </c>
      <c r="N1381" s="7">
        <v>60</v>
      </c>
      <c r="O1381" s="7">
        <v>400</v>
      </c>
      <c r="P1381" s="7">
        <v>565</v>
      </c>
    </row>
    <row r="1382" spans="1:16" s="10" customFormat="1">
      <c r="A1382" s="7">
        <f>IF(B1382="","",SUBTOTAL(103,$B$2:B1382))</f>
        <v>1381</v>
      </c>
      <c r="B1382" s="8" t="s">
        <v>3702</v>
      </c>
      <c r="C1382" s="7" t="s">
        <v>3512</v>
      </c>
      <c r="D1382" s="9" t="s">
        <v>3747</v>
      </c>
      <c r="E1382" s="7" t="s">
        <v>3704</v>
      </c>
      <c r="F1382" s="7" t="s">
        <v>1357</v>
      </c>
      <c r="G1382" s="7" t="s">
        <v>3748</v>
      </c>
      <c r="H1382" s="7">
        <v>6.3E-2</v>
      </c>
      <c r="I1382" s="7">
        <v>48</v>
      </c>
      <c r="J1382" s="7">
        <v>800</v>
      </c>
      <c r="K1382" s="7">
        <v>600</v>
      </c>
      <c r="L1382" s="7">
        <v>150</v>
      </c>
      <c r="M1382" s="7">
        <v>30</v>
      </c>
      <c r="N1382" s="7">
        <v>60</v>
      </c>
      <c r="O1382" s="7">
        <v>41</v>
      </c>
      <c r="P1382" s="7">
        <v>155</v>
      </c>
    </row>
    <row r="1383" spans="1:16" s="10" customFormat="1">
      <c r="A1383" s="7">
        <f>IF(B1383="","",SUBTOTAL(103,$B$2:B1383))</f>
        <v>1382</v>
      </c>
      <c r="B1383" s="8" t="s">
        <v>3702</v>
      </c>
      <c r="C1383" s="7" t="s">
        <v>3512</v>
      </c>
      <c r="D1383" s="9" t="s">
        <v>3749</v>
      </c>
      <c r="E1383" s="7" t="s">
        <v>3481</v>
      </c>
      <c r="F1383" s="7" t="s">
        <v>1357</v>
      </c>
      <c r="G1383" s="7" t="str">
        <f>E1383&amp;F1383</f>
        <v>KI 114  KI-08B PP3/4 CF8 NPT</v>
      </c>
      <c r="H1383" s="7">
        <v>6.3E-2</v>
      </c>
      <c r="I1383" s="7">
        <v>48</v>
      </c>
      <c r="J1383" s="7">
        <v>800</v>
      </c>
      <c r="K1383" s="7">
        <v>600</v>
      </c>
      <c r="L1383" s="7">
        <v>150</v>
      </c>
      <c r="M1383" s="7">
        <v>30</v>
      </c>
      <c r="N1383" s="7">
        <v>60</v>
      </c>
      <c r="O1383" s="7">
        <v>41</v>
      </c>
      <c r="P1383" s="7">
        <v>155</v>
      </c>
    </row>
    <row r="1384" spans="1:16" s="10" customFormat="1">
      <c r="A1384" s="7">
        <f>IF(B1384="","",SUBTOTAL(103,$B$2:B1384))</f>
        <v>1383</v>
      </c>
      <c r="B1384" s="8" t="s">
        <v>3702</v>
      </c>
      <c r="C1384" s="7" t="s">
        <v>3512</v>
      </c>
      <c r="D1384" s="9" t="s">
        <v>3750</v>
      </c>
      <c r="E1384" s="7" t="s">
        <v>3704</v>
      </c>
      <c r="F1384" s="7" t="s">
        <v>1360</v>
      </c>
      <c r="G1384" s="7" t="s">
        <v>3751</v>
      </c>
      <c r="H1384" s="7">
        <v>6.3E-2</v>
      </c>
      <c r="I1384" s="7">
        <v>48</v>
      </c>
      <c r="J1384" s="7">
        <v>800</v>
      </c>
      <c r="K1384" s="7">
        <v>600</v>
      </c>
      <c r="L1384" s="7">
        <v>150</v>
      </c>
      <c r="M1384" s="7">
        <v>30</v>
      </c>
      <c r="N1384" s="7">
        <v>60</v>
      </c>
      <c r="O1384" s="7">
        <v>41</v>
      </c>
      <c r="P1384" s="7">
        <v>155</v>
      </c>
    </row>
    <row r="1385" spans="1:16" s="10" customFormat="1">
      <c r="A1385" s="7">
        <f>IF(B1385="","",SUBTOTAL(103,$B$2:B1385))</f>
        <v>1384</v>
      </c>
      <c r="B1385" s="8" t="s">
        <v>3702</v>
      </c>
      <c r="C1385" s="7" t="s">
        <v>3515</v>
      </c>
      <c r="D1385" s="9" t="s">
        <v>3752</v>
      </c>
      <c r="E1385" s="7" t="s">
        <v>3704</v>
      </c>
      <c r="F1385" s="7" t="s">
        <v>1363</v>
      </c>
      <c r="G1385" s="7" t="s">
        <v>3753</v>
      </c>
      <c r="H1385" s="7">
        <v>3.4000000000000002E-2</v>
      </c>
      <c r="I1385" s="7">
        <v>80</v>
      </c>
      <c r="J1385" s="7">
        <v>800</v>
      </c>
      <c r="K1385" s="7">
        <v>600</v>
      </c>
      <c r="L1385" s="7">
        <v>150</v>
      </c>
      <c r="M1385" s="7">
        <v>30</v>
      </c>
      <c r="N1385" s="7">
        <v>60</v>
      </c>
      <c r="O1385" s="7">
        <v>25</v>
      </c>
      <c r="P1385" s="7">
        <v>135</v>
      </c>
    </row>
    <row r="1386" spans="1:16" s="10" customFormat="1">
      <c r="A1386" s="7">
        <f>IF(B1386="","",SUBTOTAL(103,$B$2:B1386))</f>
        <v>1385</v>
      </c>
      <c r="B1386" s="8" t="s">
        <v>3702</v>
      </c>
      <c r="C1386" s="7" t="s">
        <v>3515</v>
      </c>
      <c r="D1386" s="9" t="s">
        <v>3754</v>
      </c>
      <c r="E1386" s="7" t="s">
        <v>3481</v>
      </c>
      <c r="F1386" s="7" t="s">
        <v>1363</v>
      </c>
      <c r="G1386" s="7" t="str">
        <f>E1386&amp;F1386</f>
        <v>KI 114  KI-08B PP3/8 CF8 NPT</v>
      </c>
      <c r="H1386" s="7">
        <v>3.4000000000000002E-2</v>
      </c>
      <c r="I1386" s="7">
        <v>80</v>
      </c>
      <c r="J1386" s="7">
        <v>800</v>
      </c>
      <c r="K1386" s="7">
        <v>600</v>
      </c>
      <c r="L1386" s="7">
        <v>150</v>
      </c>
      <c r="M1386" s="7">
        <v>30</v>
      </c>
      <c r="N1386" s="7">
        <v>60</v>
      </c>
      <c r="O1386" s="7">
        <v>25</v>
      </c>
      <c r="P1386" s="7">
        <v>135</v>
      </c>
    </row>
    <row r="1387" spans="1:16" s="10" customFormat="1">
      <c r="A1387" s="7">
        <f>IF(B1387="","",SUBTOTAL(103,$B$2:B1387))</f>
        <v>1386</v>
      </c>
      <c r="B1387" s="8" t="s">
        <v>3702</v>
      </c>
      <c r="C1387" s="7" t="s">
        <v>3515</v>
      </c>
      <c r="D1387" s="9" t="s">
        <v>3755</v>
      </c>
      <c r="E1387" s="7" t="s">
        <v>3704</v>
      </c>
      <c r="F1387" s="7" t="s">
        <v>1366</v>
      </c>
      <c r="G1387" s="7" t="s">
        <v>3756</v>
      </c>
      <c r="H1387" s="7">
        <v>3.4000000000000002E-2</v>
      </c>
      <c r="I1387" s="7">
        <v>80</v>
      </c>
      <c r="J1387" s="7">
        <v>800</v>
      </c>
      <c r="K1387" s="7">
        <v>600</v>
      </c>
      <c r="L1387" s="7">
        <v>150</v>
      </c>
      <c r="M1387" s="7">
        <v>30</v>
      </c>
      <c r="N1387" s="7">
        <v>60</v>
      </c>
      <c r="O1387" s="7">
        <v>25</v>
      </c>
      <c r="P1387" s="7">
        <v>135</v>
      </c>
    </row>
    <row r="1388" spans="1:16" s="10" customFormat="1">
      <c r="A1388" s="7">
        <f>IF(B1388="","",SUBTOTAL(103,$B$2:B1388))</f>
        <v>1387</v>
      </c>
      <c r="B1388" s="8" t="s">
        <v>3702</v>
      </c>
      <c r="C1388" s="7" t="s">
        <v>3757</v>
      </c>
      <c r="D1388" s="9" t="s">
        <v>3758</v>
      </c>
      <c r="E1388" s="7" t="s">
        <v>3704</v>
      </c>
      <c r="F1388" s="7" t="s">
        <v>1369</v>
      </c>
      <c r="G1388" s="7" t="s">
        <v>3759</v>
      </c>
      <c r="H1388" s="7">
        <v>1.782</v>
      </c>
      <c r="I1388" s="7">
        <v>4</v>
      </c>
      <c r="J1388" s="7">
        <v>800</v>
      </c>
      <c r="K1388" s="7">
        <v>600</v>
      </c>
      <c r="L1388" s="7">
        <v>150</v>
      </c>
      <c r="M1388" s="7">
        <v>30</v>
      </c>
      <c r="N1388" s="7">
        <v>60</v>
      </c>
      <c r="O1388" s="7">
        <v>500</v>
      </c>
      <c r="P1388" s="7">
        <v>600</v>
      </c>
    </row>
    <row r="1389" spans="1:16" s="10" customFormat="1">
      <c r="A1389" s="7">
        <f>IF(B1389="","",SUBTOTAL(103,$B$2:B1389))</f>
        <v>1388</v>
      </c>
      <c r="B1389" s="8" t="s">
        <v>3702</v>
      </c>
      <c r="C1389" s="7" t="s">
        <v>3757</v>
      </c>
      <c r="D1389" s="9" t="s">
        <v>3760</v>
      </c>
      <c r="E1389" s="7" t="s">
        <v>3481</v>
      </c>
      <c r="F1389" s="7" t="s">
        <v>1369</v>
      </c>
      <c r="G1389" s="7" t="str">
        <f>E1389&amp;F1389</f>
        <v>KI 114  KI-08B PP4 CF8 NPT</v>
      </c>
      <c r="H1389" s="7">
        <v>1.782</v>
      </c>
      <c r="I1389" s="7">
        <v>4</v>
      </c>
      <c r="J1389" s="7">
        <v>800</v>
      </c>
      <c r="K1389" s="7">
        <v>600</v>
      </c>
      <c r="L1389" s="7">
        <v>150</v>
      </c>
      <c r="M1389" s="7">
        <v>30</v>
      </c>
      <c r="N1389" s="7">
        <v>60</v>
      </c>
      <c r="O1389" s="7">
        <v>500</v>
      </c>
      <c r="P1389" s="7">
        <v>600</v>
      </c>
    </row>
    <row r="1390" spans="1:16" s="10" customFormat="1">
      <c r="A1390" s="7">
        <f>IF(B1390="","",SUBTOTAL(103,$B$2:B1390))</f>
        <v>1389</v>
      </c>
      <c r="B1390" s="8" t="s">
        <v>3702</v>
      </c>
      <c r="C1390" s="7" t="s">
        <v>3757</v>
      </c>
      <c r="D1390" s="9" t="s">
        <v>3761</v>
      </c>
      <c r="E1390" s="7" t="s">
        <v>3704</v>
      </c>
      <c r="F1390" s="7" t="s">
        <v>1372</v>
      </c>
      <c r="G1390" s="7" t="s">
        <v>3762</v>
      </c>
      <c r="H1390" s="7">
        <v>1.782</v>
      </c>
      <c r="I1390" s="7">
        <v>4</v>
      </c>
      <c r="J1390" s="7">
        <v>800</v>
      </c>
      <c r="K1390" s="7">
        <v>600</v>
      </c>
      <c r="L1390" s="7">
        <v>150</v>
      </c>
      <c r="M1390" s="7">
        <v>30</v>
      </c>
      <c r="N1390" s="7">
        <v>60</v>
      </c>
      <c r="O1390" s="7">
        <v>500</v>
      </c>
      <c r="P1390" s="7">
        <v>600</v>
      </c>
    </row>
    <row r="1391" spans="1:16" s="10" customFormat="1">
      <c r="A1391" s="7">
        <f>IF(B1391="","",SUBTOTAL(103,$B$2:B1391))</f>
        <v>1390</v>
      </c>
      <c r="B1391" s="8" t="s">
        <v>3702</v>
      </c>
      <c r="C1391" s="7" t="s">
        <v>3757</v>
      </c>
      <c r="D1391" s="9" t="s">
        <v>3763</v>
      </c>
      <c r="E1391" s="7" t="s">
        <v>3481</v>
      </c>
      <c r="F1391" s="7" t="s">
        <v>1372</v>
      </c>
      <c r="G1391" s="7" t="s">
        <v>3764</v>
      </c>
      <c r="H1391" s="7">
        <v>1.782</v>
      </c>
      <c r="I1391" s="7">
        <v>4</v>
      </c>
      <c r="J1391" s="7">
        <v>800</v>
      </c>
      <c r="K1391" s="7">
        <v>600</v>
      </c>
      <c r="L1391" s="7">
        <v>150</v>
      </c>
      <c r="M1391" s="7">
        <v>30</v>
      </c>
      <c r="N1391" s="7">
        <v>60</v>
      </c>
      <c r="O1391" s="7">
        <v>500</v>
      </c>
      <c r="P1391" s="7">
        <v>600</v>
      </c>
    </row>
    <row r="1392" spans="1:16" s="10" customFormat="1">
      <c r="A1392" s="7">
        <f>IF(B1392="","",SUBTOTAL(103,$B$2:B1392))</f>
        <v>1391</v>
      </c>
      <c r="B1392" s="8" t="s">
        <v>3765</v>
      </c>
      <c r="C1392" s="7" t="s">
        <v>3479</v>
      </c>
      <c r="D1392" s="9" t="s">
        <v>3766</v>
      </c>
      <c r="E1392" s="7" t="s">
        <v>3767</v>
      </c>
      <c r="F1392" s="7" t="s">
        <v>1303</v>
      </c>
      <c r="G1392" s="7" t="s">
        <v>3768</v>
      </c>
      <c r="H1392" s="7">
        <v>0.124</v>
      </c>
      <c r="I1392" s="7">
        <v>32</v>
      </c>
      <c r="J1392" s="7">
        <v>800</v>
      </c>
      <c r="K1392" s="7">
        <v>600</v>
      </c>
      <c r="L1392" s="7">
        <v>150</v>
      </c>
      <c r="M1392" s="7">
        <v>30</v>
      </c>
      <c r="N1392" s="7">
        <v>60</v>
      </c>
      <c r="O1392" s="7">
        <v>54</v>
      </c>
      <c r="P1392" s="7">
        <v>165</v>
      </c>
    </row>
    <row r="1393" spans="1:16" s="10" customFormat="1">
      <c r="A1393" s="7">
        <f>IF(B1393="","",SUBTOTAL(103,$B$2:B1393))</f>
        <v>1392</v>
      </c>
      <c r="B1393" s="8" t="s">
        <v>3702</v>
      </c>
      <c r="C1393" s="7" t="s">
        <v>3483</v>
      </c>
      <c r="D1393" s="9" t="s">
        <v>3769</v>
      </c>
      <c r="E1393" s="7" t="s">
        <v>3767</v>
      </c>
      <c r="F1393" s="7" t="s">
        <v>1306</v>
      </c>
      <c r="G1393" s="7" t="s">
        <v>3770</v>
      </c>
      <c r="H1393" s="7">
        <v>4.8000000000000001E-2</v>
      </c>
      <c r="I1393" s="7">
        <v>68</v>
      </c>
      <c r="J1393" s="7">
        <v>800</v>
      </c>
      <c r="K1393" s="7">
        <v>600</v>
      </c>
      <c r="L1393" s="7">
        <v>150</v>
      </c>
      <c r="M1393" s="7">
        <v>30</v>
      </c>
      <c r="N1393" s="7">
        <v>60</v>
      </c>
      <c r="O1393" s="7">
        <v>30</v>
      </c>
      <c r="P1393" s="7">
        <v>145</v>
      </c>
    </row>
    <row r="1394" spans="1:16" s="10" customFormat="1">
      <c r="A1394" s="7">
        <f>IF(B1394="","",SUBTOTAL(103,$B$2:B1394))</f>
        <v>1393</v>
      </c>
      <c r="B1394" s="8" t="s">
        <v>3765</v>
      </c>
      <c r="C1394" s="7" t="s">
        <v>3483</v>
      </c>
      <c r="D1394" s="9" t="s">
        <v>3771</v>
      </c>
      <c r="E1394" s="7" t="s">
        <v>3767</v>
      </c>
      <c r="F1394" s="7" t="s">
        <v>1309</v>
      </c>
      <c r="G1394" s="7" t="s">
        <v>3772</v>
      </c>
      <c r="H1394" s="7">
        <v>4.8000000000000001E-2</v>
      </c>
      <c r="I1394" s="7">
        <v>68</v>
      </c>
      <c r="J1394" s="7">
        <v>800</v>
      </c>
      <c r="K1394" s="7">
        <v>600</v>
      </c>
      <c r="L1394" s="7">
        <v>150</v>
      </c>
      <c r="M1394" s="7">
        <v>30</v>
      </c>
      <c r="N1394" s="7">
        <v>60</v>
      </c>
      <c r="O1394" s="7">
        <v>30</v>
      </c>
      <c r="P1394" s="7">
        <v>145</v>
      </c>
    </row>
    <row r="1395" spans="1:16" s="10" customFormat="1">
      <c r="A1395" s="7">
        <f>IF(B1395="","",SUBTOTAL(103,$B$2:B1395))</f>
        <v>1394</v>
      </c>
      <c r="B1395" s="8" t="s">
        <v>3702</v>
      </c>
      <c r="C1395" s="7" t="s">
        <v>3496</v>
      </c>
      <c r="D1395" s="9" t="s">
        <v>3773</v>
      </c>
      <c r="E1395" s="7" t="s">
        <v>3767</v>
      </c>
      <c r="F1395" s="7" t="s">
        <v>1325</v>
      </c>
      <c r="G1395" s="7" t="s">
        <v>3774</v>
      </c>
      <c r="H1395" s="7">
        <v>0.24199999999999999</v>
      </c>
      <c r="I1395" s="7">
        <v>12</v>
      </c>
      <c r="J1395" s="7">
        <v>800</v>
      </c>
      <c r="K1395" s="7">
        <v>600</v>
      </c>
      <c r="L1395" s="7">
        <v>150</v>
      </c>
      <c r="M1395" s="7">
        <v>30</v>
      </c>
      <c r="N1395" s="7">
        <v>60</v>
      </c>
      <c r="O1395" s="7">
        <v>150</v>
      </c>
      <c r="P1395" s="7">
        <v>225</v>
      </c>
    </row>
    <row r="1396" spans="1:16" s="10" customFormat="1">
      <c r="A1396" s="7">
        <f>IF(B1396="","",SUBTOTAL(103,$B$2:B1396))</f>
        <v>1395</v>
      </c>
      <c r="B1396" s="8" t="s">
        <v>3765</v>
      </c>
      <c r="C1396" s="7" t="s">
        <v>3496</v>
      </c>
      <c r="D1396" s="9" t="s">
        <v>3775</v>
      </c>
      <c r="E1396" s="7" t="s">
        <v>3767</v>
      </c>
      <c r="F1396" s="7" t="s">
        <v>1328</v>
      </c>
      <c r="G1396" s="7" t="s">
        <v>3776</v>
      </c>
      <c r="H1396" s="7">
        <v>0.24199999999999999</v>
      </c>
      <c r="I1396" s="7">
        <v>12</v>
      </c>
      <c r="J1396" s="7">
        <v>800</v>
      </c>
      <c r="K1396" s="7">
        <v>600</v>
      </c>
      <c r="L1396" s="7">
        <v>150</v>
      </c>
      <c r="M1396" s="7">
        <v>30</v>
      </c>
      <c r="N1396" s="7">
        <v>60</v>
      </c>
      <c r="O1396" s="7">
        <v>150</v>
      </c>
      <c r="P1396" s="7">
        <v>225</v>
      </c>
    </row>
    <row r="1397" spans="1:16" s="10" customFormat="1">
      <c r="A1397" s="7">
        <f>IF(B1397="","",SUBTOTAL(103,$B$2:B1397))</f>
        <v>1396</v>
      </c>
      <c r="B1397" s="8" t="s">
        <v>3702</v>
      </c>
      <c r="C1397" s="7" t="s">
        <v>3726</v>
      </c>
      <c r="D1397" s="9" t="s">
        <v>3777</v>
      </c>
      <c r="E1397" s="7" t="s">
        <v>3767</v>
      </c>
      <c r="F1397" s="7" t="s">
        <v>1331</v>
      </c>
      <c r="G1397" s="7" t="s">
        <v>3778</v>
      </c>
      <c r="H1397" s="7">
        <v>0.189</v>
      </c>
      <c r="I1397" s="7">
        <v>12</v>
      </c>
      <c r="J1397" s="7">
        <v>800</v>
      </c>
      <c r="K1397" s="7">
        <v>600</v>
      </c>
      <c r="L1397" s="7">
        <v>150</v>
      </c>
      <c r="M1397" s="7">
        <v>30</v>
      </c>
      <c r="N1397" s="7">
        <v>60</v>
      </c>
      <c r="O1397" s="7">
        <v>150</v>
      </c>
      <c r="P1397" s="7">
        <v>215</v>
      </c>
    </row>
    <row r="1398" spans="1:16" s="10" customFormat="1">
      <c r="A1398" s="7">
        <f>IF(B1398="","",SUBTOTAL(103,$B$2:B1398))</f>
        <v>1397</v>
      </c>
      <c r="B1398" s="8" t="s">
        <v>3702</v>
      </c>
      <c r="C1398" s="7" t="s">
        <v>3501</v>
      </c>
      <c r="D1398" s="9" t="s">
        <v>3779</v>
      </c>
      <c r="E1398" s="7" t="s">
        <v>3767</v>
      </c>
      <c r="F1398" s="7" t="s">
        <v>1339</v>
      </c>
      <c r="G1398" s="7" t="s">
        <v>3780</v>
      </c>
      <c r="H1398" s="7">
        <v>0.4</v>
      </c>
      <c r="I1398" s="7">
        <v>8</v>
      </c>
      <c r="J1398" s="7">
        <v>800</v>
      </c>
      <c r="K1398" s="7">
        <v>600</v>
      </c>
      <c r="L1398" s="7">
        <v>150</v>
      </c>
      <c r="M1398" s="7">
        <v>30</v>
      </c>
      <c r="N1398" s="7">
        <v>60</v>
      </c>
      <c r="O1398" s="7">
        <v>225</v>
      </c>
      <c r="P1398" s="7">
        <v>250</v>
      </c>
    </row>
    <row r="1399" spans="1:16" s="10" customFormat="1">
      <c r="A1399" s="7">
        <f>IF(B1399="","",SUBTOTAL(103,$B$2:B1399))</f>
        <v>1398</v>
      </c>
      <c r="B1399" s="8" t="s">
        <v>3765</v>
      </c>
      <c r="C1399" s="7" t="s">
        <v>3501</v>
      </c>
      <c r="D1399" s="9" t="s">
        <v>3781</v>
      </c>
      <c r="E1399" s="7" t="s">
        <v>3767</v>
      </c>
      <c r="F1399" s="7" t="s">
        <v>1342</v>
      </c>
      <c r="G1399" s="7" t="s">
        <v>3782</v>
      </c>
      <c r="H1399" s="7">
        <v>0.4</v>
      </c>
      <c r="I1399" s="7">
        <v>8</v>
      </c>
      <c r="J1399" s="7">
        <v>800</v>
      </c>
      <c r="K1399" s="7">
        <v>600</v>
      </c>
      <c r="L1399" s="7">
        <v>150</v>
      </c>
      <c r="M1399" s="7">
        <v>30</v>
      </c>
      <c r="N1399" s="7">
        <v>60</v>
      </c>
      <c r="O1399" s="7">
        <v>225</v>
      </c>
      <c r="P1399" s="7">
        <v>250</v>
      </c>
    </row>
    <row r="1400" spans="1:16" s="10" customFormat="1">
      <c r="A1400" s="7">
        <f>IF(B1400="","",SUBTOTAL(103,$B$2:B1400))</f>
        <v>1399</v>
      </c>
      <c r="B1400" s="8" t="s">
        <v>3702</v>
      </c>
      <c r="C1400" s="7" t="s">
        <v>3512</v>
      </c>
      <c r="D1400" s="9" t="s">
        <v>3783</v>
      </c>
      <c r="E1400" s="7" t="s">
        <v>3767</v>
      </c>
      <c r="F1400" s="7" t="s">
        <v>1357</v>
      </c>
      <c r="G1400" s="7" t="s">
        <v>3784</v>
      </c>
      <c r="H1400" s="7">
        <v>6.2E-2</v>
      </c>
      <c r="I1400" s="7">
        <v>48</v>
      </c>
      <c r="J1400" s="7">
        <v>800</v>
      </c>
      <c r="K1400" s="7">
        <v>600</v>
      </c>
      <c r="L1400" s="7">
        <v>150</v>
      </c>
      <c r="M1400" s="7">
        <v>30</v>
      </c>
      <c r="N1400" s="7">
        <v>60</v>
      </c>
      <c r="O1400" s="7">
        <v>41</v>
      </c>
      <c r="P1400" s="7">
        <v>155</v>
      </c>
    </row>
    <row r="1401" spans="1:16" s="10" customFormat="1">
      <c r="A1401" s="7">
        <f>IF(B1401="","",SUBTOTAL(103,$B$2:B1401))</f>
        <v>1400</v>
      </c>
      <c r="B1401" s="8" t="s">
        <v>3765</v>
      </c>
      <c r="C1401" s="7" t="s">
        <v>3785</v>
      </c>
      <c r="D1401" s="9" t="s">
        <v>3786</v>
      </c>
      <c r="E1401" s="7" t="s">
        <v>3767</v>
      </c>
      <c r="F1401" s="7" t="s">
        <v>1360</v>
      </c>
      <c r="G1401" s="7" t="s">
        <v>3787</v>
      </c>
      <c r="H1401" s="7">
        <v>6.2E-2</v>
      </c>
      <c r="I1401" s="7">
        <v>48</v>
      </c>
      <c r="J1401" s="7">
        <v>800</v>
      </c>
      <c r="K1401" s="7">
        <v>600</v>
      </c>
      <c r="L1401" s="7">
        <v>150</v>
      </c>
      <c r="M1401" s="7">
        <v>30</v>
      </c>
      <c r="N1401" s="7">
        <v>60</v>
      </c>
      <c r="O1401" s="7">
        <v>41</v>
      </c>
      <c r="P1401" s="7">
        <v>155</v>
      </c>
    </row>
    <row r="1402" spans="1:16" s="10" customFormat="1">
      <c r="A1402" s="7">
        <f>IF(B1402="","",SUBTOTAL(103,$B$2:B1402))</f>
        <v>1401</v>
      </c>
      <c r="B1402" s="8" t="s">
        <v>3765</v>
      </c>
      <c r="C1402" s="7" t="s">
        <v>3788</v>
      </c>
      <c r="D1402" s="9" t="s">
        <v>3789</v>
      </c>
      <c r="E1402" s="7" t="s">
        <v>3767</v>
      </c>
      <c r="F1402" s="7" t="s">
        <v>1334</v>
      </c>
      <c r="G1402" s="7" t="s">
        <v>3790</v>
      </c>
      <c r="H1402" s="7">
        <v>0.189</v>
      </c>
      <c r="I1402" s="7">
        <v>12</v>
      </c>
      <c r="J1402" s="7">
        <v>800</v>
      </c>
      <c r="K1402" s="7">
        <v>600</v>
      </c>
      <c r="L1402" s="7">
        <v>150</v>
      </c>
      <c r="M1402" s="7">
        <v>30</v>
      </c>
      <c r="N1402" s="7">
        <v>60</v>
      </c>
      <c r="O1402" s="7">
        <v>150</v>
      </c>
      <c r="P1402" s="7">
        <v>215</v>
      </c>
    </row>
    <row r="1403" spans="1:16">
      <c r="A1403" s="7">
        <f>IF(B1403="","",SUBTOTAL(103,$B$2:B1403))</f>
        <v>1402</v>
      </c>
      <c r="B1403" s="8" t="s">
        <v>3765</v>
      </c>
      <c r="C1403" s="7" t="s">
        <v>3791</v>
      </c>
      <c r="D1403" s="9" t="s">
        <v>3792</v>
      </c>
      <c r="E1403" s="7" t="s">
        <v>3793</v>
      </c>
      <c r="F1403" s="7" t="s">
        <v>1300</v>
      </c>
      <c r="G1403" s="7" t="s">
        <v>3794</v>
      </c>
      <c r="H1403" s="7">
        <v>0.124</v>
      </c>
      <c r="I1403" s="7">
        <v>32</v>
      </c>
      <c r="J1403" s="7">
        <v>800</v>
      </c>
      <c r="K1403" s="7">
        <v>600</v>
      </c>
      <c r="L1403" s="7">
        <v>150</v>
      </c>
      <c r="M1403" s="7">
        <v>30</v>
      </c>
      <c r="N1403" s="7">
        <v>60</v>
      </c>
      <c r="O1403" s="7">
        <v>54</v>
      </c>
      <c r="P1403" s="7">
        <v>165</v>
      </c>
    </row>
    <row r="1404" spans="1:16" s="10" customFormat="1">
      <c r="A1404" s="7">
        <f>IF(B1404="","",SUBTOTAL(103,$B$2:B1404))</f>
        <v>1403</v>
      </c>
      <c r="B1404" s="8" t="s">
        <v>3795</v>
      </c>
      <c r="C1404" s="7" t="s">
        <v>3796</v>
      </c>
      <c r="D1404" s="9" t="s">
        <v>3797</v>
      </c>
      <c r="E1404" s="7" t="s">
        <v>3798</v>
      </c>
      <c r="F1404" s="7" t="s">
        <v>3799</v>
      </c>
      <c r="G1404" s="7" t="s">
        <v>3800</v>
      </c>
      <c r="H1404" s="7">
        <v>0.13900000000000001</v>
      </c>
      <c r="I1404" s="7">
        <v>36</v>
      </c>
      <c r="J1404" s="7">
        <v>800</v>
      </c>
      <c r="K1404" s="7">
        <v>600</v>
      </c>
      <c r="L1404" s="7">
        <v>150</v>
      </c>
      <c r="M1404" s="7">
        <v>30</v>
      </c>
      <c r="N1404" s="7">
        <v>60</v>
      </c>
      <c r="O1404" s="7">
        <v>55</v>
      </c>
      <c r="P1404" s="7">
        <v>140</v>
      </c>
    </row>
    <row r="1405" spans="1:16" s="10" customFormat="1">
      <c r="A1405" s="7">
        <f>IF(B1405="","",SUBTOTAL(103,$B$2:B1405))</f>
        <v>1404</v>
      </c>
      <c r="B1405" s="8" t="s">
        <v>3795</v>
      </c>
      <c r="C1405" s="7" t="s">
        <v>3801</v>
      </c>
      <c r="D1405" s="9" t="s">
        <v>3802</v>
      </c>
      <c r="E1405" s="7" t="s">
        <v>3798</v>
      </c>
      <c r="F1405" s="7" t="s">
        <v>3803</v>
      </c>
      <c r="G1405" s="7" t="s">
        <v>3804</v>
      </c>
      <c r="H1405" s="7">
        <v>0.11700000000000001</v>
      </c>
      <c r="I1405" s="7">
        <v>48</v>
      </c>
      <c r="J1405" s="7">
        <v>800</v>
      </c>
      <c r="K1405" s="7">
        <v>600</v>
      </c>
      <c r="L1405" s="7">
        <v>150</v>
      </c>
      <c r="M1405" s="7">
        <v>30</v>
      </c>
      <c r="N1405" s="7">
        <v>60</v>
      </c>
      <c r="O1405" s="7">
        <v>41</v>
      </c>
      <c r="P1405" s="7">
        <v>140</v>
      </c>
    </row>
    <row r="1406" spans="1:16" s="10" customFormat="1">
      <c r="A1406" s="7">
        <f>IF(B1406="","",SUBTOTAL(103,$B$2:B1406))</f>
        <v>1405</v>
      </c>
      <c r="B1406" s="8" t="s">
        <v>3795</v>
      </c>
      <c r="C1406" s="7" t="s">
        <v>3805</v>
      </c>
      <c r="D1406" s="9" t="s">
        <v>3806</v>
      </c>
      <c r="E1406" s="7" t="s">
        <v>3798</v>
      </c>
      <c r="F1406" s="7" t="s">
        <v>3807</v>
      </c>
      <c r="G1406" s="7" t="s">
        <v>3808</v>
      </c>
      <c r="H1406" s="7">
        <v>4.8000000000000001E-2</v>
      </c>
      <c r="I1406" s="7">
        <v>68</v>
      </c>
      <c r="J1406" s="7">
        <v>800</v>
      </c>
      <c r="K1406" s="7">
        <v>600</v>
      </c>
      <c r="L1406" s="7">
        <v>150</v>
      </c>
      <c r="M1406" s="7">
        <v>30</v>
      </c>
      <c r="N1406" s="7">
        <v>60</v>
      </c>
      <c r="O1406" s="7">
        <v>30</v>
      </c>
      <c r="P1406" s="7">
        <v>130</v>
      </c>
    </row>
    <row r="1407" spans="1:16" s="10" customFormat="1">
      <c r="A1407" s="7">
        <f>IF(B1407="","",SUBTOTAL(103,$B$2:B1407))</f>
        <v>1406</v>
      </c>
      <c r="B1407" s="8" t="s">
        <v>3795</v>
      </c>
      <c r="C1407" s="7" t="s">
        <v>3805</v>
      </c>
      <c r="D1407" s="9" t="s">
        <v>3809</v>
      </c>
      <c r="E1407" s="7" t="s">
        <v>3798</v>
      </c>
      <c r="F1407" s="7" t="s">
        <v>3810</v>
      </c>
      <c r="G1407" s="7" t="str">
        <f>E1407&amp;F1407</f>
        <v>KI 114  KI-09 HB1/2*1/4 CF8 NPT</v>
      </c>
      <c r="H1407" s="7">
        <v>4.8000000000000001E-2</v>
      </c>
      <c r="I1407" s="7">
        <v>68</v>
      </c>
      <c r="J1407" s="7">
        <v>800</v>
      </c>
      <c r="K1407" s="7">
        <v>600</v>
      </c>
      <c r="L1407" s="7">
        <v>150</v>
      </c>
      <c r="M1407" s="7">
        <v>30</v>
      </c>
      <c r="N1407" s="7">
        <v>60</v>
      </c>
      <c r="O1407" s="7">
        <v>30</v>
      </c>
      <c r="P1407" s="7">
        <v>130</v>
      </c>
    </row>
    <row r="1408" spans="1:16" s="10" customFormat="1">
      <c r="A1408" s="7">
        <f>IF(B1408="","",SUBTOTAL(103,$B$2:B1408))</f>
        <v>1407</v>
      </c>
      <c r="B1408" s="8" t="s">
        <v>3795</v>
      </c>
      <c r="C1408" s="7" t="s">
        <v>3811</v>
      </c>
      <c r="D1408" s="9" t="s">
        <v>3812</v>
      </c>
      <c r="E1408" s="7" t="s">
        <v>3798</v>
      </c>
      <c r="F1408" s="7" t="s">
        <v>3813</v>
      </c>
      <c r="G1408" s="7" t="s">
        <v>3814</v>
      </c>
      <c r="H1408" s="7">
        <v>3.6999999999999998E-2</v>
      </c>
      <c r="I1408" s="7">
        <v>60</v>
      </c>
      <c r="J1408" s="7">
        <v>800</v>
      </c>
      <c r="K1408" s="7">
        <v>600</v>
      </c>
      <c r="L1408" s="7">
        <v>150</v>
      </c>
      <c r="M1408" s="7">
        <v>30</v>
      </c>
      <c r="N1408" s="7">
        <v>60</v>
      </c>
      <c r="O1408" s="7">
        <v>40</v>
      </c>
      <c r="P1408" s="7">
        <v>130</v>
      </c>
    </row>
    <row r="1409" spans="1:16" s="10" customFormat="1">
      <c r="A1409" s="7">
        <f>IF(B1409="","",SUBTOTAL(103,$B$2:B1409))</f>
        <v>1408</v>
      </c>
      <c r="B1409" s="8" t="s">
        <v>3795</v>
      </c>
      <c r="C1409" s="7" t="s">
        <v>3815</v>
      </c>
      <c r="D1409" s="9" t="s">
        <v>3816</v>
      </c>
      <c r="E1409" s="7" t="s">
        <v>3798</v>
      </c>
      <c r="F1409" s="7" t="s">
        <v>3817</v>
      </c>
      <c r="G1409" s="7" t="s">
        <v>3818</v>
      </c>
      <c r="H1409" s="7">
        <v>1.6E-2</v>
      </c>
      <c r="I1409" s="7">
        <v>108</v>
      </c>
      <c r="J1409" s="7">
        <v>800</v>
      </c>
      <c r="K1409" s="7">
        <v>600</v>
      </c>
      <c r="L1409" s="7">
        <v>150</v>
      </c>
      <c r="M1409" s="7">
        <v>30</v>
      </c>
      <c r="N1409" s="7">
        <v>60</v>
      </c>
      <c r="O1409" s="7">
        <v>25</v>
      </c>
      <c r="P1409" s="7">
        <v>110</v>
      </c>
    </row>
    <row r="1410" spans="1:16" s="10" customFormat="1">
      <c r="A1410" s="7">
        <f>IF(B1410="","",SUBTOTAL(103,$B$2:B1410))</f>
        <v>1409</v>
      </c>
      <c r="B1410" s="8" t="s">
        <v>3795</v>
      </c>
      <c r="C1410" s="7" t="s">
        <v>3819</v>
      </c>
      <c r="D1410" s="9" t="s">
        <v>3820</v>
      </c>
      <c r="E1410" s="7" t="s">
        <v>3798</v>
      </c>
      <c r="F1410" s="7" t="s">
        <v>3821</v>
      </c>
      <c r="G1410" s="7" t="s">
        <v>3822</v>
      </c>
      <c r="H1410" s="7">
        <v>0.32900000000000001</v>
      </c>
      <c r="I1410" s="7">
        <v>10</v>
      </c>
      <c r="J1410" s="7">
        <v>800</v>
      </c>
      <c r="K1410" s="7">
        <v>600</v>
      </c>
      <c r="L1410" s="7">
        <v>150</v>
      </c>
      <c r="M1410" s="7">
        <v>30</v>
      </c>
      <c r="N1410" s="7">
        <v>60</v>
      </c>
      <c r="O1410" s="7">
        <v>195</v>
      </c>
      <c r="P1410" s="7">
        <v>300</v>
      </c>
    </row>
    <row r="1411" spans="1:16" s="10" customFormat="1">
      <c r="A1411" s="7">
        <f>IF(B1411="","",SUBTOTAL(103,$B$2:B1411))</f>
        <v>1410</v>
      </c>
      <c r="B1411" s="8" t="s">
        <v>3795</v>
      </c>
      <c r="C1411" s="7" t="s">
        <v>3819</v>
      </c>
      <c r="D1411" s="9" t="s">
        <v>3823</v>
      </c>
      <c r="E1411" s="7" t="s">
        <v>3798</v>
      </c>
      <c r="F1411" s="7" t="s">
        <v>3824</v>
      </c>
      <c r="G1411" s="7" t="s">
        <v>3825</v>
      </c>
      <c r="H1411" s="7">
        <v>0.32900000000000001</v>
      </c>
      <c r="I1411" s="7">
        <v>10</v>
      </c>
      <c r="J1411" s="7">
        <v>800</v>
      </c>
      <c r="K1411" s="7">
        <v>600</v>
      </c>
      <c r="L1411" s="7">
        <v>150</v>
      </c>
      <c r="M1411" s="7">
        <v>30</v>
      </c>
      <c r="N1411" s="7">
        <v>60</v>
      </c>
      <c r="O1411" s="7">
        <v>195</v>
      </c>
      <c r="P1411" s="7">
        <v>300</v>
      </c>
    </row>
    <row r="1412" spans="1:16" s="10" customFormat="1">
      <c r="A1412" s="7">
        <f>IF(B1412="","",SUBTOTAL(103,$B$2:B1412))</f>
        <v>1411</v>
      </c>
      <c r="B1412" s="8" t="s">
        <v>3795</v>
      </c>
      <c r="C1412" s="7" t="s">
        <v>3826</v>
      </c>
      <c r="D1412" s="9" t="s">
        <v>3827</v>
      </c>
      <c r="E1412" s="7" t="s">
        <v>3798</v>
      </c>
      <c r="F1412" s="7" t="s">
        <v>3828</v>
      </c>
      <c r="G1412" s="7" t="s">
        <v>3829</v>
      </c>
      <c r="H1412" s="7">
        <v>0.33400000000000002</v>
      </c>
      <c r="I1412" s="7">
        <v>12</v>
      </c>
      <c r="J1412" s="7">
        <v>800</v>
      </c>
      <c r="K1412" s="7">
        <v>600</v>
      </c>
      <c r="L1412" s="7">
        <v>150</v>
      </c>
      <c r="M1412" s="7">
        <v>30</v>
      </c>
      <c r="N1412" s="7">
        <v>60</v>
      </c>
      <c r="O1412" s="7">
        <v>150</v>
      </c>
      <c r="P1412" s="7">
        <v>210</v>
      </c>
    </row>
    <row r="1413" spans="1:16" s="10" customFormat="1">
      <c r="A1413" s="7">
        <f>IF(B1413="","",SUBTOTAL(103,$B$2:B1413))</f>
        <v>1412</v>
      </c>
      <c r="B1413" s="8" t="s">
        <v>3795</v>
      </c>
      <c r="C1413" s="7" t="s">
        <v>3830</v>
      </c>
      <c r="D1413" s="9" t="s">
        <v>3831</v>
      </c>
      <c r="E1413" s="7" t="s">
        <v>3798</v>
      </c>
      <c r="F1413" s="7" t="s">
        <v>3832</v>
      </c>
      <c r="G1413" s="7" t="s">
        <v>3833</v>
      </c>
      <c r="H1413" s="7">
        <v>0.20499999999999999</v>
      </c>
      <c r="I1413" s="7">
        <v>36</v>
      </c>
      <c r="J1413" s="7">
        <v>800</v>
      </c>
      <c r="K1413" s="7">
        <v>600</v>
      </c>
      <c r="L1413" s="7">
        <v>150</v>
      </c>
      <c r="M1413" s="7">
        <v>30</v>
      </c>
      <c r="N1413" s="7">
        <v>60</v>
      </c>
      <c r="O1413" s="7">
        <v>55</v>
      </c>
      <c r="P1413" s="7">
        <v>190</v>
      </c>
    </row>
    <row r="1414" spans="1:16" s="10" customFormat="1">
      <c r="A1414" s="7">
        <f>IF(B1414="","",SUBTOTAL(103,$B$2:B1414))</f>
        <v>1413</v>
      </c>
      <c r="B1414" s="8" t="s">
        <v>3795</v>
      </c>
      <c r="C1414" s="7" t="s">
        <v>3834</v>
      </c>
      <c r="D1414" s="9" t="s">
        <v>3835</v>
      </c>
      <c r="E1414" s="7" t="s">
        <v>3798</v>
      </c>
      <c r="F1414" s="7" t="s">
        <v>3836</v>
      </c>
      <c r="G1414" s="7" t="s">
        <v>3837</v>
      </c>
      <c r="H1414" s="7">
        <v>0.24199999999999999</v>
      </c>
      <c r="I1414" s="7">
        <v>36</v>
      </c>
      <c r="J1414" s="7">
        <v>800</v>
      </c>
      <c r="K1414" s="7">
        <v>600</v>
      </c>
      <c r="L1414" s="7">
        <v>150</v>
      </c>
      <c r="M1414" s="7">
        <v>30</v>
      </c>
      <c r="N1414" s="7">
        <v>60</v>
      </c>
      <c r="O1414" s="7">
        <v>55</v>
      </c>
      <c r="P1414" s="7">
        <v>190</v>
      </c>
    </row>
    <row r="1415" spans="1:16" s="10" customFormat="1">
      <c r="A1415" s="7">
        <f>IF(B1415="","",SUBTOTAL(103,$B$2:B1415))</f>
        <v>1414</v>
      </c>
      <c r="B1415" s="8" t="s">
        <v>3795</v>
      </c>
      <c r="C1415" s="7" t="s">
        <v>3838</v>
      </c>
      <c r="D1415" s="9" t="s">
        <v>3839</v>
      </c>
      <c r="E1415" s="7" t="s">
        <v>3798</v>
      </c>
      <c r="F1415" s="7" t="s">
        <v>3840</v>
      </c>
      <c r="G1415" s="7" t="s">
        <v>3841</v>
      </c>
      <c r="H1415" s="7">
        <v>0.55200000000000005</v>
      </c>
      <c r="I1415" s="7">
        <v>8</v>
      </c>
      <c r="J1415" s="7">
        <v>800</v>
      </c>
      <c r="K1415" s="7">
        <v>600</v>
      </c>
      <c r="L1415" s="7">
        <v>150</v>
      </c>
      <c r="M1415" s="7">
        <v>30</v>
      </c>
      <c r="N1415" s="7">
        <v>60</v>
      </c>
      <c r="O1415" s="7">
        <v>225</v>
      </c>
      <c r="P1415" s="7">
        <v>250</v>
      </c>
    </row>
    <row r="1416" spans="1:16" s="10" customFormat="1">
      <c r="A1416" s="7">
        <f>IF(B1416="","",SUBTOTAL(103,$B$2:B1416))</f>
        <v>1415</v>
      </c>
      <c r="B1416" s="8" t="s">
        <v>3795</v>
      </c>
      <c r="C1416" s="7" t="s">
        <v>3842</v>
      </c>
      <c r="D1416" s="9" t="s">
        <v>3843</v>
      </c>
      <c r="E1416" s="7" t="s">
        <v>3798</v>
      </c>
      <c r="F1416" s="7" t="s">
        <v>3844</v>
      </c>
      <c r="G1416" s="7" t="s">
        <v>3845</v>
      </c>
      <c r="H1416" s="7">
        <v>6.4000000000000001E-2</v>
      </c>
      <c r="I1416" s="7">
        <v>5</v>
      </c>
      <c r="J1416" s="7">
        <v>800</v>
      </c>
      <c r="K1416" s="7">
        <v>600</v>
      </c>
      <c r="L1416" s="7">
        <v>150</v>
      </c>
      <c r="M1416" s="7">
        <v>30</v>
      </c>
      <c r="N1416" s="7">
        <v>60</v>
      </c>
      <c r="O1416" s="7">
        <v>400</v>
      </c>
      <c r="P1416" s="7">
        <v>565</v>
      </c>
    </row>
    <row r="1417" spans="1:16" s="10" customFormat="1">
      <c r="A1417" s="7">
        <f>IF(B1417="","",SUBTOTAL(103,$B$2:B1417))</f>
        <v>1416</v>
      </c>
      <c r="B1417" s="8" t="s">
        <v>3795</v>
      </c>
      <c r="C1417" s="7" t="s">
        <v>3846</v>
      </c>
      <c r="D1417" s="9" t="s">
        <v>3847</v>
      </c>
      <c r="E1417" s="7" t="s">
        <v>3798</v>
      </c>
      <c r="F1417" s="7" t="s">
        <v>3848</v>
      </c>
      <c r="G1417" s="7" t="s">
        <v>3849</v>
      </c>
      <c r="H1417" s="7">
        <v>6.4000000000000001E-2</v>
      </c>
      <c r="I1417" s="7">
        <v>48</v>
      </c>
      <c r="J1417" s="7">
        <v>800</v>
      </c>
      <c r="K1417" s="7">
        <v>600</v>
      </c>
      <c r="L1417" s="7">
        <v>150</v>
      </c>
      <c r="M1417" s="7">
        <v>30</v>
      </c>
      <c r="N1417" s="7">
        <v>60</v>
      </c>
      <c r="O1417" s="7">
        <v>41</v>
      </c>
      <c r="P1417" s="7">
        <v>140</v>
      </c>
    </row>
    <row r="1418" spans="1:16" s="10" customFormat="1">
      <c r="A1418" s="7">
        <f>IF(B1418="","",SUBTOTAL(103,$B$2:B1418))</f>
        <v>1417</v>
      </c>
      <c r="B1418" s="8" t="s">
        <v>3795</v>
      </c>
      <c r="C1418" s="7" t="s">
        <v>3850</v>
      </c>
      <c r="D1418" s="9" t="s">
        <v>3851</v>
      </c>
      <c r="E1418" s="7" t="s">
        <v>3798</v>
      </c>
      <c r="F1418" s="7" t="s">
        <v>3852</v>
      </c>
      <c r="G1418" s="7" t="s">
        <v>3853</v>
      </c>
      <c r="H1418" s="7">
        <v>2.1000000000000001E-2</v>
      </c>
      <c r="I1418" s="7">
        <v>68</v>
      </c>
      <c r="J1418" s="7">
        <v>800</v>
      </c>
      <c r="K1418" s="7">
        <v>600</v>
      </c>
      <c r="L1418" s="7">
        <v>150</v>
      </c>
      <c r="M1418" s="7">
        <v>30</v>
      </c>
      <c r="N1418" s="7">
        <v>60</v>
      </c>
      <c r="O1418" s="7">
        <v>30</v>
      </c>
      <c r="P1418" s="7">
        <v>125</v>
      </c>
    </row>
    <row r="1419" spans="1:16" s="10" customFormat="1">
      <c r="A1419" s="7">
        <f>IF(B1419="","",SUBTOTAL(103,$B$2:B1419))</f>
        <v>1418</v>
      </c>
      <c r="B1419" s="8" t="s">
        <v>3795</v>
      </c>
      <c r="C1419" s="7" t="s">
        <v>3854</v>
      </c>
      <c r="D1419" s="9" t="s">
        <v>3855</v>
      </c>
      <c r="E1419" s="7" t="s">
        <v>3798</v>
      </c>
      <c r="F1419" s="7" t="s">
        <v>3856</v>
      </c>
      <c r="G1419" s="7" t="s">
        <v>3857</v>
      </c>
      <c r="H1419" s="7">
        <v>2.8000000000000001E-2</v>
      </c>
      <c r="I1419" s="7">
        <v>80</v>
      </c>
      <c r="J1419" s="7">
        <v>800</v>
      </c>
      <c r="K1419" s="7">
        <v>600</v>
      </c>
      <c r="L1419" s="7">
        <v>150</v>
      </c>
      <c r="M1419" s="7">
        <v>30</v>
      </c>
      <c r="N1419" s="7">
        <v>60</v>
      </c>
      <c r="O1419" s="7">
        <v>25</v>
      </c>
      <c r="P1419" s="7">
        <v>115</v>
      </c>
    </row>
    <row r="1420" spans="1:16" s="10" customFormat="1">
      <c r="A1420" s="7">
        <f>IF(B1420="","",SUBTOTAL(103,$B$2:B1420))</f>
        <v>1419</v>
      </c>
      <c r="B1420" s="8" t="s">
        <v>3858</v>
      </c>
      <c r="C1420" s="7" t="s">
        <v>3859</v>
      </c>
      <c r="D1420" s="9" t="s">
        <v>3860</v>
      </c>
      <c r="E1420" s="7" t="s">
        <v>3861</v>
      </c>
      <c r="F1420" s="7" t="s">
        <v>1148</v>
      </c>
      <c r="G1420" s="7" t="s">
        <v>3862</v>
      </c>
      <c r="H1420" s="7">
        <v>0.114</v>
      </c>
      <c r="I1420" s="7">
        <v>36</v>
      </c>
      <c r="J1420" s="7">
        <v>800</v>
      </c>
      <c r="K1420" s="7">
        <v>600</v>
      </c>
      <c r="L1420" s="7">
        <v>150</v>
      </c>
      <c r="M1420" s="7">
        <v>30</v>
      </c>
      <c r="N1420" s="7">
        <v>60</v>
      </c>
      <c r="O1420" s="7">
        <v>55</v>
      </c>
      <c r="P1420" s="7">
        <v>140</v>
      </c>
    </row>
    <row r="1421" spans="1:16" s="10" customFormat="1">
      <c r="A1421" s="7">
        <f>IF(B1421="","",SUBTOTAL(103,$B$2:B1421))</f>
        <v>1420</v>
      </c>
      <c r="B1421" s="8" t="s">
        <v>3858</v>
      </c>
      <c r="C1421" s="7" t="s">
        <v>3859</v>
      </c>
      <c r="D1421" s="9" t="s">
        <v>3863</v>
      </c>
      <c r="E1421" s="7" t="s">
        <v>3861</v>
      </c>
      <c r="F1421" s="7" t="s">
        <v>1151</v>
      </c>
      <c r="G1421" s="7" t="s">
        <v>3864</v>
      </c>
      <c r="H1421" s="7">
        <v>0.114</v>
      </c>
      <c r="I1421" s="7">
        <v>36</v>
      </c>
      <c r="J1421" s="7">
        <v>800</v>
      </c>
      <c r="K1421" s="7">
        <v>600</v>
      </c>
      <c r="L1421" s="7">
        <v>150</v>
      </c>
      <c r="M1421" s="7">
        <v>30</v>
      </c>
      <c r="N1421" s="7">
        <v>60</v>
      </c>
      <c r="O1421" s="7">
        <v>55</v>
      </c>
      <c r="P1421" s="7">
        <v>140</v>
      </c>
    </row>
    <row r="1422" spans="1:16" s="10" customFormat="1">
      <c r="A1422" s="7">
        <f>IF(B1422="","",SUBTOTAL(103,$B$2:B1422))</f>
        <v>1421</v>
      </c>
      <c r="B1422" s="8" t="s">
        <v>3858</v>
      </c>
      <c r="C1422" s="7" t="s">
        <v>3865</v>
      </c>
      <c r="D1422" s="9" t="s">
        <v>3866</v>
      </c>
      <c r="E1422" s="7" t="s">
        <v>3861</v>
      </c>
      <c r="F1422" s="7" t="s">
        <v>1155</v>
      </c>
      <c r="G1422" s="7" t="s">
        <v>3867</v>
      </c>
      <c r="H1422" s="7">
        <v>0.34699999999999998</v>
      </c>
      <c r="I1422" s="7">
        <v>36</v>
      </c>
      <c r="J1422" s="7">
        <v>800</v>
      </c>
      <c r="K1422" s="7">
        <v>600</v>
      </c>
      <c r="L1422" s="7">
        <v>150</v>
      </c>
      <c r="M1422" s="7">
        <v>30</v>
      </c>
      <c r="N1422" s="7">
        <v>60</v>
      </c>
      <c r="O1422" s="7">
        <v>55</v>
      </c>
      <c r="P1422" s="7">
        <v>130</v>
      </c>
    </row>
    <row r="1423" spans="1:16" s="10" customFormat="1">
      <c r="A1423" s="7">
        <f>IF(B1423="","",SUBTOTAL(103,$B$2:B1423))</f>
        <v>1422</v>
      </c>
      <c r="B1423" s="8" t="s">
        <v>3858</v>
      </c>
      <c r="C1423" s="7" t="s">
        <v>3865</v>
      </c>
      <c r="D1423" s="9" t="s">
        <v>3868</v>
      </c>
      <c r="E1423" s="7" t="s">
        <v>3861</v>
      </c>
      <c r="F1423" s="7" t="s">
        <v>1158</v>
      </c>
      <c r="G1423" s="7" t="s">
        <v>3869</v>
      </c>
      <c r="H1423" s="7">
        <v>4.5999999999999999E-2</v>
      </c>
      <c r="I1423" s="7">
        <v>36</v>
      </c>
      <c r="J1423" s="7">
        <v>800</v>
      </c>
      <c r="K1423" s="7">
        <v>600</v>
      </c>
      <c r="L1423" s="7">
        <v>150</v>
      </c>
      <c r="M1423" s="7">
        <v>30</v>
      </c>
      <c r="N1423" s="7">
        <v>60</v>
      </c>
      <c r="O1423" s="7">
        <v>55</v>
      </c>
      <c r="P1423" s="7">
        <v>130</v>
      </c>
    </row>
    <row r="1424" spans="1:16" s="10" customFormat="1">
      <c r="A1424" s="7">
        <f>IF(B1424="","",SUBTOTAL(103,$B$2:B1424))</f>
        <v>1423</v>
      </c>
      <c r="B1424" s="8" t="s">
        <v>3858</v>
      </c>
      <c r="C1424" s="7" t="s">
        <v>3870</v>
      </c>
      <c r="D1424" s="9" t="s">
        <v>3871</v>
      </c>
      <c r="E1424" s="7" t="s">
        <v>3861</v>
      </c>
      <c r="F1424" s="7" t="s">
        <v>3872</v>
      </c>
      <c r="G1424" s="7" t="s">
        <v>3873</v>
      </c>
      <c r="H1424" s="7">
        <v>1.4999999999999999E-2</v>
      </c>
      <c r="I1424" s="7">
        <v>32</v>
      </c>
      <c r="J1424" s="7">
        <v>800</v>
      </c>
      <c r="K1424" s="7">
        <v>600</v>
      </c>
      <c r="L1424" s="7">
        <v>150</v>
      </c>
      <c r="M1424" s="7">
        <v>30</v>
      </c>
      <c r="N1424" s="7">
        <v>60</v>
      </c>
      <c r="O1424" s="7">
        <v>54</v>
      </c>
      <c r="P1424" s="7">
        <v>110</v>
      </c>
    </row>
    <row r="1425" spans="1:16" s="10" customFormat="1">
      <c r="A1425" s="7">
        <f>IF(B1425="","",SUBTOTAL(103,$B$2:B1425))</f>
        <v>1424</v>
      </c>
      <c r="B1425" s="8" t="s">
        <v>3858</v>
      </c>
      <c r="C1425" s="7" t="s">
        <v>3870</v>
      </c>
      <c r="D1425" s="9" t="s">
        <v>3874</v>
      </c>
      <c r="E1425" s="7" t="s">
        <v>3861</v>
      </c>
      <c r="F1425" s="7" t="s">
        <v>3875</v>
      </c>
      <c r="G1425" s="7" t="s">
        <v>3876</v>
      </c>
      <c r="H1425" s="7">
        <v>4.8000000000000001E-2</v>
      </c>
      <c r="I1425" s="7">
        <v>32</v>
      </c>
      <c r="J1425" s="7">
        <v>800</v>
      </c>
      <c r="K1425" s="7">
        <v>600</v>
      </c>
      <c r="L1425" s="7">
        <v>150</v>
      </c>
      <c r="M1425" s="7">
        <v>30</v>
      </c>
      <c r="N1425" s="7">
        <v>60</v>
      </c>
      <c r="O1425" s="7">
        <v>54</v>
      </c>
      <c r="P1425" s="7">
        <v>110</v>
      </c>
    </row>
    <row r="1426" spans="1:16" s="10" customFormat="1">
      <c r="A1426" s="7">
        <f>IF(B1426="","",SUBTOTAL(103,$B$2:B1426))</f>
        <v>1425</v>
      </c>
      <c r="B1426" s="8" t="s">
        <v>3858</v>
      </c>
      <c r="C1426" s="7" t="s">
        <v>3877</v>
      </c>
      <c r="D1426" s="9" t="s">
        <v>3878</v>
      </c>
      <c r="E1426" s="7" t="s">
        <v>3861</v>
      </c>
      <c r="F1426" s="7" t="s">
        <v>1162</v>
      </c>
      <c r="G1426" s="7" t="s">
        <v>3879</v>
      </c>
      <c r="H1426" s="7">
        <v>0.10100000000000001</v>
      </c>
      <c r="I1426" s="7">
        <v>48</v>
      </c>
      <c r="J1426" s="7">
        <v>800</v>
      </c>
      <c r="K1426" s="7">
        <v>600</v>
      </c>
      <c r="L1426" s="7">
        <v>150</v>
      </c>
      <c r="M1426" s="7">
        <v>30</v>
      </c>
      <c r="N1426" s="7">
        <v>60</v>
      </c>
      <c r="O1426" s="7">
        <v>41</v>
      </c>
      <c r="P1426" s="7">
        <v>140</v>
      </c>
    </row>
    <row r="1427" spans="1:16" s="10" customFormat="1">
      <c r="A1427" s="7">
        <f>IF(B1427="","",SUBTOTAL(103,$B$2:B1427))</f>
        <v>1426</v>
      </c>
      <c r="B1427" s="8" t="s">
        <v>3858</v>
      </c>
      <c r="C1427" s="7" t="s">
        <v>3877</v>
      </c>
      <c r="D1427" s="9" t="s">
        <v>3880</v>
      </c>
      <c r="E1427" s="7" t="s">
        <v>3861</v>
      </c>
      <c r="F1427" s="7" t="s">
        <v>1165</v>
      </c>
      <c r="G1427" s="7" t="s">
        <v>3881</v>
      </c>
      <c r="H1427" s="7">
        <v>0.10100000000000001</v>
      </c>
      <c r="I1427" s="7">
        <v>48</v>
      </c>
      <c r="J1427" s="7">
        <v>800</v>
      </c>
      <c r="K1427" s="7">
        <v>600</v>
      </c>
      <c r="L1427" s="7">
        <v>150</v>
      </c>
      <c r="M1427" s="7">
        <v>30</v>
      </c>
      <c r="N1427" s="7">
        <v>60</v>
      </c>
      <c r="O1427" s="7">
        <v>41</v>
      </c>
      <c r="P1427" s="7">
        <v>140</v>
      </c>
    </row>
    <row r="1428" spans="1:16" s="10" customFormat="1">
      <c r="A1428" s="7">
        <f>IF(B1428="","",SUBTOTAL(103,$B$2:B1428))</f>
        <v>1427</v>
      </c>
      <c r="B1428" s="8" t="s">
        <v>3858</v>
      </c>
      <c r="C1428" s="7" t="s">
        <v>3882</v>
      </c>
      <c r="D1428" s="9" t="s">
        <v>3883</v>
      </c>
      <c r="E1428" s="7" t="s">
        <v>3861</v>
      </c>
      <c r="F1428" s="7" t="s">
        <v>1169</v>
      </c>
      <c r="G1428" s="7" t="s">
        <v>3884</v>
      </c>
      <c r="H1428" s="7">
        <v>4.9000000000000002E-2</v>
      </c>
      <c r="I1428" s="7">
        <v>36</v>
      </c>
      <c r="J1428" s="7">
        <v>800</v>
      </c>
      <c r="K1428" s="7">
        <v>600</v>
      </c>
      <c r="L1428" s="7">
        <v>150</v>
      </c>
      <c r="M1428" s="7">
        <v>30</v>
      </c>
      <c r="N1428" s="7">
        <v>60</v>
      </c>
      <c r="O1428" s="7">
        <v>55</v>
      </c>
      <c r="P1428" s="7">
        <v>130</v>
      </c>
    </row>
    <row r="1429" spans="1:16" s="10" customFormat="1">
      <c r="A1429" s="7">
        <f>IF(B1429="","",SUBTOTAL(103,$B$2:B1429))</f>
        <v>1428</v>
      </c>
      <c r="B1429" s="8" t="s">
        <v>3858</v>
      </c>
      <c r="C1429" s="7" t="s">
        <v>3882</v>
      </c>
      <c r="D1429" s="9" t="s">
        <v>3885</v>
      </c>
      <c r="E1429" s="7" t="s">
        <v>3861</v>
      </c>
      <c r="F1429" s="7" t="s">
        <v>1172</v>
      </c>
      <c r="G1429" s="7" t="s">
        <v>3886</v>
      </c>
      <c r="H1429" s="7">
        <v>4.9000000000000002E-2</v>
      </c>
      <c r="I1429" s="7">
        <v>36</v>
      </c>
      <c r="J1429" s="7">
        <v>800</v>
      </c>
      <c r="K1429" s="7">
        <v>600</v>
      </c>
      <c r="L1429" s="7">
        <v>150</v>
      </c>
      <c r="M1429" s="7">
        <v>30</v>
      </c>
      <c r="N1429" s="7">
        <v>60</v>
      </c>
      <c r="O1429" s="7">
        <v>55</v>
      </c>
      <c r="P1429" s="7">
        <v>130</v>
      </c>
    </row>
    <row r="1430" spans="1:16" s="10" customFormat="1">
      <c r="A1430" s="7">
        <f>IF(B1430="","",SUBTOTAL(103,$B$2:B1430))</f>
        <v>1429</v>
      </c>
      <c r="B1430" s="8" t="s">
        <v>3858</v>
      </c>
      <c r="C1430" s="7" t="s">
        <v>3887</v>
      </c>
      <c r="D1430" s="9" t="s">
        <v>3888</v>
      </c>
      <c r="E1430" s="7" t="s">
        <v>3861</v>
      </c>
      <c r="F1430" s="7" t="s">
        <v>1176</v>
      </c>
      <c r="G1430" s="7" t="s">
        <v>3889</v>
      </c>
      <c r="H1430" s="7">
        <v>4.5999999999999999E-2</v>
      </c>
      <c r="I1430" s="7">
        <v>80</v>
      </c>
      <c r="J1430" s="7">
        <v>800</v>
      </c>
      <c r="K1430" s="7">
        <v>600</v>
      </c>
      <c r="L1430" s="7">
        <v>150</v>
      </c>
      <c r="M1430" s="7">
        <v>30</v>
      </c>
      <c r="N1430" s="7">
        <v>60</v>
      </c>
      <c r="O1430" s="7">
        <v>25</v>
      </c>
      <c r="P1430" s="7">
        <v>130</v>
      </c>
    </row>
    <row r="1431" spans="1:16" s="10" customFormat="1">
      <c r="A1431" s="7">
        <f>IF(B1431="","",SUBTOTAL(103,$B$2:B1431))</f>
        <v>1430</v>
      </c>
      <c r="B1431" s="8" t="s">
        <v>3858</v>
      </c>
      <c r="C1431" s="7" t="s">
        <v>3887</v>
      </c>
      <c r="D1431" s="9" t="s">
        <v>3890</v>
      </c>
      <c r="E1431" s="7" t="s">
        <v>3861</v>
      </c>
      <c r="F1431" s="7" t="s">
        <v>1179</v>
      </c>
      <c r="G1431" s="7" t="s">
        <v>3891</v>
      </c>
      <c r="H1431" s="7">
        <v>4.5999999999999999E-2</v>
      </c>
      <c r="I1431" s="7">
        <v>80</v>
      </c>
      <c r="J1431" s="7">
        <v>800</v>
      </c>
      <c r="K1431" s="7">
        <v>600</v>
      </c>
      <c r="L1431" s="7">
        <v>150</v>
      </c>
      <c r="M1431" s="7">
        <v>30</v>
      </c>
      <c r="N1431" s="7">
        <v>60</v>
      </c>
      <c r="O1431" s="7">
        <v>25</v>
      </c>
      <c r="P1431" s="7">
        <v>130</v>
      </c>
    </row>
    <row r="1432" spans="1:16" s="10" customFormat="1">
      <c r="A1432" s="7">
        <f>IF(B1432="","",SUBTOTAL(103,$B$2:B1432))</f>
        <v>1431</v>
      </c>
      <c r="B1432" s="8" t="s">
        <v>3858</v>
      </c>
      <c r="C1432" s="7" t="s">
        <v>3892</v>
      </c>
      <c r="D1432" s="9" t="s">
        <v>3893</v>
      </c>
      <c r="E1432" s="7" t="s">
        <v>3861</v>
      </c>
      <c r="F1432" s="7" t="s">
        <v>1183</v>
      </c>
      <c r="G1432" s="7" t="s">
        <v>3894</v>
      </c>
      <c r="H1432" s="7">
        <v>4.8000000000000001E-2</v>
      </c>
      <c r="I1432" s="7">
        <v>80</v>
      </c>
      <c r="J1432" s="7">
        <v>800</v>
      </c>
      <c r="K1432" s="7">
        <v>600</v>
      </c>
      <c r="L1432" s="7">
        <v>150</v>
      </c>
      <c r="M1432" s="7">
        <v>30</v>
      </c>
      <c r="N1432" s="7">
        <v>60</v>
      </c>
      <c r="O1432" s="7">
        <v>25</v>
      </c>
      <c r="P1432" s="7">
        <v>125</v>
      </c>
    </row>
    <row r="1433" spans="1:16" s="10" customFormat="1">
      <c r="A1433" s="7">
        <f>IF(B1433="","",SUBTOTAL(103,$B$2:B1433))</f>
        <v>1432</v>
      </c>
      <c r="B1433" s="8" t="s">
        <v>3858</v>
      </c>
      <c r="C1433" s="7" t="s">
        <v>3892</v>
      </c>
      <c r="D1433" s="9" t="s">
        <v>3895</v>
      </c>
      <c r="E1433" s="7" t="s">
        <v>3861</v>
      </c>
      <c r="F1433" s="7" t="s">
        <v>1186</v>
      </c>
      <c r="G1433" s="7" t="s">
        <v>3896</v>
      </c>
      <c r="H1433" s="7">
        <v>4.8000000000000001E-2</v>
      </c>
      <c r="I1433" s="7">
        <v>80</v>
      </c>
      <c r="J1433" s="7">
        <v>800</v>
      </c>
      <c r="K1433" s="7">
        <v>600</v>
      </c>
      <c r="L1433" s="7">
        <v>150</v>
      </c>
      <c r="M1433" s="7">
        <v>30</v>
      </c>
      <c r="N1433" s="7">
        <v>60</v>
      </c>
      <c r="O1433" s="7">
        <v>25</v>
      </c>
      <c r="P1433" s="7">
        <v>125</v>
      </c>
    </row>
    <row r="1434" spans="1:16" s="10" customFormat="1">
      <c r="A1434" s="7">
        <f>IF(B1434="","",SUBTOTAL(103,$B$2:B1434))</f>
        <v>1433</v>
      </c>
      <c r="B1434" s="8" t="s">
        <v>3858</v>
      </c>
      <c r="C1434" s="7" t="s">
        <v>3897</v>
      </c>
      <c r="D1434" s="9" t="s">
        <v>3898</v>
      </c>
      <c r="E1434" s="7" t="s">
        <v>3861</v>
      </c>
      <c r="F1434" s="7" t="s">
        <v>1190</v>
      </c>
      <c r="G1434" s="7" t="s">
        <v>3899</v>
      </c>
      <c r="H1434" s="7">
        <v>4.9000000000000002E-2</v>
      </c>
      <c r="I1434" s="7">
        <v>80</v>
      </c>
      <c r="J1434" s="7">
        <v>800</v>
      </c>
      <c r="K1434" s="7">
        <v>600</v>
      </c>
      <c r="L1434" s="7">
        <v>150</v>
      </c>
      <c r="M1434" s="7">
        <v>30</v>
      </c>
      <c r="N1434" s="7">
        <v>60</v>
      </c>
      <c r="O1434" s="7">
        <v>25</v>
      </c>
      <c r="P1434" s="7">
        <v>130</v>
      </c>
    </row>
    <row r="1435" spans="1:16" s="10" customFormat="1">
      <c r="A1435" s="7">
        <f>IF(B1435="","",SUBTOTAL(103,$B$2:B1435))</f>
        <v>1434</v>
      </c>
      <c r="B1435" s="8" t="s">
        <v>3858</v>
      </c>
      <c r="C1435" s="7" t="s">
        <v>3897</v>
      </c>
      <c r="D1435" s="9" t="s">
        <v>3900</v>
      </c>
      <c r="E1435" s="7" t="s">
        <v>3861</v>
      </c>
      <c r="F1435" s="7" t="s">
        <v>1193</v>
      </c>
      <c r="G1435" s="7" t="s">
        <v>3901</v>
      </c>
      <c r="H1435" s="7">
        <v>4.9000000000000002E-2</v>
      </c>
      <c r="I1435" s="7">
        <v>80</v>
      </c>
      <c r="J1435" s="7">
        <v>800</v>
      </c>
      <c r="K1435" s="7">
        <v>600</v>
      </c>
      <c r="L1435" s="7">
        <v>150</v>
      </c>
      <c r="M1435" s="7">
        <v>30</v>
      </c>
      <c r="N1435" s="7">
        <v>60</v>
      </c>
      <c r="O1435" s="7">
        <v>25</v>
      </c>
      <c r="P1435" s="7">
        <v>130</v>
      </c>
    </row>
    <row r="1436" spans="1:16" s="10" customFormat="1">
      <c r="A1436" s="7">
        <f>IF(B1436="","",SUBTOTAL(103,$B$2:B1436))</f>
        <v>1435</v>
      </c>
      <c r="B1436" s="8" t="s">
        <v>3858</v>
      </c>
      <c r="C1436" s="7" t="s">
        <v>3902</v>
      </c>
      <c r="D1436" s="9" t="s">
        <v>3903</v>
      </c>
      <c r="E1436" s="7" t="s">
        <v>3861</v>
      </c>
      <c r="F1436" s="7" t="s">
        <v>1197</v>
      </c>
      <c r="G1436" s="7" t="s">
        <v>3904</v>
      </c>
      <c r="H1436" s="7">
        <v>1.4999999999999999E-2</v>
      </c>
      <c r="I1436" s="7">
        <v>108</v>
      </c>
      <c r="J1436" s="7">
        <v>800</v>
      </c>
      <c r="K1436" s="7">
        <v>600</v>
      </c>
      <c r="L1436" s="7">
        <v>150</v>
      </c>
      <c r="M1436" s="7">
        <v>30</v>
      </c>
      <c r="N1436" s="7">
        <v>60</v>
      </c>
      <c r="O1436" s="7">
        <v>25</v>
      </c>
      <c r="P1436" s="7">
        <v>110</v>
      </c>
    </row>
    <row r="1437" spans="1:16" s="10" customFormat="1">
      <c r="A1437" s="7">
        <f>IF(B1437="","",SUBTOTAL(103,$B$2:B1437))</f>
        <v>1436</v>
      </c>
      <c r="B1437" s="8" t="s">
        <v>3858</v>
      </c>
      <c r="C1437" s="7" t="s">
        <v>3902</v>
      </c>
      <c r="D1437" s="9" t="s">
        <v>3905</v>
      </c>
      <c r="E1437" s="7" t="s">
        <v>3861</v>
      </c>
      <c r="F1437" s="7" t="s">
        <v>1200</v>
      </c>
      <c r="G1437" s="7" t="s">
        <v>3906</v>
      </c>
      <c r="H1437" s="7">
        <v>1.4999999999999999E-2</v>
      </c>
      <c r="I1437" s="7">
        <v>32</v>
      </c>
      <c r="J1437" s="7">
        <v>800</v>
      </c>
      <c r="K1437" s="7">
        <v>600</v>
      </c>
      <c r="L1437" s="7">
        <v>150</v>
      </c>
      <c r="M1437" s="7">
        <v>30</v>
      </c>
      <c r="N1437" s="7">
        <v>60</v>
      </c>
      <c r="O1437" s="7">
        <v>54</v>
      </c>
      <c r="P1437" s="7">
        <v>110</v>
      </c>
    </row>
    <row r="1438" spans="1:16" s="10" customFormat="1">
      <c r="A1438" s="7">
        <f>IF(B1438="","",SUBTOTAL(103,$B$2:B1438))</f>
        <v>1437</v>
      </c>
      <c r="B1438" s="8" t="s">
        <v>3858</v>
      </c>
      <c r="C1438" s="7" t="s">
        <v>3907</v>
      </c>
      <c r="D1438" s="9" t="s">
        <v>3908</v>
      </c>
      <c r="E1438" s="7" t="s">
        <v>3861</v>
      </c>
      <c r="F1438" s="7" t="s">
        <v>1204</v>
      </c>
      <c r="G1438" s="7" t="s">
        <v>3909</v>
      </c>
      <c r="H1438" s="7">
        <v>0.312</v>
      </c>
      <c r="I1438" s="7">
        <v>18</v>
      </c>
      <c r="J1438" s="7">
        <v>800</v>
      </c>
      <c r="K1438" s="7">
        <v>600</v>
      </c>
      <c r="L1438" s="7">
        <v>150</v>
      </c>
      <c r="M1438" s="7">
        <v>30</v>
      </c>
      <c r="N1438" s="7">
        <v>60</v>
      </c>
      <c r="O1438" s="7">
        <v>100</v>
      </c>
      <c r="P1438" s="7">
        <v>210</v>
      </c>
    </row>
    <row r="1439" spans="1:16" s="10" customFormat="1">
      <c r="A1439" s="7">
        <f>IF(B1439="","",SUBTOTAL(103,$B$2:B1439))</f>
        <v>1438</v>
      </c>
      <c r="B1439" s="8" t="s">
        <v>3858</v>
      </c>
      <c r="C1439" s="7" t="s">
        <v>3907</v>
      </c>
      <c r="D1439" s="9" t="s">
        <v>3910</v>
      </c>
      <c r="E1439" s="7" t="s">
        <v>3861</v>
      </c>
      <c r="F1439" s="7" t="s">
        <v>1207</v>
      </c>
      <c r="G1439" s="7" t="s">
        <v>3911</v>
      </c>
      <c r="H1439" s="7">
        <v>0.312</v>
      </c>
      <c r="I1439" s="7">
        <v>18</v>
      </c>
      <c r="J1439" s="7">
        <v>800</v>
      </c>
      <c r="K1439" s="7">
        <v>600</v>
      </c>
      <c r="L1439" s="7">
        <v>150</v>
      </c>
      <c r="M1439" s="7">
        <v>30</v>
      </c>
      <c r="N1439" s="7">
        <v>60</v>
      </c>
      <c r="O1439" s="7">
        <v>100</v>
      </c>
      <c r="P1439" s="7">
        <v>210</v>
      </c>
    </row>
    <row r="1440" spans="1:16" s="10" customFormat="1">
      <c r="A1440" s="7">
        <f>IF(B1440="","",SUBTOTAL(103,$B$2:B1440))</f>
        <v>1439</v>
      </c>
      <c r="B1440" s="8" t="s">
        <v>3858</v>
      </c>
      <c r="C1440" s="7" t="s">
        <v>3912</v>
      </c>
      <c r="D1440" s="9" t="s">
        <v>3913</v>
      </c>
      <c r="E1440" s="7" t="s">
        <v>3861</v>
      </c>
      <c r="F1440" s="7" t="s">
        <v>3914</v>
      </c>
      <c r="G1440" s="7" t="s">
        <v>3915</v>
      </c>
      <c r="H1440" s="7">
        <v>0.38400000000000001</v>
      </c>
      <c r="I1440" s="7">
        <v>10</v>
      </c>
      <c r="J1440" s="7">
        <v>800</v>
      </c>
      <c r="K1440" s="7">
        <v>600</v>
      </c>
      <c r="L1440" s="7">
        <v>150</v>
      </c>
      <c r="M1440" s="7">
        <v>30</v>
      </c>
      <c r="N1440" s="7">
        <v>60</v>
      </c>
      <c r="O1440" s="7">
        <v>195</v>
      </c>
      <c r="P1440" s="7">
        <v>300</v>
      </c>
    </row>
    <row r="1441" spans="1:16" s="10" customFormat="1">
      <c r="A1441" s="7">
        <f>IF(B1441="","",SUBTOTAL(103,$B$2:B1441))</f>
        <v>1440</v>
      </c>
      <c r="B1441" s="8" t="s">
        <v>3858</v>
      </c>
      <c r="C1441" s="7" t="s">
        <v>3912</v>
      </c>
      <c r="D1441" s="9" t="s">
        <v>3916</v>
      </c>
      <c r="E1441" s="7" t="s">
        <v>3861</v>
      </c>
      <c r="F1441" s="7" t="s">
        <v>3917</v>
      </c>
      <c r="G1441" s="7" t="s">
        <v>3918</v>
      </c>
      <c r="H1441" s="7">
        <v>0.38400000000000001</v>
      </c>
      <c r="I1441" s="7">
        <v>10</v>
      </c>
      <c r="J1441" s="7">
        <v>800</v>
      </c>
      <c r="K1441" s="7">
        <v>600</v>
      </c>
      <c r="L1441" s="7">
        <v>150</v>
      </c>
      <c r="M1441" s="7">
        <v>30</v>
      </c>
      <c r="N1441" s="7">
        <v>60</v>
      </c>
      <c r="O1441" s="7">
        <v>195</v>
      </c>
      <c r="P1441" s="7">
        <v>300</v>
      </c>
    </row>
    <row r="1442" spans="1:16" s="10" customFormat="1">
      <c r="A1442" s="7">
        <f>IF(B1442="","",SUBTOTAL(103,$B$2:B1442))</f>
        <v>1441</v>
      </c>
      <c r="B1442" s="8" t="s">
        <v>3858</v>
      </c>
      <c r="C1442" s="7" t="s">
        <v>3919</v>
      </c>
      <c r="D1442" s="9" t="s">
        <v>3920</v>
      </c>
      <c r="E1442" s="7" t="s">
        <v>3861</v>
      </c>
      <c r="F1442" s="7" t="s">
        <v>3921</v>
      </c>
      <c r="G1442" s="7" t="s">
        <v>3922</v>
      </c>
      <c r="H1442" s="7">
        <v>0.34699999999999998</v>
      </c>
      <c r="I1442" s="7">
        <v>10</v>
      </c>
      <c r="J1442" s="7">
        <v>800</v>
      </c>
      <c r="K1442" s="7">
        <v>600</v>
      </c>
      <c r="L1442" s="7">
        <v>150</v>
      </c>
      <c r="M1442" s="7">
        <v>30</v>
      </c>
      <c r="N1442" s="7">
        <v>60</v>
      </c>
      <c r="O1442" s="7">
        <v>195</v>
      </c>
      <c r="P1442" s="7">
        <v>300</v>
      </c>
    </row>
    <row r="1443" spans="1:16" s="10" customFormat="1">
      <c r="A1443" s="7">
        <f>IF(B1443="","",SUBTOTAL(103,$B$2:B1443))</f>
        <v>1442</v>
      </c>
      <c r="B1443" s="8" t="s">
        <v>3858</v>
      </c>
      <c r="C1443" s="7" t="s">
        <v>3919</v>
      </c>
      <c r="D1443" s="9" t="s">
        <v>3923</v>
      </c>
      <c r="E1443" s="7" t="s">
        <v>3861</v>
      </c>
      <c r="F1443" s="7" t="s">
        <v>3924</v>
      </c>
      <c r="G1443" s="7" t="s">
        <v>3925</v>
      </c>
      <c r="H1443" s="7">
        <v>0.34699999999999998</v>
      </c>
      <c r="I1443" s="7">
        <v>10</v>
      </c>
      <c r="J1443" s="7">
        <v>800</v>
      </c>
      <c r="K1443" s="7">
        <v>600</v>
      </c>
      <c r="L1443" s="7">
        <v>150</v>
      </c>
      <c r="M1443" s="7">
        <v>30</v>
      </c>
      <c r="N1443" s="7">
        <v>60</v>
      </c>
      <c r="O1443" s="7">
        <v>195</v>
      </c>
      <c r="P1443" s="7">
        <v>300</v>
      </c>
    </row>
    <row r="1444" spans="1:16" s="10" customFormat="1">
      <c r="A1444" s="7">
        <f>IF(B1444="","",SUBTOTAL(103,$B$2:B1444))</f>
        <v>1443</v>
      </c>
      <c r="B1444" s="8" t="s">
        <v>3858</v>
      </c>
      <c r="C1444" s="7" t="s">
        <v>3926</v>
      </c>
      <c r="D1444" s="9" t="s">
        <v>3927</v>
      </c>
      <c r="E1444" s="7" t="s">
        <v>3861</v>
      </c>
      <c r="F1444" s="7" t="s">
        <v>1211</v>
      </c>
      <c r="G1444" s="7" t="s">
        <v>3928</v>
      </c>
      <c r="H1444" s="7">
        <v>0.26200000000000001</v>
      </c>
      <c r="I1444" s="7">
        <v>20</v>
      </c>
      <c r="J1444" s="7">
        <v>800</v>
      </c>
      <c r="K1444" s="7">
        <v>600</v>
      </c>
      <c r="L1444" s="7">
        <v>150</v>
      </c>
      <c r="M1444" s="7">
        <v>30</v>
      </c>
      <c r="N1444" s="7">
        <v>60</v>
      </c>
      <c r="O1444" s="7">
        <v>95</v>
      </c>
      <c r="P1444" s="7">
        <v>210</v>
      </c>
    </row>
    <row r="1445" spans="1:16" s="10" customFormat="1">
      <c r="A1445" s="7">
        <f>IF(B1445="","",SUBTOTAL(103,$B$2:B1445))</f>
        <v>1444</v>
      </c>
      <c r="B1445" s="8" t="s">
        <v>3858</v>
      </c>
      <c r="C1445" s="7" t="s">
        <v>3926</v>
      </c>
      <c r="D1445" s="9" t="s">
        <v>3929</v>
      </c>
      <c r="E1445" s="7" t="s">
        <v>3861</v>
      </c>
      <c r="F1445" s="7" t="s">
        <v>1214</v>
      </c>
      <c r="G1445" s="7" t="s">
        <v>3930</v>
      </c>
      <c r="H1445" s="7">
        <v>0.26200000000000001</v>
      </c>
      <c r="I1445" s="7">
        <v>20</v>
      </c>
      <c r="J1445" s="7">
        <v>800</v>
      </c>
      <c r="K1445" s="7">
        <v>600</v>
      </c>
      <c r="L1445" s="7">
        <v>150</v>
      </c>
      <c r="M1445" s="7">
        <v>30</v>
      </c>
      <c r="N1445" s="7">
        <v>60</v>
      </c>
      <c r="O1445" s="7">
        <v>95</v>
      </c>
      <c r="P1445" s="7">
        <v>210</v>
      </c>
    </row>
    <row r="1446" spans="1:16" s="10" customFormat="1">
      <c r="A1446" s="7">
        <f>IF(B1446="","",SUBTOTAL(103,$B$2:B1446))</f>
        <v>1445</v>
      </c>
      <c r="B1446" s="8" t="s">
        <v>3858</v>
      </c>
      <c r="C1446" s="7" t="s">
        <v>3931</v>
      </c>
      <c r="D1446" s="9" t="s">
        <v>3932</v>
      </c>
      <c r="E1446" s="7" t="s">
        <v>3861</v>
      </c>
      <c r="F1446" s="7" t="s">
        <v>1218</v>
      </c>
      <c r="G1446" s="7" t="s">
        <v>3933</v>
      </c>
      <c r="H1446" s="7">
        <v>0.35299999999999998</v>
      </c>
      <c r="I1446" s="7">
        <v>10</v>
      </c>
      <c r="J1446" s="7">
        <v>800</v>
      </c>
      <c r="K1446" s="7">
        <v>600</v>
      </c>
      <c r="L1446" s="7">
        <v>150</v>
      </c>
      <c r="M1446" s="7">
        <v>30</v>
      </c>
      <c r="N1446" s="7">
        <v>60</v>
      </c>
      <c r="O1446" s="7">
        <v>195</v>
      </c>
      <c r="P1446" s="7">
        <v>300</v>
      </c>
    </row>
    <row r="1447" spans="1:16" s="10" customFormat="1">
      <c r="A1447" s="7">
        <f>IF(B1447="","",SUBTOTAL(103,$B$2:B1447))</f>
        <v>1446</v>
      </c>
      <c r="B1447" s="8" t="s">
        <v>3858</v>
      </c>
      <c r="C1447" s="7" t="s">
        <v>3931</v>
      </c>
      <c r="D1447" s="9" t="s">
        <v>3934</v>
      </c>
      <c r="E1447" s="7" t="s">
        <v>3861</v>
      </c>
      <c r="F1447" s="7" t="s">
        <v>1221</v>
      </c>
      <c r="G1447" s="7" t="s">
        <v>3935</v>
      </c>
      <c r="H1447" s="7">
        <v>0.35299999999999998</v>
      </c>
      <c r="I1447" s="7">
        <v>10</v>
      </c>
      <c r="J1447" s="7">
        <v>800</v>
      </c>
      <c r="K1447" s="7">
        <v>600</v>
      </c>
      <c r="L1447" s="7">
        <v>150</v>
      </c>
      <c r="M1447" s="7">
        <v>30</v>
      </c>
      <c r="N1447" s="7">
        <v>60</v>
      </c>
      <c r="O1447" s="7">
        <v>195</v>
      </c>
      <c r="P1447" s="7">
        <v>300</v>
      </c>
    </row>
    <row r="1448" spans="1:16" s="10" customFormat="1">
      <c r="A1448" s="7">
        <f>IF(B1448="","",SUBTOTAL(103,$B$2:B1448))</f>
        <v>1447</v>
      </c>
      <c r="B1448" s="8" t="s">
        <v>3858</v>
      </c>
      <c r="C1448" s="7" t="s">
        <v>3936</v>
      </c>
      <c r="D1448" s="9" t="s">
        <v>3937</v>
      </c>
      <c r="E1448" s="7" t="s">
        <v>3861</v>
      </c>
      <c r="F1448" s="7" t="s">
        <v>3938</v>
      </c>
      <c r="G1448" s="7" t="s">
        <v>3939</v>
      </c>
      <c r="H1448" s="7">
        <v>0.34899999999999998</v>
      </c>
      <c r="I1448" s="7">
        <v>10</v>
      </c>
      <c r="J1448" s="7">
        <v>800</v>
      </c>
      <c r="K1448" s="7">
        <v>600</v>
      </c>
      <c r="L1448" s="7">
        <v>150</v>
      </c>
      <c r="M1448" s="7">
        <v>30</v>
      </c>
      <c r="N1448" s="7">
        <v>60</v>
      </c>
      <c r="O1448" s="7">
        <v>195</v>
      </c>
      <c r="P1448" s="7">
        <v>300</v>
      </c>
    </row>
    <row r="1449" spans="1:16" s="10" customFormat="1">
      <c r="A1449" s="7">
        <f>IF(B1449="","",SUBTOTAL(103,$B$2:B1449))</f>
        <v>1448</v>
      </c>
      <c r="B1449" s="8" t="s">
        <v>3858</v>
      </c>
      <c r="C1449" s="7" t="s">
        <v>3936</v>
      </c>
      <c r="D1449" s="9" t="s">
        <v>3940</v>
      </c>
      <c r="E1449" s="7" t="s">
        <v>3861</v>
      </c>
      <c r="F1449" s="7" t="s">
        <v>3941</v>
      </c>
      <c r="G1449" s="7" t="s">
        <v>3942</v>
      </c>
      <c r="H1449" s="7">
        <v>0.35</v>
      </c>
      <c r="I1449" s="7">
        <v>10</v>
      </c>
      <c r="J1449" s="7">
        <v>800</v>
      </c>
      <c r="K1449" s="7">
        <v>600</v>
      </c>
      <c r="L1449" s="7">
        <v>150</v>
      </c>
      <c r="M1449" s="7">
        <v>30</v>
      </c>
      <c r="N1449" s="7">
        <v>60</v>
      </c>
      <c r="O1449" s="7">
        <v>195</v>
      </c>
      <c r="P1449" s="7">
        <v>300</v>
      </c>
    </row>
    <row r="1450" spans="1:16" s="10" customFormat="1">
      <c r="A1450" s="7">
        <f>IF(B1450="","",SUBTOTAL(103,$B$2:B1450))</f>
        <v>1449</v>
      </c>
      <c r="B1450" s="8" t="s">
        <v>3858</v>
      </c>
      <c r="C1450" s="7" t="s">
        <v>3943</v>
      </c>
      <c r="D1450" s="9" t="s">
        <v>3944</v>
      </c>
      <c r="E1450" s="7" t="s">
        <v>3861</v>
      </c>
      <c r="F1450" s="7" t="s">
        <v>1225</v>
      </c>
      <c r="G1450" s="7" t="s">
        <v>3945</v>
      </c>
      <c r="H1450" s="7">
        <v>0.18099999999999999</v>
      </c>
      <c r="I1450" s="7">
        <v>32</v>
      </c>
      <c r="J1450" s="7">
        <v>800</v>
      </c>
      <c r="K1450" s="7">
        <v>600</v>
      </c>
      <c r="L1450" s="7">
        <v>150</v>
      </c>
      <c r="M1450" s="7">
        <v>30</v>
      </c>
      <c r="N1450" s="7">
        <v>60</v>
      </c>
      <c r="O1450" s="7">
        <v>54</v>
      </c>
      <c r="P1450" s="7">
        <v>190</v>
      </c>
    </row>
    <row r="1451" spans="1:16" s="10" customFormat="1">
      <c r="A1451" s="7">
        <f>IF(B1451="","",SUBTOTAL(103,$B$2:B1451))</f>
        <v>1450</v>
      </c>
      <c r="B1451" s="8" t="s">
        <v>3858</v>
      </c>
      <c r="C1451" s="7" t="s">
        <v>3943</v>
      </c>
      <c r="D1451" s="9" t="s">
        <v>3946</v>
      </c>
      <c r="E1451" s="7" t="s">
        <v>3861</v>
      </c>
      <c r="F1451" s="7" t="s">
        <v>1228</v>
      </c>
      <c r="G1451" s="7" t="s">
        <v>3947</v>
      </c>
      <c r="H1451" s="7">
        <v>0.18099999999999999</v>
      </c>
      <c r="I1451" s="7">
        <v>32</v>
      </c>
      <c r="J1451" s="7">
        <v>800</v>
      </c>
      <c r="K1451" s="7">
        <v>600</v>
      </c>
      <c r="L1451" s="7">
        <v>150</v>
      </c>
      <c r="M1451" s="7">
        <v>30</v>
      </c>
      <c r="N1451" s="7">
        <v>60</v>
      </c>
      <c r="O1451" s="7">
        <v>54</v>
      </c>
      <c r="P1451" s="7">
        <v>190</v>
      </c>
    </row>
    <row r="1452" spans="1:16" s="10" customFormat="1">
      <c r="A1452" s="7">
        <f>IF(B1452="","",SUBTOTAL(103,$B$2:B1452))</f>
        <v>1451</v>
      </c>
      <c r="B1452" s="8" t="s">
        <v>3858</v>
      </c>
      <c r="C1452" s="7" t="s">
        <v>3948</v>
      </c>
      <c r="D1452" s="9" t="s">
        <v>3949</v>
      </c>
      <c r="E1452" s="7" t="s">
        <v>3861</v>
      </c>
      <c r="F1452" s="7" t="s">
        <v>3950</v>
      </c>
      <c r="G1452" s="7" t="s">
        <v>3951</v>
      </c>
      <c r="H1452" s="7">
        <v>0.21099999999999999</v>
      </c>
      <c r="I1452" s="7">
        <v>32</v>
      </c>
      <c r="J1452" s="7">
        <v>800</v>
      </c>
      <c r="K1452" s="7">
        <v>600</v>
      </c>
      <c r="L1452" s="7">
        <v>150</v>
      </c>
      <c r="M1452" s="7">
        <v>30</v>
      </c>
      <c r="N1452" s="7">
        <v>60</v>
      </c>
      <c r="O1452" s="7">
        <v>54</v>
      </c>
      <c r="P1452" s="7">
        <v>190</v>
      </c>
    </row>
    <row r="1453" spans="1:16" s="10" customFormat="1">
      <c r="A1453" s="7">
        <f>IF(B1453="","",SUBTOTAL(103,$B$2:B1453))</f>
        <v>1452</v>
      </c>
      <c r="B1453" s="8" t="s">
        <v>3858</v>
      </c>
      <c r="C1453" s="7" t="s">
        <v>3948</v>
      </c>
      <c r="D1453" s="9" t="s">
        <v>3952</v>
      </c>
      <c r="E1453" s="7" t="s">
        <v>3861</v>
      </c>
      <c r="F1453" s="7" t="s">
        <v>3953</v>
      </c>
      <c r="G1453" s="7" t="s">
        <v>3954</v>
      </c>
      <c r="H1453" s="7">
        <v>0.21099999999999999</v>
      </c>
      <c r="I1453" s="7">
        <v>32</v>
      </c>
      <c r="J1453" s="7">
        <v>800</v>
      </c>
      <c r="K1453" s="7">
        <v>600</v>
      </c>
      <c r="L1453" s="7">
        <v>150</v>
      </c>
      <c r="M1453" s="7">
        <v>30</v>
      </c>
      <c r="N1453" s="7">
        <v>60</v>
      </c>
      <c r="O1453" s="7">
        <v>54</v>
      </c>
      <c r="P1453" s="7">
        <v>190</v>
      </c>
    </row>
    <row r="1454" spans="1:16" s="10" customFormat="1">
      <c r="A1454" s="7">
        <f>IF(B1454="","",SUBTOTAL(103,$B$2:B1454))</f>
        <v>1453</v>
      </c>
      <c r="B1454" s="8" t="s">
        <v>3858</v>
      </c>
      <c r="C1454" s="7" t="s">
        <v>3955</v>
      </c>
      <c r="D1454" s="9" t="s">
        <v>3956</v>
      </c>
      <c r="E1454" s="7" t="s">
        <v>3861</v>
      </c>
      <c r="F1454" s="7" t="s">
        <v>3957</v>
      </c>
      <c r="G1454" s="7" t="s">
        <v>3958</v>
      </c>
      <c r="H1454" s="7">
        <v>0.22600000000000001</v>
      </c>
      <c r="I1454" s="7">
        <v>28</v>
      </c>
      <c r="J1454" s="7">
        <v>800</v>
      </c>
      <c r="K1454" s="7">
        <v>600</v>
      </c>
      <c r="L1454" s="7">
        <v>150</v>
      </c>
      <c r="M1454" s="7">
        <v>30</v>
      </c>
      <c r="N1454" s="7">
        <v>60</v>
      </c>
      <c r="O1454" s="7">
        <v>70</v>
      </c>
      <c r="P1454" s="7">
        <v>190</v>
      </c>
    </row>
    <row r="1455" spans="1:16" s="10" customFormat="1">
      <c r="A1455" s="7">
        <f>IF(B1455="","",SUBTOTAL(103,$B$2:B1455))</f>
        <v>1454</v>
      </c>
      <c r="B1455" s="8" t="s">
        <v>3858</v>
      </c>
      <c r="C1455" s="7" t="s">
        <v>3955</v>
      </c>
      <c r="D1455" s="9" t="s">
        <v>3959</v>
      </c>
      <c r="E1455" s="7" t="s">
        <v>3861</v>
      </c>
      <c r="F1455" s="7" t="s">
        <v>3960</v>
      </c>
      <c r="G1455" s="7" t="s">
        <v>3961</v>
      </c>
      <c r="H1455" s="7">
        <v>0.22600000000000001</v>
      </c>
      <c r="I1455" s="7">
        <v>28</v>
      </c>
      <c r="J1455" s="7">
        <v>800</v>
      </c>
      <c r="K1455" s="7">
        <v>600</v>
      </c>
      <c r="L1455" s="7">
        <v>150</v>
      </c>
      <c r="M1455" s="7">
        <v>30</v>
      </c>
      <c r="N1455" s="7">
        <v>60</v>
      </c>
      <c r="O1455" s="7">
        <v>70</v>
      </c>
      <c r="P1455" s="7">
        <v>190</v>
      </c>
    </row>
    <row r="1456" spans="1:16" s="10" customFormat="1">
      <c r="A1456" s="7">
        <f>IF(B1456="","",SUBTOTAL(103,$B$2:B1456))</f>
        <v>1455</v>
      </c>
      <c r="B1456" s="8" t="s">
        <v>3858</v>
      </c>
      <c r="C1456" s="7" t="s">
        <v>3962</v>
      </c>
      <c r="D1456" s="9" t="s">
        <v>3963</v>
      </c>
      <c r="E1456" s="7" t="s">
        <v>3861</v>
      </c>
      <c r="F1456" s="7" t="s">
        <v>3964</v>
      </c>
      <c r="G1456" s="7" t="s">
        <v>3965</v>
      </c>
      <c r="H1456" s="7">
        <v>0.25</v>
      </c>
      <c r="I1456" s="7">
        <v>24</v>
      </c>
      <c r="J1456" s="7">
        <v>800</v>
      </c>
      <c r="K1456" s="7">
        <v>600</v>
      </c>
      <c r="L1456" s="7">
        <v>150</v>
      </c>
      <c r="M1456" s="7">
        <v>30</v>
      </c>
      <c r="N1456" s="7">
        <v>60</v>
      </c>
      <c r="O1456" s="7">
        <v>75</v>
      </c>
      <c r="P1456" s="7">
        <v>190</v>
      </c>
    </row>
    <row r="1457" spans="1:16" s="10" customFormat="1">
      <c r="A1457" s="7">
        <f>IF(B1457="","",SUBTOTAL(103,$B$2:B1457))</f>
        <v>1456</v>
      </c>
      <c r="B1457" s="8" t="s">
        <v>3858</v>
      </c>
      <c r="C1457" s="7" t="s">
        <v>3962</v>
      </c>
      <c r="D1457" s="9" t="s">
        <v>3966</v>
      </c>
      <c r="E1457" s="7" t="s">
        <v>3861</v>
      </c>
      <c r="F1457" s="7" t="s">
        <v>3967</v>
      </c>
      <c r="G1457" s="7" t="s">
        <v>3968</v>
      </c>
      <c r="H1457" s="7">
        <v>0.23</v>
      </c>
      <c r="I1457" s="7">
        <v>24</v>
      </c>
      <c r="J1457" s="7">
        <v>800</v>
      </c>
      <c r="K1457" s="7">
        <v>600</v>
      </c>
      <c r="L1457" s="7">
        <v>150</v>
      </c>
      <c r="M1457" s="7">
        <v>30</v>
      </c>
      <c r="N1457" s="7">
        <v>60</v>
      </c>
      <c r="O1457" s="7">
        <v>75</v>
      </c>
      <c r="P1457" s="7">
        <v>190</v>
      </c>
    </row>
    <row r="1458" spans="1:16" s="10" customFormat="1">
      <c r="A1458" s="7">
        <f>IF(B1458="","",SUBTOTAL(103,$B$2:B1458))</f>
        <v>1457</v>
      </c>
      <c r="B1458" s="8" t="s">
        <v>3858</v>
      </c>
      <c r="C1458" s="7" t="s">
        <v>3969</v>
      </c>
      <c r="D1458" s="9" t="s">
        <v>3970</v>
      </c>
      <c r="E1458" s="7" t="s">
        <v>3861</v>
      </c>
      <c r="F1458" s="7" t="s">
        <v>1232</v>
      </c>
      <c r="G1458" s="7" t="s">
        <v>3971</v>
      </c>
      <c r="H1458" s="7">
        <v>0.20300000000000001</v>
      </c>
      <c r="I1458" s="7">
        <v>32</v>
      </c>
      <c r="J1458" s="7">
        <v>800</v>
      </c>
      <c r="K1458" s="7">
        <v>600</v>
      </c>
      <c r="L1458" s="7">
        <v>150</v>
      </c>
      <c r="M1458" s="7">
        <v>30</v>
      </c>
      <c r="N1458" s="7">
        <v>60</v>
      </c>
      <c r="O1458" s="7">
        <v>54</v>
      </c>
      <c r="P1458" s="7">
        <v>190</v>
      </c>
    </row>
    <row r="1459" spans="1:16" s="10" customFormat="1">
      <c r="A1459" s="7">
        <f>IF(B1459="","",SUBTOTAL(103,$B$2:B1459))</f>
        <v>1458</v>
      </c>
      <c r="B1459" s="8" t="s">
        <v>3858</v>
      </c>
      <c r="C1459" s="7" t="s">
        <v>3969</v>
      </c>
      <c r="D1459" s="9" t="s">
        <v>3972</v>
      </c>
      <c r="E1459" s="7" t="s">
        <v>3861</v>
      </c>
      <c r="F1459" s="7" t="s">
        <v>1235</v>
      </c>
      <c r="G1459" s="7" t="s">
        <v>3973</v>
      </c>
      <c r="H1459" s="7">
        <v>0.20300000000000001</v>
      </c>
      <c r="I1459" s="7">
        <v>32</v>
      </c>
      <c r="J1459" s="7">
        <v>800</v>
      </c>
      <c r="K1459" s="7">
        <v>600</v>
      </c>
      <c r="L1459" s="7">
        <v>150</v>
      </c>
      <c r="M1459" s="7">
        <v>30</v>
      </c>
      <c r="N1459" s="7">
        <v>60</v>
      </c>
      <c r="O1459" s="7">
        <v>54</v>
      </c>
      <c r="P1459" s="7">
        <v>190</v>
      </c>
    </row>
    <row r="1460" spans="1:16" s="10" customFormat="1">
      <c r="A1460" s="7">
        <f>IF(B1460="","",SUBTOTAL(103,$B$2:B1460))</f>
        <v>1459</v>
      </c>
      <c r="B1460" s="8" t="s">
        <v>3858</v>
      </c>
      <c r="C1460" s="7" t="s">
        <v>3974</v>
      </c>
      <c r="D1460" s="9" t="s">
        <v>3975</v>
      </c>
      <c r="E1460" s="7" t="s">
        <v>3861</v>
      </c>
      <c r="F1460" s="7" t="s">
        <v>3976</v>
      </c>
      <c r="G1460" s="7" t="s">
        <v>3977</v>
      </c>
      <c r="H1460" s="7">
        <v>0.219</v>
      </c>
      <c r="I1460" s="7">
        <v>28</v>
      </c>
      <c r="J1460" s="7">
        <v>800</v>
      </c>
      <c r="K1460" s="7">
        <v>600</v>
      </c>
      <c r="L1460" s="7">
        <v>150</v>
      </c>
      <c r="M1460" s="7">
        <v>30</v>
      </c>
      <c r="N1460" s="7">
        <v>60</v>
      </c>
      <c r="O1460" s="7">
        <v>70</v>
      </c>
      <c r="P1460" s="7">
        <v>190</v>
      </c>
    </row>
    <row r="1461" spans="1:16" s="10" customFormat="1">
      <c r="A1461" s="7">
        <f>IF(B1461="","",SUBTOTAL(103,$B$2:B1461))</f>
        <v>1460</v>
      </c>
      <c r="B1461" s="8" t="s">
        <v>3858</v>
      </c>
      <c r="C1461" s="7" t="s">
        <v>3974</v>
      </c>
      <c r="D1461" s="9" t="s">
        <v>3978</v>
      </c>
      <c r="E1461" s="7" t="s">
        <v>3861</v>
      </c>
      <c r="F1461" s="7" t="s">
        <v>3979</v>
      </c>
      <c r="G1461" s="7" t="s">
        <v>3980</v>
      </c>
      <c r="H1461" s="7">
        <v>0.219</v>
      </c>
      <c r="I1461" s="7">
        <v>28</v>
      </c>
      <c r="J1461" s="7">
        <v>800</v>
      </c>
      <c r="K1461" s="7">
        <v>600</v>
      </c>
      <c r="L1461" s="7">
        <v>150</v>
      </c>
      <c r="M1461" s="7">
        <v>30</v>
      </c>
      <c r="N1461" s="7">
        <v>60</v>
      </c>
      <c r="O1461" s="7">
        <v>70</v>
      </c>
      <c r="P1461" s="7">
        <v>190</v>
      </c>
    </row>
    <row r="1462" spans="1:16" s="10" customFormat="1">
      <c r="A1462" s="7">
        <f>IF(B1462="","",SUBTOTAL(103,$B$2:B1462))</f>
        <v>1461</v>
      </c>
      <c r="B1462" s="8" t="s">
        <v>3858</v>
      </c>
      <c r="C1462" s="7" t="s">
        <v>3981</v>
      </c>
      <c r="D1462" s="9" t="s">
        <v>3982</v>
      </c>
      <c r="E1462" s="7" t="s">
        <v>3861</v>
      </c>
      <c r="F1462" s="7" t="s">
        <v>1239</v>
      </c>
      <c r="G1462" s="7" t="s">
        <v>3983</v>
      </c>
      <c r="H1462" s="7">
        <v>0.40100000000000002</v>
      </c>
      <c r="I1462" s="7">
        <v>10</v>
      </c>
      <c r="J1462" s="7">
        <v>800</v>
      </c>
      <c r="K1462" s="7">
        <v>600</v>
      </c>
      <c r="L1462" s="7">
        <v>150</v>
      </c>
      <c r="M1462" s="7">
        <v>30</v>
      </c>
      <c r="N1462" s="7">
        <v>60</v>
      </c>
      <c r="O1462" s="7">
        <v>195</v>
      </c>
      <c r="P1462" s="7">
        <v>300</v>
      </c>
    </row>
    <row r="1463" spans="1:16" s="10" customFormat="1">
      <c r="A1463" s="7">
        <f>IF(B1463="","",SUBTOTAL(103,$B$2:B1463))</f>
        <v>1462</v>
      </c>
      <c r="B1463" s="8" t="s">
        <v>3858</v>
      </c>
      <c r="C1463" s="7" t="s">
        <v>3981</v>
      </c>
      <c r="D1463" s="9" t="s">
        <v>3984</v>
      </c>
      <c r="E1463" s="7" t="s">
        <v>3861</v>
      </c>
      <c r="F1463" s="7" t="s">
        <v>1242</v>
      </c>
      <c r="G1463" s="7" t="s">
        <v>3985</v>
      </c>
      <c r="H1463" s="7">
        <v>0.40100000000000002</v>
      </c>
      <c r="I1463" s="7">
        <v>10</v>
      </c>
      <c r="J1463" s="7">
        <v>800</v>
      </c>
      <c r="K1463" s="7">
        <v>600</v>
      </c>
      <c r="L1463" s="7">
        <v>150</v>
      </c>
      <c r="M1463" s="7">
        <v>30</v>
      </c>
      <c r="N1463" s="7">
        <v>60</v>
      </c>
      <c r="O1463" s="7">
        <v>195</v>
      </c>
      <c r="P1463" s="7">
        <v>300</v>
      </c>
    </row>
    <row r="1464" spans="1:16" s="10" customFormat="1">
      <c r="A1464" s="7">
        <f>IF(B1464="","",SUBTOTAL(103,$B$2:B1464))</f>
        <v>1463</v>
      </c>
      <c r="B1464" s="8" t="s">
        <v>3858</v>
      </c>
      <c r="C1464" s="7" t="s">
        <v>3986</v>
      </c>
      <c r="D1464" s="9" t="s">
        <v>3987</v>
      </c>
      <c r="E1464" s="7" t="s">
        <v>3861</v>
      </c>
      <c r="F1464" s="7" t="s">
        <v>3988</v>
      </c>
      <c r="G1464" s="7" t="s">
        <v>3989</v>
      </c>
      <c r="H1464" s="7">
        <v>0.374</v>
      </c>
      <c r="I1464" s="7">
        <v>10</v>
      </c>
      <c r="J1464" s="7">
        <v>800</v>
      </c>
      <c r="K1464" s="7">
        <v>600</v>
      </c>
      <c r="L1464" s="7">
        <v>150</v>
      </c>
      <c r="M1464" s="7">
        <v>30</v>
      </c>
      <c r="N1464" s="7">
        <v>60</v>
      </c>
      <c r="O1464" s="7">
        <v>195</v>
      </c>
      <c r="P1464" s="7">
        <v>300</v>
      </c>
    </row>
    <row r="1465" spans="1:16" s="10" customFormat="1">
      <c r="A1465" s="7">
        <f>IF(B1465="","",SUBTOTAL(103,$B$2:B1465))</f>
        <v>1464</v>
      </c>
      <c r="B1465" s="8" t="s">
        <v>3858</v>
      </c>
      <c r="C1465" s="7" t="s">
        <v>3986</v>
      </c>
      <c r="D1465" s="9" t="s">
        <v>3990</v>
      </c>
      <c r="E1465" s="7" t="s">
        <v>3861</v>
      </c>
      <c r="F1465" s="7" t="s">
        <v>3991</v>
      </c>
      <c r="G1465" s="7" t="s">
        <v>3992</v>
      </c>
      <c r="H1465" s="7">
        <v>0.374</v>
      </c>
      <c r="I1465" s="7">
        <v>10</v>
      </c>
      <c r="J1465" s="7">
        <v>800</v>
      </c>
      <c r="K1465" s="7">
        <v>600</v>
      </c>
      <c r="L1465" s="7">
        <v>150</v>
      </c>
      <c r="M1465" s="7">
        <v>30</v>
      </c>
      <c r="N1465" s="7">
        <v>60</v>
      </c>
      <c r="O1465" s="7">
        <v>195</v>
      </c>
      <c r="P1465" s="7">
        <v>300</v>
      </c>
    </row>
    <row r="1466" spans="1:16" s="10" customFormat="1">
      <c r="A1466" s="7">
        <f>IF(B1466="","",SUBTOTAL(103,$B$2:B1466))</f>
        <v>1465</v>
      </c>
      <c r="B1466" s="8" t="s">
        <v>3858</v>
      </c>
      <c r="C1466" s="7" t="s">
        <v>3993</v>
      </c>
      <c r="D1466" s="9" t="s">
        <v>3994</v>
      </c>
      <c r="E1466" s="7" t="s">
        <v>3861</v>
      </c>
      <c r="F1466" s="7" t="s">
        <v>3995</v>
      </c>
      <c r="G1466" s="7" t="s">
        <v>3996</v>
      </c>
      <c r="H1466" s="7">
        <v>0.53500000000000003</v>
      </c>
      <c r="I1466" s="7">
        <v>10</v>
      </c>
      <c r="J1466" s="7">
        <v>800</v>
      </c>
      <c r="K1466" s="7">
        <v>600</v>
      </c>
      <c r="L1466" s="7">
        <v>150</v>
      </c>
      <c r="M1466" s="7">
        <v>30</v>
      </c>
      <c r="N1466" s="7">
        <v>60</v>
      </c>
      <c r="O1466" s="7">
        <v>195</v>
      </c>
      <c r="P1466" s="7">
        <v>300</v>
      </c>
    </row>
    <row r="1467" spans="1:16" s="10" customFormat="1">
      <c r="A1467" s="7">
        <f>IF(B1467="","",SUBTOTAL(103,$B$2:B1467))</f>
        <v>1466</v>
      </c>
      <c r="B1467" s="8" t="s">
        <v>3858</v>
      </c>
      <c r="C1467" s="7" t="s">
        <v>3993</v>
      </c>
      <c r="D1467" s="9" t="s">
        <v>3997</v>
      </c>
      <c r="E1467" s="7" t="s">
        <v>3861</v>
      </c>
      <c r="F1467" s="7" t="s">
        <v>3998</v>
      </c>
      <c r="G1467" s="7" t="s">
        <v>3999</v>
      </c>
      <c r="H1467" s="7">
        <v>0.53500000000000003</v>
      </c>
      <c r="I1467" s="7">
        <v>10</v>
      </c>
      <c r="J1467" s="7">
        <v>800</v>
      </c>
      <c r="K1467" s="7">
        <v>600</v>
      </c>
      <c r="L1467" s="7">
        <v>150</v>
      </c>
      <c r="M1467" s="7">
        <v>30</v>
      </c>
      <c r="N1467" s="7">
        <v>60</v>
      </c>
      <c r="O1467" s="7">
        <v>195</v>
      </c>
      <c r="P1467" s="7">
        <v>300</v>
      </c>
    </row>
    <row r="1468" spans="1:16" s="10" customFormat="1">
      <c r="A1468" s="7">
        <f>IF(B1468="","",SUBTOTAL(103,$B$2:B1468))</f>
        <v>1467</v>
      </c>
      <c r="B1468" s="8" t="s">
        <v>3858</v>
      </c>
      <c r="C1468" s="7" t="s">
        <v>4000</v>
      </c>
      <c r="D1468" s="9" t="s">
        <v>4001</v>
      </c>
      <c r="E1468" s="7" t="s">
        <v>3861</v>
      </c>
      <c r="F1468" s="7" t="s">
        <v>1246</v>
      </c>
      <c r="G1468" s="7" t="s">
        <v>4002</v>
      </c>
      <c r="H1468" s="7">
        <v>0.374</v>
      </c>
      <c r="I1468" s="7">
        <v>18</v>
      </c>
      <c r="J1468" s="7">
        <v>800</v>
      </c>
      <c r="K1468" s="7">
        <v>600</v>
      </c>
      <c r="L1468" s="7">
        <v>150</v>
      </c>
      <c r="M1468" s="7">
        <v>30</v>
      </c>
      <c r="N1468" s="7">
        <v>60</v>
      </c>
      <c r="O1468" s="7">
        <v>100</v>
      </c>
      <c r="P1468" s="7">
        <v>300</v>
      </c>
    </row>
    <row r="1469" spans="1:16" s="10" customFormat="1">
      <c r="A1469" s="7">
        <f>IF(B1469="","",SUBTOTAL(103,$B$2:B1469))</f>
        <v>1468</v>
      </c>
      <c r="B1469" s="8" t="s">
        <v>3858</v>
      </c>
      <c r="C1469" s="7" t="s">
        <v>4000</v>
      </c>
      <c r="D1469" s="9" t="s">
        <v>4003</v>
      </c>
      <c r="E1469" s="7" t="s">
        <v>3861</v>
      </c>
      <c r="F1469" s="7" t="s">
        <v>1249</v>
      </c>
      <c r="G1469" s="7" t="s">
        <v>4004</v>
      </c>
      <c r="H1469" s="7">
        <v>0.374</v>
      </c>
      <c r="I1469" s="7">
        <v>18</v>
      </c>
      <c r="J1469" s="7">
        <v>800</v>
      </c>
      <c r="K1469" s="7">
        <v>600</v>
      </c>
      <c r="L1469" s="7">
        <v>150</v>
      </c>
      <c r="M1469" s="7">
        <v>30</v>
      </c>
      <c r="N1469" s="7">
        <v>60</v>
      </c>
      <c r="O1469" s="7">
        <v>100</v>
      </c>
      <c r="P1469" s="7">
        <v>300</v>
      </c>
    </row>
    <row r="1470" spans="1:16" s="10" customFormat="1">
      <c r="A1470" s="7">
        <f>IF(B1470="","",SUBTOTAL(103,$B$2:B1470))</f>
        <v>1469</v>
      </c>
      <c r="B1470" s="8" t="s">
        <v>3858</v>
      </c>
      <c r="C1470" s="7" t="s">
        <v>4005</v>
      </c>
      <c r="D1470" s="9" t="s">
        <v>4006</v>
      </c>
      <c r="E1470" s="7" t="s">
        <v>3861</v>
      </c>
      <c r="F1470" s="7" t="s">
        <v>1253</v>
      </c>
      <c r="G1470" s="7" t="s">
        <v>4007</v>
      </c>
      <c r="H1470" s="7">
        <v>0.43</v>
      </c>
      <c r="I1470" s="7">
        <v>18</v>
      </c>
      <c r="J1470" s="7">
        <v>800</v>
      </c>
      <c r="K1470" s="7">
        <v>600</v>
      </c>
      <c r="L1470" s="7">
        <v>150</v>
      </c>
      <c r="M1470" s="7">
        <v>30</v>
      </c>
      <c r="N1470" s="7">
        <v>60</v>
      </c>
      <c r="O1470" s="7">
        <v>100</v>
      </c>
      <c r="P1470" s="7">
        <v>300</v>
      </c>
    </row>
    <row r="1471" spans="1:16" s="10" customFormat="1">
      <c r="A1471" s="7">
        <f>IF(B1471="","",SUBTOTAL(103,$B$2:B1471))</f>
        <v>1470</v>
      </c>
      <c r="B1471" s="8" t="s">
        <v>3858</v>
      </c>
      <c r="C1471" s="7" t="s">
        <v>4005</v>
      </c>
      <c r="D1471" s="9" t="s">
        <v>4008</v>
      </c>
      <c r="E1471" s="7" t="s">
        <v>3861</v>
      </c>
      <c r="F1471" s="7" t="s">
        <v>1256</v>
      </c>
      <c r="G1471" s="7" t="s">
        <v>4009</v>
      </c>
      <c r="H1471" s="7">
        <v>0.43</v>
      </c>
      <c r="I1471" s="7">
        <v>18</v>
      </c>
      <c r="J1471" s="7">
        <v>800</v>
      </c>
      <c r="K1471" s="7">
        <v>600</v>
      </c>
      <c r="L1471" s="7">
        <v>150</v>
      </c>
      <c r="M1471" s="7">
        <v>30</v>
      </c>
      <c r="N1471" s="7">
        <v>60</v>
      </c>
      <c r="O1471" s="7">
        <v>100</v>
      </c>
      <c r="P1471" s="7">
        <v>300</v>
      </c>
    </row>
    <row r="1472" spans="1:16" s="10" customFormat="1">
      <c r="A1472" s="7">
        <f>IF(B1472="","",SUBTOTAL(103,$B$2:B1472))</f>
        <v>1471</v>
      </c>
      <c r="B1472" s="8" t="s">
        <v>3858</v>
      </c>
      <c r="C1472" s="7" t="s">
        <v>4010</v>
      </c>
      <c r="D1472" s="9" t="s">
        <v>4011</v>
      </c>
      <c r="E1472" s="7" t="s">
        <v>3861</v>
      </c>
      <c r="F1472" s="7" t="s">
        <v>4012</v>
      </c>
      <c r="G1472" s="7" t="s">
        <v>4013</v>
      </c>
      <c r="H1472" s="7">
        <v>0.45100000000000001</v>
      </c>
      <c r="I1472" s="7">
        <v>10</v>
      </c>
      <c r="J1472" s="7">
        <v>800</v>
      </c>
      <c r="K1472" s="7">
        <v>600</v>
      </c>
      <c r="L1472" s="7">
        <v>150</v>
      </c>
      <c r="M1472" s="7">
        <v>30</v>
      </c>
      <c r="N1472" s="7">
        <v>60</v>
      </c>
      <c r="O1472" s="7">
        <v>195</v>
      </c>
      <c r="P1472" s="7">
        <v>300</v>
      </c>
    </row>
    <row r="1473" spans="1:16" s="10" customFormat="1">
      <c r="A1473" s="7">
        <f>IF(B1473="","",SUBTOTAL(103,$B$2:B1473))</f>
        <v>1472</v>
      </c>
      <c r="B1473" s="8" t="s">
        <v>3858</v>
      </c>
      <c r="C1473" s="7" t="s">
        <v>4010</v>
      </c>
      <c r="D1473" s="9" t="s">
        <v>4014</v>
      </c>
      <c r="E1473" s="7" t="s">
        <v>3861</v>
      </c>
      <c r="F1473" s="7" t="s">
        <v>4015</v>
      </c>
      <c r="G1473" s="7" t="s">
        <v>4016</v>
      </c>
      <c r="H1473" s="7">
        <v>0.45100000000000001</v>
      </c>
      <c r="I1473" s="7">
        <v>10</v>
      </c>
      <c r="J1473" s="7">
        <v>800</v>
      </c>
      <c r="K1473" s="7">
        <v>600</v>
      </c>
      <c r="L1473" s="7">
        <v>150</v>
      </c>
      <c r="M1473" s="7">
        <v>30</v>
      </c>
      <c r="N1473" s="7">
        <v>60</v>
      </c>
      <c r="O1473" s="7">
        <v>195</v>
      </c>
      <c r="P1473" s="7">
        <v>300</v>
      </c>
    </row>
    <row r="1474" spans="1:16" s="10" customFormat="1">
      <c r="A1474" s="7">
        <f>IF(B1474="","",SUBTOTAL(103,$B$2:B1474))</f>
        <v>1473</v>
      </c>
      <c r="B1474" s="8" t="s">
        <v>3858</v>
      </c>
      <c r="C1474" s="7" t="s">
        <v>4017</v>
      </c>
      <c r="D1474" s="9" t="s">
        <v>4018</v>
      </c>
      <c r="E1474" s="7" t="s">
        <v>3861</v>
      </c>
      <c r="F1474" s="7" t="s">
        <v>4019</v>
      </c>
      <c r="G1474" s="7" t="s">
        <v>4020</v>
      </c>
      <c r="H1474" s="7">
        <v>0.49</v>
      </c>
      <c r="I1474" s="7">
        <v>12</v>
      </c>
      <c r="J1474" s="7">
        <v>800</v>
      </c>
      <c r="K1474" s="7">
        <v>600</v>
      </c>
      <c r="L1474" s="7">
        <v>150</v>
      </c>
      <c r="M1474" s="7">
        <v>30</v>
      </c>
      <c r="N1474" s="7">
        <v>60</v>
      </c>
      <c r="O1474" s="7">
        <v>150</v>
      </c>
      <c r="P1474" s="7">
        <v>300</v>
      </c>
    </row>
    <row r="1475" spans="1:16" s="10" customFormat="1">
      <c r="A1475" s="7">
        <f>IF(B1475="","",SUBTOTAL(103,$B$2:B1475))</f>
        <v>1474</v>
      </c>
      <c r="B1475" s="8" t="s">
        <v>3858</v>
      </c>
      <c r="C1475" s="7" t="s">
        <v>4017</v>
      </c>
      <c r="D1475" s="9" t="s">
        <v>4021</v>
      </c>
      <c r="E1475" s="7" t="s">
        <v>3861</v>
      </c>
      <c r="F1475" s="7" t="s">
        <v>4022</v>
      </c>
      <c r="G1475" s="7" t="s">
        <v>4023</v>
      </c>
      <c r="H1475" s="7">
        <v>0.49</v>
      </c>
      <c r="I1475" s="7">
        <v>12</v>
      </c>
      <c r="J1475" s="7">
        <v>800</v>
      </c>
      <c r="K1475" s="7">
        <v>600</v>
      </c>
      <c r="L1475" s="7">
        <v>150</v>
      </c>
      <c r="M1475" s="7">
        <v>30</v>
      </c>
      <c r="N1475" s="7">
        <v>60</v>
      </c>
      <c r="O1475" s="7">
        <v>150</v>
      </c>
      <c r="P1475" s="7">
        <v>300</v>
      </c>
    </row>
    <row r="1476" spans="1:16" s="10" customFormat="1">
      <c r="A1476" s="7">
        <f>IF(B1476="","",SUBTOTAL(103,$B$2:B1476))</f>
        <v>1475</v>
      </c>
      <c r="B1476" s="8" t="s">
        <v>3858</v>
      </c>
      <c r="C1476" s="7" t="s">
        <v>4024</v>
      </c>
      <c r="D1476" s="9" t="s">
        <v>4025</v>
      </c>
      <c r="E1476" s="7" t="s">
        <v>3861</v>
      </c>
      <c r="F1476" s="7" t="s">
        <v>4026</v>
      </c>
      <c r="G1476" s="7" t="s">
        <v>4027</v>
      </c>
      <c r="H1476" s="7">
        <v>0.96599999999999997</v>
      </c>
      <c r="I1476" s="7">
        <v>6</v>
      </c>
      <c r="J1476" s="7">
        <v>800</v>
      </c>
      <c r="K1476" s="7">
        <v>600</v>
      </c>
      <c r="L1476" s="7">
        <v>150</v>
      </c>
      <c r="M1476" s="7">
        <v>30</v>
      </c>
      <c r="N1476" s="7">
        <v>60</v>
      </c>
      <c r="O1476" s="7">
        <v>310</v>
      </c>
      <c r="P1476" s="7">
        <v>350</v>
      </c>
    </row>
    <row r="1477" spans="1:16" s="10" customFormat="1">
      <c r="A1477" s="7">
        <f>IF(B1477="","",SUBTOTAL(103,$B$2:B1477))</f>
        <v>1476</v>
      </c>
      <c r="B1477" s="8" t="s">
        <v>3858</v>
      </c>
      <c r="C1477" s="7" t="s">
        <v>4024</v>
      </c>
      <c r="D1477" s="9" t="s">
        <v>4028</v>
      </c>
      <c r="E1477" s="7" t="s">
        <v>3861</v>
      </c>
      <c r="F1477" s="7" t="s">
        <v>4029</v>
      </c>
      <c r="G1477" s="7" t="s">
        <v>4030</v>
      </c>
      <c r="H1477" s="7">
        <v>0.97</v>
      </c>
      <c r="I1477" s="7">
        <v>6</v>
      </c>
      <c r="J1477" s="7">
        <v>800</v>
      </c>
      <c r="K1477" s="7">
        <v>600</v>
      </c>
      <c r="L1477" s="7">
        <v>150</v>
      </c>
      <c r="M1477" s="7">
        <v>30</v>
      </c>
      <c r="N1477" s="7">
        <v>60</v>
      </c>
      <c r="O1477" s="7">
        <v>310</v>
      </c>
      <c r="P1477" s="7">
        <v>350</v>
      </c>
    </row>
    <row r="1478" spans="1:16" s="10" customFormat="1">
      <c r="A1478" s="7">
        <f>IF(B1478="","",SUBTOTAL(103,$B$2:B1478))</f>
        <v>1477</v>
      </c>
      <c r="B1478" s="8" t="s">
        <v>3858</v>
      </c>
      <c r="C1478" s="7" t="s">
        <v>4031</v>
      </c>
      <c r="D1478" s="9" t="s">
        <v>4032</v>
      </c>
      <c r="E1478" s="7" t="s">
        <v>3861</v>
      </c>
      <c r="F1478" s="7" t="s">
        <v>4033</v>
      </c>
      <c r="G1478" s="7" t="s">
        <v>4034</v>
      </c>
      <c r="H1478" s="7">
        <v>0.86399999999999999</v>
      </c>
      <c r="I1478" s="7">
        <v>6</v>
      </c>
      <c r="J1478" s="7">
        <v>800</v>
      </c>
      <c r="K1478" s="7">
        <v>600</v>
      </c>
      <c r="L1478" s="7">
        <v>150</v>
      </c>
      <c r="M1478" s="7">
        <v>30</v>
      </c>
      <c r="N1478" s="7">
        <v>60</v>
      </c>
      <c r="O1478" s="7">
        <v>310</v>
      </c>
      <c r="P1478" s="7">
        <v>350</v>
      </c>
    </row>
    <row r="1479" spans="1:16" s="10" customFormat="1">
      <c r="A1479" s="7">
        <f>IF(B1479="","",SUBTOTAL(103,$B$2:B1479))</f>
        <v>1478</v>
      </c>
      <c r="B1479" s="8" t="s">
        <v>3858</v>
      </c>
      <c r="C1479" s="7" t="s">
        <v>4031</v>
      </c>
      <c r="D1479" s="9" t="s">
        <v>4035</v>
      </c>
      <c r="E1479" s="7" t="s">
        <v>3861</v>
      </c>
      <c r="F1479" s="7" t="s">
        <v>4036</v>
      </c>
      <c r="G1479" s="7" t="s">
        <v>4037</v>
      </c>
      <c r="H1479" s="7">
        <v>1.0049999999999999</v>
      </c>
      <c r="I1479" s="7">
        <v>6</v>
      </c>
      <c r="J1479" s="7">
        <v>800</v>
      </c>
      <c r="K1479" s="7">
        <v>600</v>
      </c>
      <c r="L1479" s="7">
        <v>150</v>
      </c>
      <c r="M1479" s="7">
        <v>30</v>
      </c>
      <c r="N1479" s="7">
        <v>60</v>
      </c>
      <c r="O1479" s="7">
        <v>310</v>
      </c>
      <c r="P1479" s="7">
        <v>350</v>
      </c>
    </row>
    <row r="1480" spans="1:16" s="10" customFormat="1">
      <c r="A1480" s="7">
        <f>IF(B1480="","",SUBTOTAL(103,$B$2:B1480))</f>
        <v>1479</v>
      </c>
      <c r="B1480" s="8" t="s">
        <v>3858</v>
      </c>
      <c r="C1480" s="7" t="s">
        <v>4038</v>
      </c>
      <c r="D1480" s="9" t="s">
        <v>4039</v>
      </c>
      <c r="E1480" s="7" t="s">
        <v>3861</v>
      </c>
      <c r="F1480" s="7" t="s">
        <v>4040</v>
      </c>
      <c r="G1480" s="7" t="s">
        <v>4041</v>
      </c>
      <c r="H1480" s="7">
        <v>0.86399999999999999</v>
      </c>
      <c r="I1480" s="7">
        <v>10</v>
      </c>
      <c r="J1480" s="7">
        <v>800</v>
      </c>
      <c r="K1480" s="7">
        <v>600</v>
      </c>
      <c r="L1480" s="7">
        <v>150</v>
      </c>
      <c r="M1480" s="7">
        <v>30</v>
      </c>
      <c r="N1480" s="7">
        <v>60</v>
      </c>
      <c r="O1480" s="7">
        <v>195</v>
      </c>
      <c r="P1480" s="7">
        <v>300</v>
      </c>
    </row>
    <row r="1481" spans="1:16" s="10" customFormat="1">
      <c r="A1481" s="7">
        <f>IF(B1481="","",SUBTOTAL(103,$B$2:B1481))</f>
        <v>1480</v>
      </c>
      <c r="B1481" s="8" t="s">
        <v>3858</v>
      </c>
      <c r="C1481" s="7" t="s">
        <v>4038</v>
      </c>
      <c r="D1481" s="9" t="s">
        <v>4042</v>
      </c>
      <c r="E1481" s="7" t="s">
        <v>3861</v>
      </c>
      <c r="F1481" s="7" t="s">
        <v>4043</v>
      </c>
      <c r="G1481" s="7" t="s">
        <v>4044</v>
      </c>
      <c r="H1481" s="7">
        <v>0.86399999999999999</v>
      </c>
      <c r="I1481" s="7">
        <v>10</v>
      </c>
      <c r="J1481" s="7">
        <v>800</v>
      </c>
      <c r="K1481" s="7">
        <v>600</v>
      </c>
      <c r="L1481" s="7">
        <v>150</v>
      </c>
      <c r="M1481" s="7">
        <v>30</v>
      </c>
      <c r="N1481" s="7">
        <v>60</v>
      </c>
      <c r="O1481" s="7">
        <v>195</v>
      </c>
      <c r="P1481" s="7">
        <v>300</v>
      </c>
    </row>
    <row r="1482" spans="1:16" s="10" customFormat="1">
      <c r="A1482" s="7">
        <f>IF(B1482="","",SUBTOTAL(103,$B$2:B1482))</f>
        <v>1481</v>
      </c>
      <c r="B1482" s="8" t="s">
        <v>3858</v>
      </c>
      <c r="C1482" s="7" t="s">
        <v>4045</v>
      </c>
      <c r="D1482" s="9" t="s">
        <v>4046</v>
      </c>
      <c r="E1482" s="7" t="s">
        <v>3861</v>
      </c>
      <c r="F1482" s="7" t="s">
        <v>4047</v>
      </c>
      <c r="G1482" s="7" t="s">
        <v>4048</v>
      </c>
      <c r="H1482" s="7">
        <v>0.97</v>
      </c>
      <c r="I1482" s="7">
        <v>6</v>
      </c>
      <c r="J1482" s="7">
        <v>800</v>
      </c>
      <c r="K1482" s="7">
        <v>600</v>
      </c>
      <c r="L1482" s="7">
        <v>150</v>
      </c>
      <c r="M1482" s="7">
        <v>30</v>
      </c>
      <c r="N1482" s="7">
        <v>60</v>
      </c>
      <c r="O1482" s="7">
        <v>310</v>
      </c>
      <c r="P1482" s="7">
        <v>350</v>
      </c>
    </row>
    <row r="1483" spans="1:16" s="10" customFormat="1">
      <c r="A1483" s="7">
        <f>IF(B1483="","",SUBTOTAL(103,$B$2:B1483))</f>
        <v>1482</v>
      </c>
      <c r="B1483" s="8" t="s">
        <v>3858</v>
      </c>
      <c r="C1483" s="7" t="s">
        <v>4045</v>
      </c>
      <c r="D1483" s="9" t="s">
        <v>4049</v>
      </c>
      <c r="E1483" s="7" t="s">
        <v>3861</v>
      </c>
      <c r="F1483" s="7" t="s">
        <v>4050</v>
      </c>
      <c r="G1483" s="7" t="s">
        <v>4051</v>
      </c>
      <c r="H1483" s="7">
        <v>0.96599999999999997</v>
      </c>
      <c r="I1483" s="7">
        <v>6</v>
      </c>
      <c r="J1483" s="7">
        <v>800</v>
      </c>
      <c r="K1483" s="7">
        <v>600</v>
      </c>
      <c r="L1483" s="7">
        <v>150</v>
      </c>
      <c r="M1483" s="7">
        <v>30</v>
      </c>
      <c r="N1483" s="7">
        <v>60</v>
      </c>
      <c r="O1483" s="7">
        <v>310</v>
      </c>
      <c r="P1483" s="7">
        <v>350</v>
      </c>
    </row>
    <row r="1484" spans="1:16" s="10" customFormat="1">
      <c r="A1484" s="7">
        <f>IF(B1484="","",SUBTOTAL(103,$B$2:B1484))</f>
        <v>1483</v>
      </c>
      <c r="B1484" s="8" t="s">
        <v>3858</v>
      </c>
      <c r="C1484" s="7" t="s">
        <v>4052</v>
      </c>
      <c r="D1484" s="9" t="s">
        <v>4053</v>
      </c>
      <c r="E1484" s="7" t="s">
        <v>3861</v>
      </c>
      <c r="F1484" s="7" t="s">
        <v>4054</v>
      </c>
      <c r="G1484" s="7" t="s">
        <v>4055</v>
      </c>
      <c r="H1484" s="7">
        <v>0.76700000000000002</v>
      </c>
      <c r="I1484" s="7">
        <v>4</v>
      </c>
      <c r="J1484" s="7">
        <v>800</v>
      </c>
      <c r="K1484" s="7">
        <v>600</v>
      </c>
      <c r="L1484" s="7">
        <v>150</v>
      </c>
      <c r="M1484" s="7">
        <v>30</v>
      </c>
      <c r="N1484" s="7">
        <v>60</v>
      </c>
      <c r="O1484" s="7">
        <v>500</v>
      </c>
      <c r="P1484" s="7">
        <v>600</v>
      </c>
    </row>
    <row r="1485" spans="1:16" s="10" customFormat="1">
      <c r="A1485" s="7">
        <f>IF(B1485="","",SUBTOTAL(103,$B$2:B1485))</f>
        <v>1484</v>
      </c>
      <c r="B1485" s="8" t="s">
        <v>3858</v>
      </c>
      <c r="C1485" s="7" t="s">
        <v>4052</v>
      </c>
      <c r="D1485" s="9" t="s">
        <v>4056</v>
      </c>
      <c r="E1485" s="7" t="s">
        <v>3861</v>
      </c>
      <c r="F1485" s="7" t="s">
        <v>4057</v>
      </c>
      <c r="G1485" s="7" t="s">
        <v>4058</v>
      </c>
      <c r="H1485" s="7">
        <v>0.76700000000000002</v>
      </c>
      <c r="I1485" s="7">
        <v>4</v>
      </c>
      <c r="J1485" s="7">
        <v>800</v>
      </c>
      <c r="K1485" s="7">
        <v>600</v>
      </c>
      <c r="L1485" s="7">
        <v>150</v>
      </c>
      <c r="M1485" s="7">
        <v>30</v>
      </c>
      <c r="N1485" s="7">
        <v>60</v>
      </c>
      <c r="O1485" s="7">
        <v>500</v>
      </c>
      <c r="P1485" s="7">
        <v>600</v>
      </c>
    </row>
    <row r="1486" spans="1:16" s="10" customFormat="1">
      <c r="A1486" s="7">
        <f>IF(B1486="","",SUBTOTAL(103,$B$2:B1486))</f>
        <v>1485</v>
      </c>
      <c r="B1486" s="8" t="s">
        <v>3858</v>
      </c>
      <c r="C1486" s="7" t="s">
        <v>4059</v>
      </c>
      <c r="D1486" s="9" t="s">
        <v>4060</v>
      </c>
      <c r="E1486" s="7" t="s">
        <v>3861</v>
      </c>
      <c r="F1486" s="7" t="s">
        <v>4061</v>
      </c>
      <c r="G1486" s="7" t="s">
        <v>4062</v>
      </c>
      <c r="H1486" s="7">
        <v>0.93</v>
      </c>
      <c r="I1486" s="7">
        <v>5</v>
      </c>
      <c r="J1486" s="7">
        <v>800</v>
      </c>
      <c r="K1486" s="7">
        <v>600</v>
      </c>
      <c r="L1486" s="7">
        <v>150</v>
      </c>
      <c r="M1486" s="7">
        <v>30</v>
      </c>
      <c r="N1486" s="7">
        <v>60</v>
      </c>
      <c r="O1486" s="7">
        <v>400</v>
      </c>
      <c r="P1486" s="7">
        <v>565</v>
      </c>
    </row>
    <row r="1487" spans="1:16" s="10" customFormat="1">
      <c r="A1487" s="7">
        <f>IF(B1487="","",SUBTOTAL(103,$B$2:B1487))</f>
        <v>1486</v>
      </c>
      <c r="B1487" s="8" t="s">
        <v>3858</v>
      </c>
      <c r="C1487" s="7" t="s">
        <v>4059</v>
      </c>
      <c r="D1487" s="9" t="s">
        <v>4063</v>
      </c>
      <c r="E1487" s="7" t="s">
        <v>3861</v>
      </c>
      <c r="F1487" s="7" t="s">
        <v>4064</v>
      </c>
      <c r="G1487" s="7" t="s">
        <v>4065</v>
      </c>
      <c r="H1487" s="7">
        <v>0.93</v>
      </c>
      <c r="I1487" s="7">
        <v>5</v>
      </c>
      <c r="J1487" s="7">
        <v>800</v>
      </c>
      <c r="K1487" s="7">
        <v>600</v>
      </c>
      <c r="L1487" s="7">
        <v>150</v>
      </c>
      <c r="M1487" s="7">
        <v>30</v>
      </c>
      <c r="N1487" s="7">
        <v>60</v>
      </c>
      <c r="O1487" s="7">
        <v>400</v>
      </c>
      <c r="P1487" s="7">
        <v>565</v>
      </c>
    </row>
    <row r="1488" spans="1:16" s="10" customFormat="1">
      <c r="A1488" s="7">
        <f>IF(B1488="","",SUBTOTAL(103,$B$2:B1488))</f>
        <v>1487</v>
      </c>
      <c r="B1488" s="8" t="s">
        <v>3858</v>
      </c>
      <c r="C1488" s="7" t="s">
        <v>4066</v>
      </c>
      <c r="D1488" s="9" t="s">
        <v>4067</v>
      </c>
      <c r="E1488" s="7" t="s">
        <v>3861</v>
      </c>
      <c r="F1488" s="7" t="s">
        <v>4068</v>
      </c>
      <c r="G1488" s="7" t="s">
        <v>4069</v>
      </c>
      <c r="H1488" s="7">
        <v>1.3779999999999999</v>
      </c>
      <c r="I1488" s="7">
        <v>4</v>
      </c>
      <c r="J1488" s="7">
        <v>800</v>
      </c>
      <c r="K1488" s="7">
        <v>600</v>
      </c>
      <c r="L1488" s="7">
        <v>150</v>
      </c>
      <c r="M1488" s="7">
        <v>30</v>
      </c>
      <c r="N1488" s="7">
        <v>60</v>
      </c>
      <c r="O1488" s="7">
        <v>500</v>
      </c>
      <c r="P1488" s="7">
        <v>600</v>
      </c>
    </row>
    <row r="1489" spans="1:16" s="10" customFormat="1">
      <c r="A1489" s="7">
        <f>IF(B1489="","",SUBTOTAL(103,$B$2:B1489))</f>
        <v>1488</v>
      </c>
      <c r="B1489" s="8" t="s">
        <v>3858</v>
      </c>
      <c r="C1489" s="7" t="s">
        <v>4066</v>
      </c>
      <c r="D1489" s="9" t="s">
        <v>4070</v>
      </c>
      <c r="E1489" s="7" t="s">
        <v>3861</v>
      </c>
      <c r="F1489" s="7" t="s">
        <v>4071</v>
      </c>
      <c r="G1489" s="7" t="s">
        <v>4072</v>
      </c>
      <c r="H1489" s="7">
        <v>1.38</v>
      </c>
      <c r="I1489" s="7">
        <v>4</v>
      </c>
      <c r="J1489" s="7">
        <v>800</v>
      </c>
      <c r="K1489" s="7">
        <v>600</v>
      </c>
      <c r="L1489" s="7">
        <v>150</v>
      </c>
      <c r="M1489" s="7">
        <v>30</v>
      </c>
      <c r="N1489" s="7">
        <v>60</v>
      </c>
      <c r="O1489" s="7">
        <v>500</v>
      </c>
      <c r="P1489" s="7">
        <v>600</v>
      </c>
    </row>
    <row r="1490" spans="1:16" s="10" customFormat="1">
      <c r="A1490" s="7">
        <f>IF(B1490="","",SUBTOTAL(103,$B$2:B1490))</f>
        <v>1489</v>
      </c>
      <c r="B1490" s="8" t="s">
        <v>3858</v>
      </c>
      <c r="C1490" s="7" t="s">
        <v>4073</v>
      </c>
      <c r="D1490" s="9" t="s">
        <v>4074</v>
      </c>
      <c r="E1490" s="7" t="s">
        <v>3861</v>
      </c>
      <c r="F1490" s="7" t="s">
        <v>4075</v>
      </c>
      <c r="G1490" s="7" t="s">
        <v>4076</v>
      </c>
      <c r="H1490" s="7">
        <v>1.304</v>
      </c>
      <c r="I1490" s="7">
        <v>6</v>
      </c>
      <c r="J1490" s="7">
        <v>800</v>
      </c>
      <c r="K1490" s="7">
        <v>600</v>
      </c>
      <c r="L1490" s="7">
        <v>150</v>
      </c>
      <c r="M1490" s="7">
        <v>30</v>
      </c>
      <c r="N1490" s="7">
        <v>60</v>
      </c>
      <c r="O1490" s="7">
        <v>310</v>
      </c>
      <c r="P1490" s="7">
        <v>350</v>
      </c>
    </row>
    <row r="1491" spans="1:16" s="10" customFormat="1">
      <c r="A1491" s="7">
        <f>IF(B1491="","",SUBTOTAL(103,$B$2:B1491))</f>
        <v>1490</v>
      </c>
      <c r="B1491" s="8" t="s">
        <v>3858</v>
      </c>
      <c r="C1491" s="7" t="s">
        <v>4073</v>
      </c>
      <c r="D1491" s="9" t="s">
        <v>4077</v>
      </c>
      <c r="E1491" s="7" t="s">
        <v>3861</v>
      </c>
      <c r="F1491" s="7" t="s">
        <v>4078</v>
      </c>
      <c r="G1491" s="7" t="s">
        <v>4079</v>
      </c>
      <c r="H1491" s="7">
        <v>1.304</v>
      </c>
      <c r="I1491" s="7">
        <v>6</v>
      </c>
      <c r="J1491" s="7">
        <v>800</v>
      </c>
      <c r="K1491" s="7">
        <v>600</v>
      </c>
      <c r="L1491" s="7">
        <v>150</v>
      </c>
      <c r="M1491" s="7">
        <v>30</v>
      </c>
      <c r="N1491" s="7">
        <v>60</v>
      </c>
      <c r="O1491" s="7">
        <v>310</v>
      </c>
      <c r="P1491" s="7">
        <v>350</v>
      </c>
    </row>
    <row r="1492" spans="1:16" s="10" customFormat="1">
      <c r="A1492" s="7">
        <f>IF(B1492="","",SUBTOTAL(103,$B$2:B1492))</f>
        <v>1491</v>
      </c>
      <c r="B1492" s="8" t="s">
        <v>3858</v>
      </c>
      <c r="C1492" s="7" t="s">
        <v>4080</v>
      </c>
      <c r="D1492" s="9" t="s">
        <v>4081</v>
      </c>
      <c r="E1492" s="7" t="s">
        <v>3861</v>
      </c>
      <c r="F1492" s="7" t="s">
        <v>4082</v>
      </c>
      <c r="G1492" s="7" t="s">
        <v>4083</v>
      </c>
      <c r="H1492" s="7">
        <v>1.3260000000000001</v>
      </c>
      <c r="I1492" s="7">
        <v>6</v>
      </c>
      <c r="J1492" s="7">
        <v>800</v>
      </c>
      <c r="K1492" s="7">
        <v>600</v>
      </c>
      <c r="L1492" s="7">
        <v>150</v>
      </c>
      <c r="M1492" s="7">
        <v>30</v>
      </c>
      <c r="N1492" s="7">
        <v>60</v>
      </c>
      <c r="O1492" s="7">
        <v>310</v>
      </c>
      <c r="P1492" s="7">
        <v>350</v>
      </c>
    </row>
    <row r="1493" spans="1:16" s="10" customFormat="1">
      <c r="A1493" s="7">
        <f>IF(B1493="","",SUBTOTAL(103,$B$2:B1493))</f>
        <v>1492</v>
      </c>
      <c r="B1493" s="8" t="s">
        <v>3858</v>
      </c>
      <c r="C1493" s="7" t="s">
        <v>4080</v>
      </c>
      <c r="D1493" s="9" t="s">
        <v>4084</v>
      </c>
      <c r="E1493" s="7" t="s">
        <v>3861</v>
      </c>
      <c r="F1493" s="7" t="s">
        <v>4085</v>
      </c>
      <c r="G1493" s="7" t="str">
        <f>E1493&amp;F1493</f>
        <v>MB  K-09 HB3*11/4 316</v>
      </c>
      <c r="H1493" s="7">
        <v>1.3260000000000001</v>
      </c>
      <c r="I1493" s="7">
        <v>6</v>
      </c>
      <c r="J1493" s="7">
        <v>800</v>
      </c>
      <c r="K1493" s="7">
        <v>600</v>
      </c>
      <c r="L1493" s="7">
        <v>150</v>
      </c>
      <c r="M1493" s="7">
        <v>30</v>
      </c>
      <c r="N1493" s="7">
        <v>60</v>
      </c>
      <c r="O1493" s="7">
        <v>310</v>
      </c>
      <c r="P1493" s="7">
        <v>350</v>
      </c>
    </row>
    <row r="1494" spans="1:16" s="10" customFormat="1">
      <c r="A1494" s="7">
        <f>IF(B1494="","",SUBTOTAL(103,$B$2:B1494))</f>
        <v>1493</v>
      </c>
      <c r="B1494" s="8" t="s">
        <v>3858</v>
      </c>
      <c r="C1494" s="7" t="s">
        <v>4086</v>
      </c>
      <c r="D1494" s="9" t="s">
        <v>4087</v>
      </c>
      <c r="E1494" s="7" t="s">
        <v>3861</v>
      </c>
      <c r="F1494" s="7" t="s">
        <v>4088</v>
      </c>
      <c r="G1494" s="7" t="s">
        <v>4089</v>
      </c>
      <c r="H1494" s="7">
        <v>7.9000000000000001E-2</v>
      </c>
      <c r="I1494" s="7">
        <v>6</v>
      </c>
      <c r="J1494" s="7">
        <v>800</v>
      </c>
      <c r="K1494" s="7">
        <v>600</v>
      </c>
      <c r="L1494" s="7">
        <v>150</v>
      </c>
      <c r="M1494" s="7">
        <v>30</v>
      </c>
      <c r="N1494" s="7">
        <v>60</v>
      </c>
      <c r="O1494" s="7">
        <v>310</v>
      </c>
      <c r="P1494" s="7">
        <v>350</v>
      </c>
    </row>
    <row r="1495" spans="1:16" s="10" customFormat="1">
      <c r="A1495" s="7">
        <f>IF(B1495="","",SUBTOTAL(103,$B$2:B1495))</f>
        <v>1494</v>
      </c>
      <c r="B1495" s="8" t="s">
        <v>3858</v>
      </c>
      <c r="C1495" s="7" t="s">
        <v>4086</v>
      </c>
      <c r="D1495" s="9" t="s">
        <v>4090</v>
      </c>
      <c r="E1495" s="7" t="s">
        <v>3861</v>
      </c>
      <c r="F1495" s="7" t="s">
        <v>4091</v>
      </c>
      <c r="G1495" s="7" t="s">
        <v>4092</v>
      </c>
      <c r="H1495" s="7">
        <v>7.9000000000000001E-2</v>
      </c>
      <c r="I1495" s="7">
        <v>6</v>
      </c>
      <c r="J1495" s="7">
        <v>800</v>
      </c>
      <c r="K1495" s="7">
        <v>600</v>
      </c>
      <c r="L1495" s="7">
        <v>150</v>
      </c>
      <c r="M1495" s="7">
        <v>30</v>
      </c>
      <c r="N1495" s="7">
        <v>60</v>
      </c>
      <c r="O1495" s="7">
        <v>310</v>
      </c>
      <c r="P1495" s="7">
        <v>350</v>
      </c>
    </row>
    <row r="1496" spans="1:16" s="10" customFormat="1">
      <c r="A1496" s="7">
        <f>IF(B1496="","",SUBTOTAL(103,$B$2:B1496))</f>
        <v>1495</v>
      </c>
      <c r="B1496" s="8" t="s">
        <v>3858</v>
      </c>
      <c r="C1496" s="7" t="s">
        <v>4093</v>
      </c>
      <c r="D1496" s="9" t="s">
        <v>4094</v>
      </c>
      <c r="E1496" s="7" t="s">
        <v>3861</v>
      </c>
      <c r="F1496" s="7" t="s">
        <v>4095</v>
      </c>
      <c r="G1496" s="7" t="s">
        <v>4096</v>
      </c>
      <c r="H1496" s="7">
        <v>1.0569999999999999</v>
      </c>
      <c r="I1496" s="7">
        <v>3</v>
      </c>
      <c r="J1496" s="7">
        <v>800</v>
      </c>
      <c r="K1496" s="7">
        <v>600</v>
      </c>
      <c r="L1496" s="7">
        <v>150</v>
      </c>
      <c r="M1496" s="7">
        <v>30</v>
      </c>
      <c r="N1496" s="7">
        <v>60</v>
      </c>
      <c r="O1496" s="7">
        <v>650</v>
      </c>
      <c r="P1496" s="7">
        <v>675</v>
      </c>
    </row>
    <row r="1497" spans="1:16" s="10" customFormat="1">
      <c r="A1497" s="7">
        <f>IF(B1497="","",SUBTOTAL(103,$B$2:B1497))</f>
        <v>1496</v>
      </c>
      <c r="B1497" s="8" t="s">
        <v>3858</v>
      </c>
      <c r="C1497" s="7" t="s">
        <v>4093</v>
      </c>
      <c r="D1497" s="9" t="s">
        <v>4097</v>
      </c>
      <c r="E1497" s="7" t="s">
        <v>3861</v>
      </c>
      <c r="F1497" s="7" t="s">
        <v>4098</v>
      </c>
      <c r="G1497" s="7" t="s">
        <v>4099</v>
      </c>
      <c r="H1497" s="7">
        <v>1.0529999999999999</v>
      </c>
      <c r="I1497" s="7">
        <v>3</v>
      </c>
      <c r="J1497" s="7">
        <v>800</v>
      </c>
      <c r="K1497" s="7">
        <v>600</v>
      </c>
      <c r="L1497" s="7">
        <v>150</v>
      </c>
      <c r="M1497" s="7">
        <v>30</v>
      </c>
      <c r="N1497" s="7">
        <v>60</v>
      </c>
      <c r="O1497" s="7">
        <v>650</v>
      </c>
      <c r="P1497" s="7">
        <v>675</v>
      </c>
    </row>
    <row r="1498" spans="1:16" s="10" customFormat="1">
      <c r="A1498" s="7">
        <f>IF(B1498="","",SUBTOTAL(103,$B$2:B1498))</f>
        <v>1497</v>
      </c>
      <c r="B1498" s="8" t="s">
        <v>3858</v>
      </c>
      <c r="C1498" s="7" t="s">
        <v>4100</v>
      </c>
      <c r="D1498" s="9" t="s">
        <v>4101</v>
      </c>
      <c r="E1498" s="7" t="s">
        <v>3861</v>
      </c>
      <c r="F1498" s="7" t="s">
        <v>1260</v>
      </c>
      <c r="G1498" s="7" t="s">
        <v>4102</v>
      </c>
      <c r="H1498" s="7">
        <v>7.9000000000000001E-2</v>
      </c>
      <c r="I1498" s="7">
        <v>48</v>
      </c>
      <c r="J1498" s="7">
        <v>800</v>
      </c>
      <c r="K1498" s="7">
        <v>600</v>
      </c>
      <c r="L1498" s="7">
        <v>150</v>
      </c>
      <c r="M1498" s="7">
        <v>30</v>
      </c>
      <c r="N1498" s="7">
        <v>60</v>
      </c>
      <c r="O1498" s="7">
        <v>41</v>
      </c>
      <c r="P1498" s="7">
        <v>140</v>
      </c>
    </row>
    <row r="1499" spans="1:16" s="10" customFormat="1">
      <c r="A1499" s="7">
        <f>IF(B1499="","",SUBTOTAL(103,$B$2:B1499))</f>
        <v>1498</v>
      </c>
      <c r="B1499" s="8" t="s">
        <v>3858</v>
      </c>
      <c r="C1499" s="7" t="s">
        <v>4100</v>
      </c>
      <c r="D1499" s="9" t="s">
        <v>4103</v>
      </c>
      <c r="E1499" s="7" t="s">
        <v>3861</v>
      </c>
      <c r="F1499" s="7" t="s">
        <v>1263</v>
      </c>
      <c r="G1499" s="7" t="s">
        <v>4104</v>
      </c>
      <c r="H1499" s="7">
        <v>7.9000000000000001E-2</v>
      </c>
      <c r="I1499" s="7">
        <v>48</v>
      </c>
      <c r="J1499" s="7">
        <v>800</v>
      </c>
      <c r="K1499" s="7">
        <v>600</v>
      </c>
      <c r="L1499" s="7">
        <v>150</v>
      </c>
      <c r="M1499" s="7">
        <v>30</v>
      </c>
      <c r="N1499" s="7">
        <v>60</v>
      </c>
      <c r="O1499" s="7">
        <v>41</v>
      </c>
      <c r="P1499" s="7">
        <v>140</v>
      </c>
    </row>
    <row r="1500" spans="1:16" s="10" customFormat="1">
      <c r="A1500" s="7">
        <f>IF(B1500="","",SUBTOTAL(103,$B$2:B1500))</f>
        <v>1499</v>
      </c>
      <c r="B1500" s="8" t="s">
        <v>3858</v>
      </c>
      <c r="C1500" s="7" t="s">
        <v>4105</v>
      </c>
      <c r="D1500" s="9" t="s">
        <v>4106</v>
      </c>
      <c r="E1500" s="7" t="s">
        <v>3861</v>
      </c>
      <c r="F1500" s="7" t="s">
        <v>1267</v>
      </c>
      <c r="G1500" s="7" t="s">
        <v>4107</v>
      </c>
      <c r="H1500" s="7">
        <v>8.5999999999999993E-2</v>
      </c>
      <c r="I1500" s="7">
        <v>48</v>
      </c>
      <c r="J1500" s="7">
        <v>800</v>
      </c>
      <c r="K1500" s="7">
        <v>600</v>
      </c>
      <c r="L1500" s="7">
        <v>150</v>
      </c>
      <c r="M1500" s="7">
        <v>30</v>
      </c>
      <c r="N1500" s="7">
        <v>60</v>
      </c>
      <c r="O1500" s="7">
        <v>41</v>
      </c>
      <c r="P1500" s="7">
        <v>140</v>
      </c>
    </row>
    <row r="1501" spans="1:16" s="10" customFormat="1">
      <c r="A1501" s="7">
        <f>IF(B1501="","",SUBTOTAL(103,$B$2:B1501))</f>
        <v>1500</v>
      </c>
      <c r="B1501" s="8" t="s">
        <v>3858</v>
      </c>
      <c r="C1501" s="7" t="s">
        <v>4105</v>
      </c>
      <c r="D1501" s="9" t="s">
        <v>4108</v>
      </c>
      <c r="E1501" s="7" t="s">
        <v>3861</v>
      </c>
      <c r="F1501" s="7" t="s">
        <v>1270</v>
      </c>
      <c r="G1501" s="7" t="s">
        <v>4109</v>
      </c>
      <c r="H1501" s="7">
        <v>8.5999999999999993E-2</v>
      </c>
      <c r="I1501" s="7">
        <v>48</v>
      </c>
      <c r="J1501" s="7">
        <v>800</v>
      </c>
      <c r="K1501" s="7">
        <v>600</v>
      </c>
      <c r="L1501" s="7">
        <v>150</v>
      </c>
      <c r="M1501" s="7">
        <v>30</v>
      </c>
      <c r="N1501" s="7">
        <v>60</v>
      </c>
      <c r="O1501" s="7">
        <v>41</v>
      </c>
      <c r="P1501" s="7">
        <v>140</v>
      </c>
    </row>
    <row r="1502" spans="1:16" s="10" customFormat="1">
      <c r="A1502" s="7">
        <f>IF(B1502="","",SUBTOTAL(103,$B$2:B1502))</f>
        <v>1501</v>
      </c>
      <c r="B1502" s="8" t="s">
        <v>3858</v>
      </c>
      <c r="C1502" s="7" t="s">
        <v>4110</v>
      </c>
      <c r="D1502" s="9" t="s">
        <v>4111</v>
      </c>
      <c r="E1502" s="7" t="s">
        <v>3861</v>
      </c>
      <c r="F1502" s="7" t="s">
        <v>4112</v>
      </c>
      <c r="G1502" s="7" t="s">
        <v>4113</v>
      </c>
      <c r="H1502" s="7">
        <v>8.6999999999999994E-2</v>
      </c>
      <c r="I1502" s="7">
        <v>48</v>
      </c>
      <c r="J1502" s="7">
        <v>800</v>
      </c>
      <c r="K1502" s="7">
        <v>600</v>
      </c>
      <c r="L1502" s="7">
        <v>150</v>
      </c>
      <c r="M1502" s="7">
        <v>30</v>
      </c>
      <c r="N1502" s="7">
        <v>60</v>
      </c>
      <c r="O1502" s="7">
        <v>41</v>
      </c>
      <c r="P1502" s="7">
        <v>140</v>
      </c>
    </row>
    <row r="1503" spans="1:16" s="10" customFormat="1">
      <c r="A1503" s="7">
        <f>IF(B1503="","",SUBTOTAL(103,$B$2:B1503))</f>
        <v>1502</v>
      </c>
      <c r="B1503" s="8" t="s">
        <v>3858</v>
      </c>
      <c r="C1503" s="7" t="s">
        <v>4110</v>
      </c>
      <c r="D1503" s="9" t="s">
        <v>4114</v>
      </c>
      <c r="E1503" s="7" t="s">
        <v>3861</v>
      </c>
      <c r="F1503" s="7" t="s">
        <v>4115</v>
      </c>
      <c r="G1503" s="7" t="s">
        <v>4116</v>
      </c>
      <c r="H1503" s="7">
        <v>8.6999999999999994E-2</v>
      </c>
      <c r="I1503" s="7">
        <v>48</v>
      </c>
      <c r="J1503" s="7">
        <v>800</v>
      </c>
      <c r="K1503" s="7">
        <v>600</v>
      </c>
      <c r="L1503" s="7">
        <v>150</v>
      </c>
      <c r="M1503" s="7">
        <v>30</v>
      </c>
      <c r="N1503" s="7">
        <v>60</v>
      </c>
      <c r="O1503" s="7">
        <v>41</v>
      </c>
      <c r="P1503" s="7">
        <v>140</v>
      </c>
    </row>
    <row r="1504" spans="1:16" s="10" customFormat="1">
      <c r="A1504" s="7">
        <f>IF(B1504="","",SUBTOTAL(103,$B$2:B1504))</f>
        <v>1503</v>
      </c>
      <c r="B1504" s="8" t="s">
        <v>3858</v>
      </c>
      <c r="C1504" s="7" t="s">
        <v>4117</v>
      </c>
      <c r="D1504" s="9" t="s">
        <v>4118</v>
      </c>
      <c r="E1504" s="7" t="s">
        <v>3861</v>
      </c>
      <c r="F1504" s="7" t="s">
        <v>1274</v>
      </c>
      <c r="G1504" s="7" t="s">
        <v>4119</v>
      </c>
      <c r="H1504" s="7">
        <v>8.1000000000000003E-2</v>
      </c>
      <c r="I1504" s="7">
        <v>48</v>
      </c>
      <c r="J1504" s="7">
        <v>800</v>
      </c>
      <c r="K1504" s="7">
        <v>600</v>
      </c>
      <c r="L1504" s="7">
        <v>150</v>
      </c>
      <c r="M1504" s="7">
        <v>30</v>
      </c>
      <c r="N1504" s="7">
        <v>60</v>
      </c>
      <c r="O1504" s="7">
        <v>41</v>
      </c>
      <c r="P1504" s="7">
        <v>140</v>
      </c>
    </row>
    <row r="1505" spans="1:16" s="10" customFormat="1">
      <c r="A1505" s="7">
        <f>IF(B1505="","",SUBTOTAL(103,$B$2:B1505))</f>
        <v>1504</v>
      </c>
      <c r="B1505" s="8" t="s">
        <v>3858</v>
      </c>
      <c r="C1505" s="7" t="s">
        <v>4117</v>
      </c>
      <c r="D1505" s="9" t="s">
        <v>4120</v>
      </c>
      <c r="E1505" s="7" t="s">
        <v>3861</v>
      </c>
      <c r="F1505" s="7" t="s">
        <v>1277</v>
      </c>
      <c r="G1505" s="7" t="s">
        <v>4121</v>
      </c>
      <c r="H1505" s="7">
        <v>8.1000000000000003E-2</v>
      </c>
      <c r="I1505" s="7">
        <v>48</v>
      </c>
      <c r="J1505" s="7">
        <v>800</v>
      </c>
      <c r="K1505" s="7">
        <v>600</v>
      </c>
      <c r="L1505" s="7">
        <v>150</v>
      </c>
      <c r="M1505" s="7">
        <v>30</v>
      </c>
      <c r="N1505" s="7">
        <v>60</v>
      </c>
      <c r="O1505" s="7">
        <v>41</v>
      </c>
      <c r="P1505" s="7">
        <v>140</v>
      </c>
    </row>
    <row r="1506" spans="1:16" s="10" customFormat="1">
      <c r="A1506" s="7">
        <f>IF(B1506="","",SUBTOTAL(103,$B$2:B1506))</f>
        <v>1505</v>
      </c>
      <c r="B1506" s="8" t="s">
        <v>3858</v>
      </c>
      <c r="C1506" s="7" t="s">
        <v>4122</v>
      </c>
      <c r="D1506" s="9" t="s">
        <v>4123</v>
      </c>
      <c r="E1506" s="7" t="s">
        <v>3861</v>
      </c>
      <c r="F1506" s="7" t="s">
        <v>1281</v>
      </c>
      <c r="G1506" s="7" t="s">
        <v>4124</v>
      </c>
      <c r="H1506" s="7">
        <v>0.02</v>
      </c>
      <c r="I1506" s="7">
        <v>108</v>
      </c>
      <c r="J1506" s="7">
        <v>800</v>
      </c>
      <c r="K1506" s="7">
        <v>600</v>
      </c>
      <c r="L1506" s="7">
        <v>150</v>
      </c>
      <c r="M1506" s="7">
        <v>30</v>
      </c>
      <c r="N1506" s="7">
        <v>60</v>
      </c>
      <c r="O1506" s="7">
        <v>25</v>
      </c>
      <c r="P1506" s="7">
        <v>120</v>
      </c>
    </row>
    <row r="1507" spans="1:16" s="10" customFormat="1">
      <c r="A1507" s="7">
        <f>IF(B1507="","",SUBTOTAL(103,$B$2:B1507))</f>
        <v>1506</v>
      </c>
      <c r="B1507" s="8" t="s">
        <v>3858</v>
      </c>
      <c r="C1507" s="7" t="s">
        <v>4122</v>
      </c>
      <c r="D1507" s="9" t="s">
        <v>4125</v>
      </c>
      <c r="E1507" s="7" t="s">
        <v>3861</v>
      </c>
      <c r="F1507" s="7" t="s">
        <v>1284</v>
      </c>
      <c r="G1507" s="7" t="s">
        <v>4126</v>
      </c>
      <c r="H1507" s="7">
        <v>0.02</v>
      </c>
      <c r="I1507" s="7">
        <v>108</v>
      </c>
      <c r="J1507" s="7">
        <v>800</v>
      </c>
      <c r="K1507" s="7">
        <v>600</v>
      </c>
      <c r="L1507" s="7">
        <v>150</v>
      </c>
      <c r="M1507" s="7">
        <v>30</v>
      </c>
      <c r="N1507" s="7">
        <v>60</v>
      </c>
      <c r="O1507" s="7">
        <v>25</v>
      </c>
      <c r="P1507" s="7">
        <v>120</v>
      </c>
    </row>
    <row r="1508" spans="1:16" s="10" customFormat="1">
      <c r="A1508" s="7">
        <f>IF(B1508="","",SUBTOTAL(103,$B$2:B1508))</f>
        <v>1507</v>
      </c>
      <c r="B1508" s="8" t="s">
        <v>3858</v>
      </c>
      <c r="C1508" s="7" t="s">
        <v>4127</v>
      </c>
      <c r="D1508" s="9" t="s">
        <v>4128</v>
      </c>
      <c r="E1508" s="7" t="s">
        <v>3861</v>
      </c>
      <c r="F1508" s="7" t="s">
        <v>1288</v>
      </c>
      <c r="G1508" s="7" t="s">
        <v>4129</v>
      </c>
      <c r="H1508" s="7">
        <v>2.5999999999999999E-2</v>
      </c>
      <c r="I1508" s="7">
        <v>108</v>
      </c>
      <c r="J1508" s="7">
        <v>800</v>
      </c>
      <c r="K1508" s="7">
        <v>600</v>
      </c>
      <c r="L1508" s="7">
        <v>150</v>
      </c>
      <c r="M1508" s="7">
        <v>30</v>
      </c>
      <c r="N1508" s="7">
        <v>60</v>
      </c>
      <c r="O1508" s="7">
        <v>25</v>
      </c>
      <c r="P1508" s="7">
        <v>115</v>
      </c>
    </row>
    <row r="1509" spans="1:16" s="10" customFormat="1">
      <c r="A1509" s="7">
        <f>IF(B1509="","",SUBTOTAL(103,$B$2:B1509))</f>
        <v>1508</v>
      </c>
      <c r="B1509" s="8" t="s">
        <v>3858</v>
      </c>
      <c r="C1509" s="7" t="s">
        <v>4127</v>
      </c>
      <c r="D1509" s="9" t="s">
        <v>4130</v>
      </c>
      <c r="E1509" s="7" t="s">
        <v>3861</v>
      </c>
      <c r="F1509" s="7" t="s">
        <v>3422</v>
      </c>
      <c r="G1509" s="7" t="s">
        <v>4131</v>
      </c>
      <c r="H1509" s="7">
        <v>2.5999999999999999E-2</v>
      </c>
      <c r="I1509" s="7">
        <v>108</v>
      </c>
      <c r="J1509" s="7">
        <v>800</v>
      </c>
      <c r="K1509" s="7">
        <v>600</v>
      </c>
      <c r="L1509" s="7">
        <v>150</v>
      </c>
      <c r="M1509" s="7">
        <v>30</v>
      </c>
      <c r="N1509" s="7">
        <v>60</v>
      </c>
      <c r="O1509" s="7">
        <v>25</v>
      </c>
      <c r="P1509" s="7">
        <v>115</v>
      </c>
    </row>
    <row r="1510" spans="1:16" s="10" customFormat="1">
      <c r="A1510" s="7">
        <f>IF(B1510="","",SUBTOTAL(103,$B$2:B1510))</f>
        <v>1509</v>
      </c>
      <c r="B1510" s="8" t="s">
        <v>3858</v>
      </c>
      <c r="C1510" s="7" t="s">
        <v>4132</v>
      </c>
      <c r="D1510" s="9" t="s">
        <v>4133</v>
      </c>
      <c r="E1510" s="7" t="s">
        <v>3861</v>
      </c>
      <c r="F1510" s="7" t="s">
        <v>4134</v>
      </c>
      <c r="G1510" s="7" t="s">
        <v>4135</v>
      </c>
      <c r="H1510" s="7">
        <v>2.1419999999999999</v>
      </c>
      <c r="I1510" s="7">
        <v>4</v>
      </c>
      <c r="J1510" s="7">
        <v>800</v>
      </c>
      <c r="K1510" s="7">
        <v>600</v>
      </c>
      <c r="L1510" s="7">
        <v>150</v>
      </c>
      <c r="M1510" s="7">
        <v>30</v>
      </c>
      <c r="N1510" s="7">
        <v>60</v>
      </c>
      <c r="O1510" s="7">
        <v>500</v>
      </c>
      <c r="P1510" s="7">
        <v>600</v>
      </c>
    </row>
    <row r="1511" spans="1:16" s="10" customFormat="1">
      <c r="A1511" s="7">
        <f>IF(B1511="","",SUBTOTAL(103,$B$2:B1511))</f>
        <v>1510</v>
      </c>
      <c r="B1511" s="8" t="s">
        <v>3858</v>
      </c>
      <c r="C1511" s="7" t="s">
        <v>4136</v>
      </c>
      <c r="D1511" s="9" t="s">
        <v>4137</v>
      </c>
      <c r="E1511" s="7" t="s">
        <v>3861</v>
      </c>
      <c r="F1511" s="7" t="s">
        <v>4138</v>
      </c>
      <c r="G1511" s="7" t="s">
        <v>4139</v>
      </c>
      <c r="H1511" s="7">
        <v>2.1349999999999998</v>
      </c>
      <c r="I1511" s="7">
        <v>4</v>
      </c>
      <c r="J1511" s="7">
        <v>800</v>
      </c>
      <c r="K1511" s="7">
        <v>600</v>
      </c>
      <c r="L1511" s="7">
        <v>150</v>
      </c>
      <c r="M1511" s="7">
        <v>30</v>
      </c>
      <c r="N1511" s="7">
        <v>60</v>
      </c>
      <c r="O1511" s="7">
        <v>500</v>
      </c>
      <c r="P1511" s="7">
        <v>600</v>
      </c>
    </row>
    <row r="1512" spans="1:16" s="10" customFormat="1">
      <c r="A1512" s="7">
        <f>IF(B1512="","",SUBTOTAL(103,$B$2:B1512))</f>
        <v>1511</v>
      </c>
      <c r="B1512" s="8" t="s">
        <v>3858</v>
      </c>
      <c r="C1512" s="7" t="s">
        <v>4140</v>
      </c>
      <c r="D1512" s="9" t="s">
        <v>4141</v>
      </c>
      <c r="E1512" s="7" t="s">
        <v>3861</v>
      </c>
      <c r="F1512" s="7" t="s">
        <v>4142</v>
      </c>
      <c r="G1512" s="7" t="s">
        <v>4143</v>
      </c>
      <c r="H1512" s="7">
        <v>2.3159999999999998</v>
      </c>
      <c r="I1512" s="7">
        <v>4</v>
      </c>
      <c r="J1512" s="7">
        <v>800</v>
      </c>
      <c r="K1512" s="7">
        <v>600</v>
      </c>
      <c r="L1512" s="7">
        <v>150</v>
      </c>
      <c r="M1512" s="7">
        <v>30</v>
      </c>
      <c r="N1512" s="7">
        <v>60</v>
      </c>
      <c r="O1512" s="7">
        <v>500</v>
      </c>
      <c r="P1512" s="7">
        <v>600</v>
      </c>
    </row>
    <row r="1513" spans="1:16" s="10" customFormat="1">
      <c r="A1513" s="7">
        <f>IF(B1513="","",SUBTOTAL(103,$B$2:B1513))</f>
        <v>1512</v>
      </c>
      <c r="B1513" s="8" t="s">
        <v>3858</v>
      </c>
      <c r="C1513" s="7" t="s">
        <v>4140</v>
      </c>
      <c r="D1513" s="9" t="s">
        <v>4144</v>
      </c>
      <c r="E1513" s="7" t="s">
        <v>3861</v>
      </c>
      <c r="F1513" s="7" t="s">
        <v>4145</v>
      </c>
      <c r="G1513" s="7" t="s">
        <v>4146</v>
      </c>
      <c r="H1513" s="7">
        <v>2.3159999999999998</v>
      </c>
      <c r="I1513" s="7">
        <v>4</v>
      </c>
      <c r="J1513" s="7">
        <v>800</v>
      </c>
      <c r="K1513" s="7">
        <v>600</v>
      </c>
      <c r="L1513" s="7">
        <v>150</v>
      </c>
      <c r="M1513" s="7">
        <v>30</v>
      </c>
      <c r="N1513" s="7">
        <v>60</v>
      </c>
      <c r="O1513" s="7">
        <v>500</v>
      </c>
      <c r="P1513" s="7">
        <v>600</v>
      </c>
    </row>
    <row r="1514" spans="1:16" s="10" customFormat="1">
      <c r="A1514" s="7">
        <f>IF(B1514="","",SUBTOTAL(103,$B$2:B1514))</f>
        <v>1513</v>
      </c>
      <c r="B1514" s="8" t="s">
        <v>3858</v>
      </c>
      <c r="C1514" s="7" t="s">
        <v>4147</v>
      </c>
      <c r="D1514" s="9" t="s">
        <v>4148</v>
      </c>
      <c r="E1514" s="7" t="s">
        <v>3861</v>
      </c>
      <c r="F1514" s="7" t="s">
        <v>4149</v>
      </c>
      <c r="G1514" s="7" t="s">
        <v>4150</v>
      </c>
      <c r="H1514" s="7">
        <v>2.2519999999999998</v>
      </c>
      <c r="I1514" s="7">
        <v>4</v>
      </c>
      <c r="J1514" s="7">
        <v>800</v>
      </c>
      <c r="K1514" s="7">
        <v>600</v>
      </c>
      <c r="L1514" s="7">
        <v>150</v>
      </c>
      <c r="M1514" s="7">
        <v>30</v>
      </c>
      <c r="N1514" s="7">
        <v>60</v>
      </c>
      <c r="O1514" s="7">
        <v>500</v>
      </c>
      <c r="P1514" s="7">
        <v>600</v>
      </c>
    </row>
    <row r="1515" spans="1:16" s="10" customFormat="1">
      <c r="A1515" s="7">
        <f>IF(B1515="","",SUBTOTAL(103,$B$2:B1515))</f>
        <v>1514</v>
      </c>
      <c r="B1515" s="8" t="s">
        <v>3858</v>
      </c>
      <c r="C1515" s="7" t="s">
        <v>4147</v>
      </c>
      <c r="D1515" s="9" t="s">
        <v>4151</v>
      </c>
      <c r="E1515" s="7" t="s">
        <v>3861</v>
      </c>
      <c r="F1515" s="7" t="s">
        <v>4152</v>
      </c>
      <c r="G1515" s="7" t="s">
        <v>4153</v>
      </c>
      <c r="H1515" s="7">
        <v>2.2519999999999998</v>
      </c>
      <c r="I1515" s="7">
        <v>4</v>
      </c>
      <c r="J1515" s="7">
        <v>800</v>
      </c>
      <c r="K1515" s="7">
        <v>600</v>
      </c>
      <c r="L1515" s="7">
        <v>150</v>
      </c>
      <c r="M1515" s="7">
        <v>30</v>
      </c>
      <c r="N1515" s="7">
        <v>60</v>
      </c>
      <c r="O1515" s="7">
        <v>500</v>
      </c>
      <c r="P1515" s="7">
        <v>600</v>
      </c>
    </row>
    <row r="1516" spans="1:16" s="10" customFormat="1">
      <c r="A1516" s="7">
        <f>IF(B1516="","",SUBTOTAL(103,$B$2:B1516))</f>
        <v>1515</v>
      </c>
      <c r="B1516" s="8" t="s">
        <v>3858</v>
      </c>
      <c r="C1516" s="7" t="s">
        <v>4154</v>
      </c>
      <c r="D1516" s="9" t="s">
        <v>4155</v>
      </c>
      <c r="E1516" s="7" t="s">
        <v>3861</v>
      </c>
      <c r="F1516" s="7" t="s">
        <v>4156</v>
      </c>
      <c r="G1516" s="7" t="s">
        <v>4157</v>
      </c>
      <c r="H1516" s="7">
        <v>1.9510000000000001</v>
      </c>
      <c r="I1516" s="7">
        <v>4</v>
      </c>
      <c r="J1516" s="7">
        <v>800</v>
      </c>
      <c r="K1516" s="7">
        <v>600</v>
      </c>
      <c r="L1516" s="7">
        <v>150</v>
      </c>
      <c r="M1516" s="7">
        <v>30</v>
      </c>
      <c r="N1516" s="7">
        <v>60</v>
      </c>
      <c r="O1516" s="7">
        <v>500</v>
      </c>
      <c r="P1516" s="7">
        <v>600</v>
      </c>
    </row>
    <row r="1517" spans="1:16" s="10" customFormat="1">
      <c r="A1517" s="7">
        <f>IF(B1517="","",SUBTOTAL(103,$B$2:B1517))</f>
        <v>1516</v>
      </c>
      <c r="B1517" s="8" t="s">
        <v>3858</v>
      </c>
      <c r="C1517" s="7" t="s">
        <v>4154</v>
      </c>
      <c r="D1517" s="9" t="s">
        <v>4158</v>
      </c>
      <c r="E1517" s="7" t="s">
        <v>3861</v>
      </c>
      <c r="F1517" s="7" t="s">
        <v>4159</v>
      </c>
      <c r="G1517" s="7" t="s">
        <v>4160</v>
      </c>
      <c r="H1517" s="7">
        <v>1.9510000000000001</v>
      </c>
      <c r="I1517" s="7">
        <v>4</v>
      </c>
      <c r="J1517" s="7">
        <v>800</v>
      </c>
      <c r="K1517" s="7">
        <v>600</v>
      </c>
      <c r="L1517" s="7">
        <v>150</v>
      </c>
      <c r="M1517" s="7">
        <v>30</v>
      </c>
      <c r="N1517" s="7">
        <v>60</v>
      </c>
      <c r="O1517" s="7">
        <v>500</v>
      </c>
      <c r="P1517" s="7">
        <v>600</v>
      </c>
    </row>
    <row r="1518" spans="1:16" s="10" customFormat="1">
      <c r="A1518" s="7">
        <f>IF(B1518="","",SUBTOTAL(103,$B$2:B1518))</f>
        <v>1517</v>
      </c>
      <c r="B1518" s="8" t="s">
        <v>4161</v>
      </c>
      <c r="C1518" s="7" t="s">
        <v>3796</v>
      </c>
      <c r="D1518" s="9" t="s">
        <v>4162</v>
      </c>
      <c r="E1518" s="7" t="s">
        <v>4163</v>
      </c>
      <c r="F1518" s="7" t="s">
        <v>4164</v>
      </c>
      <c r="G1518" s="7" t="s">
        <v>4165</v>
      </c>
      <c r="H1518" s="7">
        <v>0.13900000000000001</v>
      </c>
      <c r="I1518" s="7">
        <v>36</v>
      </c>
      <c r="J1518" s="7">
        <v>800</v>
      </c>
      <c r="K1518" s="7">
        <v>600</v>
      </c>
      <c r="L1518" s="7">
        <v>150</v>
      </c>
      <c r="M1518" s="7">
        <v>30</v>
      </c>
      <c r="N1518" s="7">
        <v>60</v>
      </c>
      <c r="O1518" s="7">
        <v>55</v>
      </c>
      <c r="P1518" s="7">
        <v>140</v>
      </c>
    </row>
    <row r="1519" spans="1:16" s="10" customFormat="1">
      <c r="A1519" s="7">
        <f>IF(B1519="","",SUBTOTAL(103,$B$2:B1519))</f>
        <v>1518</v>
      </c>
      <c r="B1519" s="8" t="s">
        <v>4161</v>
      </c>
      <c r="C1519" s="7" t="s">
        <v>3796</v>
      </c>
      <c r="D1519" s="9" t="s">
        <v>4166</v>
      </c>
      <c r="E1519" s="7" t="s">
        <v>4163</v>
      </c>
      <c r="F1519" s="7" t="s">
        <v>3799</v>
      </c>
      <c r="G1519" s="7" t="s">
        <v>4167</v>
      </c>
      <c r="H1519" s="7">
        <v>0.13900000000000001</v>
      </c>
      <c r="I1519" s="7">
        <v>36</v>
      </c>
      <c r="J1519" s="7">
        <v>800</v>
      </c>
      <c r="K1519" s="7">
        <v>600</v>
      </c>
      <c r="L1519" s="7">
        <v>150</v>
      </c>
      <c r="M1519" s="7">
        <v>30</v>
      </c>
      <c r="N1519" s="7">
        <v>60</v>
      </c>
      <c r="O1519" s="7">
        <v>55</v>
      </c>
      <c r="P1519" s="7">
        <v>140</v>
      </c>
    </row>
    <row r="1520" spans="1:16" s="10" customFormat="1">
      <c r="A1520" s="7">
        <f>IF(B1520="","",SUBTOTAL(103,$B$2:B1520))</f>
        <v>1519</v>
      </c>
      <c r="B1520" s="8" t="s">
        <v>4161</v>
      </c>
      <c r="C1520" s="7" t="s">
        <v>4168</v>
      </c>
      <c r="D1520" s="9" t="s">
        <v>4169</v>
      </c>
      <c r="E1520" s="7" t="s">
        <v>4163</v>
      </c>
      <c r="F1520" s="7" t="s">
        <v>4170</v>
      </c>
      <c r="G1520" s="7" t="s">
        <v>4171</v>
      </c>
      <c r="H1520" s="7">
        <v>4.8000000000000001E-2</v>
      </c>
      <c r="I1520" s="7">
        <v>48</v>
      </c>
      <c r="J1520" s="7">
        <v>800</v>
      </c>
      <c r="K1520" s="7">
        <v>600</v>
      </c>
      <c r="L1520" s="7">
        <v>150</v>
      </c>
      <c r="M1520" s="7">
        <v>30</v>
      </c>
      <c r="N1520" s="7">
        <v>60</v>
      </c>
      <c r="O1520" s="7">
        <v>41</v>
      </c>
      <c r="P1520" s="7">
        <v>130</v>
      </c>
    </row>
    <row r="1521" spans="1:16" s="10" customFormat="1">
      <c r="A1521" s="7">
        <f>IF(B1521="","",SUBTOTAL(103,$B$2:B1521))</f>
        <v>1520</v>
      </c>
      <c r="B1521" s="8" t="s">
        <v>4161</v>
      </c>
      <c r="C1521" s="7" t="s">
        <v>4168</v>
      </c>
      <c r="D1521" s="9" t="s">
        <v>4172</v>
      </c>
      <c r="E1521" s="7" t="s">
        <v>4163</v>
      </c>
      <c r="F1521" s="7" t="s">
        <v>4173</v>
      </c>
      <c r="G1521" s="7" t="s">
        <v>4174</v>
      </c>
      <c r="H1521" s="7">
        <v>4.8000000000000001E-2</v>
      </c>
      <c r="I1521" s="7">
        <v>48</v>
      </c>
      <c r="J1521" s="7">
        <v>800</v>
      </c>
      <c r="K1521" s="7">
        <v>600</v>
      </c>
      <c r="L1521" s="7">
        <v>150</v>
      </c>
      <c r="M1521" s="7">
        <v>30</v>
      </c>
      <c r="N1521" s="7">
        <v>60</v>
      </c>
      <c r="O1521" s="7">
        <v>41</v>
      </c>
      <c r="P1521" s="7">
        <v>130</v>
      </c>
    </row>
    <row r="1522" spans="1:16" s="10" customFormat="1">
      <c r="A1522" s="7">
        <f>IF(B1522="","",SUBTOTAL(103,$B$2:B1522))</f>
        <v>1521</v>
      </c>
      <c r="B1522" s="8" t="s">
        <v>4161</v>
      </c>
      <c r="C1522" s="7" t="s">
        <v>4168</v>
      </c>
      <c r="D1522" s="9" t="s">
        <v>4175</v>
      </c>
      <c r="E1522" s="7" t="s">
        <v>3798</v>
      </c>
      <c r="F1522" s="7" t="s">
        <v>4173</v>
      </c>
      <c r="G1522" s="7" t="s">
        <v>4176</v>
      </c>
      <c r="H1522" s="7">
        <v>0.16200000000000001</v>
      </c>
      <c r="I1522" s="7">
        <v>48</v>
      </c>
      <c r="J1522" s="7">
        <v>800</v>
      </c>
      <c r="K1522" s="7">
        <v>600</v>
      </c>
      <c r="L1522" s="7">
        <v>150</v>
      </c>
      <c r="M1522" s="7">
        <v>30</v>
      </c>
      <c r="N1522" s="7">
        <v>60</v>
      </c>
      <c r="O1522" s="7">
        <v>41</v>
      </c>
      <c r="P1522" s="7">
        <v>130</v>
      </c>
    </row>
    <row r="1523" spans="1:16" s="10" customFormat="1">
      <c r="A1523" s="7">
        <f>IF(B1523="","",SUBTOTAL(103,$B$2:B1523))</f>
        <v>1522</v>
      </c>
      <c r="B1523" s="8" t="s">
        <v>4161</v>
      </c>
      <c r="C1523" s="7" t="s">
        <v>4177</v>
      </c>
      <c r="D1523" s="9" t="s">
        <v>4178</v>
      </c>
      <c r="E1523" s="7" t="s">
        <v>4163</v>
      </c>
      <c r="F1523" s="7" t="s">
        <v>4179</v>
      </c>
      <c r="G1523" s="7" t="s">
        <v>4180</v>
      </c>
      <c r="H1523" s="7">
        <v>1.6E-2</v>
      </c>
      <c r="I1523" s="7">
        <v>28</v>
      </c>
      <c r="J1523" s="7">
        <v>800</v>
      </c>
      <c r="K1523" s="7">
        <v>600</v>
      </c>
      <c r="L1523" s="7">
        <v>150</v>
      </c>
      <c r="M1523" s="7">
        <v>30</v>
      </c>
      <c r="N1523" s="7">
        <v>60</v>
      </c>
      <c r="O1523" s="7">
        <v>70</v>
      </c>
      <c r="P1523" s="7">
        <v>110</v>
      </c>
    </row>
    <row r="1524" spans="1:16" s="10" customFormat="1">
      <c r="A1524" s="7">
        <f>IF(B1524="","",SUBTOTAL(103,$B$2:B1524))</f>
        <v>1523</v>
      </c>
      <c r="B1524" s="8" t="s">
        <v>4161</v>
      </c>
      <c r="C1524" s="7" t="s">
        <v>4177</v>
      </c>
      <c r="D1524" s="9" t="s">
        <v>4181</v>
      </c>
      <c r="E1524" s="7" t="s">
        <v>4163</v>
      </c>
      <c r="F1524" s="7" t="s">
        <v>4182</v>
      </c>
      <c r="G1524" s="7" t="s">
        <v>4183</v>
      </c>
      <c r="H1524" s="7">
        <v>1.6E-2</v>
      </c>
      <c r="I1524" s="7">
        <v>28</v>
      </c>
      <c r="J1524" s="7">
        <v>800</v>
      </c>
      <c r="K1524" s="7">
        <v>600</v>
      </c>
      <c r="L1524" s="7">
        <v>150</v>
      </c>
      <c r="M1524" s="7">
        <v>30</v>
      </c>
      <c r="N1524" s="7">
        <v>60</v>
      </c>
      <c r="O1524" s="7">
        <v>70</v>
      </c>
      <c r="P1524" s="7">
        <v>110</v>
      </c>
    </row>
    <row r="1525" spans="1:16" s="10" customFormat="1">
      <c r="A1525" s="7">
        <f>IF(B1525="","",SUBTOTAL(103,$B$2:B1525))</f>
        <v>1524</v>
      </c>
      <c r="B1525" s="8" t="s">
        <v>4161</v>
      </c>
      <c r="C1525" s="7" t="s">
        <v>3801</v>
      </c>
      <c r="D1525" s="9" t="s">
        <v>4184</v>
      </c>
      <c r="E1525" s="7" t="s">
        <v>4163</v>
      </c>
      <c r="F1525" s="7" t="s">
        <v>4185</v>
      </c>
      <c r="G1525" s="7" t="s">
        <v>4186</v>
      </c>
      <c r="H1525" s="7">
        <v>0.33400000000000002</v>
      </c>
      <c r="I1525" s="7">
        <v>48</v>
      </c>
      <c r="J1525" s="7">
        <v>800</v>
      </c>
      <c r="K1525" s="7">
        <v>600</v>
      </c>
      <c r="L1525" s="7">
        <v>150</v>
      </c>
      <c r="M1525" s="7">
        <v>30</v>
      </c>
      <c r="N1525" s="7">
        <v>60</v>
      </c>
      <c r="O1525" s="7">
        <v>41</v>
      </c>
      <c r="P1525" s="7">
        <v>140</v>
      </c>
    </row>
    <row r="1526" spans="1:16" s="10" customFormat="1">
      <c r="A1526" s="7">
        <f>IF(B1526="","",SUBTOTAL(103,$B$2:B1526))</f>
        <v>1525</v>
      </c>
      <c r="B1526" s="8" t="s">
        <v>4161</v>
      </c>
      <c r="C1526" s="7" t="s">
        <v>3801</v>
      </c>
      <c r="D1526" s="9" t="s">
        <v>4187</v>
      </c>
      <c r="E1526" s="7" t="s">
        <v>4163</v>
      </c>
      <c r="F1526" s="7" t="s">
        <v>3803</v>
      </c>
      <c r="G1526" s="7" t="s">
        <v>4188</v>
      </c>
      <c r="H1526" s="7">
        <v>0.24199999999999999</v>
      </c>
      <c r="I1526" s="7">
        <v>48</v>
      </c>
      <c r="J1526" s="7">
        <v>800</v>
      </c>
      <c r="K1526" s="7">
        <v>600</v>
      </c>
      <c r="L1526" s="7">
        <v>150</v>
      </c>
      <c r="M1526" s="7">
        <v>30</v>
      </c>
      <c r="N1526" s="7">
        <v>60</v>
      </c>
      <c r="O1526" s="7">
        <v>41</v>
      </c>
      <c r="P1526" s="7">
        <v>140</v>
      </c>
    </row>
    <row r="1527" spans="1:16" s="10" customFormat="1">
      <c r="A1527" s="7">
        <f>IF(B1527="","",SUBTOTAL(103,$B$2:B1527))</f>
        <v>1526</v>
      </c>
      <c r="B1527" s="8" t="s">
        <v>4161</v>
      </c>
      <c r="C1527" s="7" t="s">
        <v>4189</v>
      </c>
      <c r="D1527" s="9" t="s">
        <v>4190</v>
      </c>
      <c r="E1527" s="7" t="s">
        <v>4163</v>
      </c>
      <c r="F1527" s="7" t="s">
        <v>4191</v>
      </c>
      <c r="G1527" s="7" t="s">
        <v>4192</v>
      </c>
      <c r="H1527" s="7">
        <v>3.6999999999999998E-2</v>
      </c>
      <c r="I1527" s="7">
        <v>28</v>
      </c>
      <c r="J1527" s="7">
        <v>800</v>
      </c>
      <c r="K1527" s="7">
        <v>600</v>
      </c>
      <c r="L1527" s="7">
        <v>150</v>
      </c>
      <c r="M1527" s="7">
        <v>30</v>
      </c>
      <c r="N1527" s="7">
        <v>60</v>
      </c>
      <c r="O1527" s="7">
        <v>70</v>
      </c>
      <c r="P1527" s="7">
        <v>130</v>
      </c>
    </row>
    <row r="1528" spans="1:16" s="10" customFormat="1">
      <c r="A1528" s="7">
        <f>IF(B1528="","",SUBTOTAL(103,$B$2:B1528))</f>
        <v>1527</v>
      </c>
      <c r="B1528" s="8" t="s">
        <v>4161</v>
      </c>
      <c r="C1528" s="7" t="s">
        <v>4189</v>
      </c>
      <c r="D1528" s="9" t="s">
        <v>4193</v>
      </c>
      <c r="E1528" s="7" t="s">
        <v>4163</v>
      </c>
      <c r="F1528" s="7" t="s">
        <v>4194</v>
      </c>
      <c r="G1528" s="7" t="s">
        <v>4195</v>
      </c>
      <c r="H1528" s="7">
        <v>3.6999999999999998E-2</v>
      </c>
      <c r="I1528" s="7">
        <v>28</v>
      </c>
      <c r="J1528" s="7">
        <v>800</v>
      </c>
      <c r="K1528" s="7">
        <v>600</v>
      </c>
      <c r="L1528" s="7">
        <v>150</v>
      </c>
      <c r="M1528" s="7">
        <v>30</v>
      </c>
      <c r="N1528" s="7">
        <v>60</v>
      </c>
      <c r="O1528" s="7">
        <v>70</v>
      </c>
      <c r="P1528" s="7">
        <v>130</v>
      </c>
    </row>
    <row r="1529" spans="1:16" s="10" customFormat="1">
      <c r="A1529" s="7">
        <f>IF(B1529="","",SUBTOTAL(103,$B$2:B1529))</f>
        <v>1528</v>
      </c>
      <c r="B1529" s="8" t="s">
        <v>4161</v>
      </c>
      <c r="C1529" s="7" t="s">
        <v>4189</v>
      </c>
      <c r="D1529" s="9" t="s">
        <v>4196</v>
      </c>
      <c r="E1529" s="7" t="s">
        <v>3798</v>
      </c>
      <c r="F1529" s="7" t="s">
        <v>4194</v>
      </c>
      <c r="G1529" s="7" t="str">
        <f>E1529&amp;F1529</f>
        <v>KI 114  KI-09 HB1*3/8 CF8M NPT</v>
      </c>
      <c r="H1529" s="7">
        <v>0.14799999999999999</v>
      </c>
      <c r="I1529" s="7">
        <v>28</v>
      </c>
      <c r="J1529" s="7">
        <v>800</v>
      </c>
      <c r="K1529" s="7">
        <v>600</v>
      </c>
      <c r="L1529" s="7">
        <v>150</v>
      </c>
      <c r="M1529" s="7">
        <v>30</v>
      </c>
      <c r="N1529" s="7">
        <v>60</v>
      </c>
      <c r="O1529" s="7">
        <v>70</v>
      </c>
      <c r="P1529" s="7">
        <v>130</v>
      </c>
    </row>
    <row r="1530" spans="1:16" s="10" customFormat="1">
      <c r="A1530" s="7">
        <f>IF(B1530="","",SUBTOTAL(103,$B$2:B1530))</f>
        <v>1529</v>
      </c>
      <c r="B1530" s="8" t="s">
        <v>4161</v>
      </c>
      <c r="C1530" s="7" t="s">
        <v>3805</v>
      </c>
      <c r="D1530" s="9" t="s">
        <v>4197</v>
      </c>
      <c r="E1530" s="7" t="s">
        <v>4163</v>
      </c>
      <c r="F1530" s="7" t="s">
        <v>3810</v>
      </c>
      <c r="G1530" s="7" t="s">
        <v>4198</v>
      </c>
      <c r="H1530" s="7">
        <v>4.8000000000000001E-2</v>
      </c>
      <c r="I1530" s="7">
        <v>68</v>
      </c>
      <c r="J1530" s="7">
        <v>800</v>
      </c>
      <c r="K1530" s="7">
        <v>600</v>
      </c>
      <c r="L1530" s="7">
        <v>150</v>
      </c>
      <c r="M1530" s="7">
        <v>30</v>
      </c>
      <c r="N1530" s="7">
        <v>60</v>
      </c>
      <c r="O1530" s="7">
        <v>30</v>
      </c>
      <c r="P1530" s="7">
        <v>130</v>
      </c>
    </row>
    <row r="1531" spans="1:16" s="10" customFormat="1">
      <c r="A1531" s="7">
        <f>IF(B1531="","",SUBTOTAL(103,$B$2:B1531))</f>
        <v>1530</v>
      </c>
      <c r="B1531" s="8" t="s">
        <v>4161</v>
      </c>
      <c r="C1531" s="7" t="s">
        <v>3805</v>
      </c>
      <c r="D1531" s="9" t="s">
        <v>4199</v>
      </c>
      <c r="E1531" s="7" t="s">
        <v>4163</v>
      </c>
      <c r="F1531" s="7" t="s">
        <v>3807</v>
      </c>
      <c r="G1531" s="7" t="s">
        <v>4200</v>
      </c>
      <c r="H1531" s="7">
        <v>4.8000000000000001E-2</v>
      </c>
      <c r="I1531" s="7">
        <v>68</v>
      </c>
      <c r="J1531" s="7">
        <v>800</v>
      </c>
      <c r="K1531" s="7">
        <v>600</v>
      </c>
      <c r="L1531" s="7">
        <v>150</v>
      </c>
      <c r="M1531" s="7">
        <v>30</v>
      </c>
      <c r="N1531" s="7">
        <v>60</v>
      </c>
      <c r="O1531" s="7">
        <v>30</v>
      </c>
      <c r="P1531" s="7">
        <v>130</v>
      </c>
    </row>
    <row r="1532" spans="1:16" s="10" customFormat="1">
      <c r="A1532" s="7">
        <f>IF(B1532="","",SUBTOTAL(103,$B$2:B1532))</f>
        <v>1531</v>
      </c>
      <c r="B1532" s="8" t="s">
        <v>4161</v>
      </c>
      <c r="C1532" s="7" t="s">
        <v>4201</v>
      </c>
      <c r="D1532" s="9" t="s">
        <v>4202</v>
      </c>
      <c r="E1532" s="7" t="s">
        <v>4163</v>
      </c>
      <c r="F1532" s="7" t="s">
        <v>4203</v>
      </c>
      <c r="G1532" s="7" t="s">
        <v>4204</v>
      </c>
      <c r="H1532" s="7">
        <v>4.9000000000000002E-2</v>
      </c>
      <c r="I1532" s="7">
        <v>68</v>
      </c>
      <c r="J1532" s="7">
        <v>800</v>
      </c>
      <c r="K1532" s="7">
        <v>600</v>
      </c>
      <c r="L1532" s="7">
        <v>150</v>
      </c>
      <c r="M1532" s="7">
        <v>30</v>
      </c>
      <c r="N1532" s="7">
        <v>60</v>
      </c>
      <c r="O1532" s="7">
        <v>30</v>
      </c>
      <c r="P1532" s="7">
        <v>135</v>
      </c>
    </row>
    <row r="1533" spans="1:16" s="10" customFormat="1">
      <c r="A1533" s="7">
        <f>IF(B1533="","",SUBTOTAL(103,$B$2:B1533))</f>
        <v>1532</v>
      </c>
      <c r="B1533" s="8" t="s">
        <v>4161</v>
      </c>
      <c r="C1533" s="7" t="s">
        <v>4201</v>
      </c>
      <c r="D1533" s="9" t="s">
        <v>4205</v>
      </c>
      <c r="E1533" s="7" t="s">
        <v>4163</v>
      </c>
      <c r="F1533" s="7" t="s">
        <v>4206</v>
      </c>
      <c r="G1533" s="7" t="s">
        <v>4207</v>
      </c>
      <c r="H1533" s="7">
        <v>4.9000000000000002E-2</v>
      </c>
      <c r="I1533" s="7">
        <v>68</v>
      </c>
      <c r="J1533" s="7">
        <v>800</v>
      </c>
      <c r="K1533" s="7">
        <v>600</v>
      </c>
      <c r="L1533" s="7">
        <v>150</v>
      </c>
      <c r="M1533" s="7">
        <v>30</v>
      </c>
      <c r="N1533" s="7">
        <v>60</v>
      </c>
      <c r="O1533" s="7">
        <v>30</v>
      </c>
      <c r="P1533" s="7">
        <v>135</v>
      </c>
    </row>
    <row r="1534" spans="1:16" s="10" customFormat="1">
      <c r="A1534" s="7">
        <f>IF(B1534="","",SUBTOTAL(103,$B$2:B1534))</f>
        <v>1533</v>
      </c>
      <c r="B1534" s="8" t="s">
        <v>4161</v>
      </c>
      <c r="C1534" s="7" t="s">
        <v>4201</v>
      </c>
      <c r="D1534" s="9" t="s">
        <v>4208</v>
      </c>
      <c r="E1534" s="7" t="s">
        <v>3798</v>
      </c>
      <c r="F1534" s="7" t="s">
        <v>4206</v>
      </c>
      <c r="G1534" s="7" t="s">
        <v>4209</v>
      </c>
      <c r="H1534" s="7">
        <v>4.9000000000000002E-2</v>
      </c>
      <c r="I1534" s="7">
        <v>68</v>
      </c>
      <c r="J1534" s="7">
        <v>800</v>
      </c>
      <c r="K1534" s="7">
        <v>600</v>
      </c>
      <c r="L1534" s="7">
        <v>150</v>
      </c>
      <c r="M1534" s="7">
        <v>30</v>
      </c>
      <c r="N1534" s="7">
        <v>60</v>
      </c>
      <c r="O1534" s="7">
        <v>30</v>
      </c>
      <c r="P1534" s="7">
        <v>135</v>
      </c>
    </row>
    <row r="1535" spans="1:16" s="10" customFormat="1">
      <c r="A1535" s="7">
        <f>IF(B1535="","",SUBTOTAL(103,$B$2:B1535))</f>
        <v>1534</v>
      </c>
      <c r="B1535" s="8" t="s">
        <v>4161</v>
      </c>
      <c r="C1535" s="7" t="s">
        <v>3811</v>
      </c>
      <c r="D1535" s="9" t="s">
        <v>4210</v>
      </c>
      <c r="E1535" s="7" t="s">
        <v>4163</v>
      </c>
      <c r="F1535" s="7" t="s">
        <v>4211</v>
      </c>
      <c r="G1535" s="7" t="s">
        <v>4212</v>
      </c>
      <c r="H1535" s="7">
        <v>3.6999999999999998E-2</v>
      </c>
      <c r="I1535" s="7">
        <v>60</v>
      </c>
      <c r="J1535" s="7">
        <v>800</v>
      </c>
      <c r="K1535" s="7">
        <v>600</v>
      </c>
      <c r="L1535" s="7">
        <v>150</v>
      </c>
      <c r="M1535" s="7">
        <v>30</v>
      </c>
      <c r="N1535" s="7">
        <v>60</v>
      </c>
      <c r="O1535" s="7">
        <v>40</v>
      </c>
      <c r="P1535" s="7">
        <v>130</v>
      </c>
    </row>
    <row r="1536" spans="1:16" s="10" customFormat="1">
      <c r="A1536" s="7">
        <f>IF(B1536="","",SUBTOTAL(103,$B$2:B1536))</f>
        <v>1535</v>
      </c>
      <c r="B1536" s="8" t="s">
        <v>4161</v>
      </c>
      <c r="C1536" s="7" t="s">
        <v>3811</v>
      </c>
      <c r="D1536" s="9" t="s">
        <v>4213</v>
      </c>
      <c r="E1536" s="7" t="s">
        <v>3798</v>
      </c>
      <c r="F1536" s="7" t="s">
        <v>4211</v>
      </c>
      <c r="G1536" s="7" t="str">
        <f>E1536&amp;F1536</f>
        <v>KI 114  KI-09 HB1/2*3/8 CF8 NPT</v>
      </c>
      <c r="H1536" s="7">
        <v>3.6999999999999998E-2</v>
      </c>
      <c r="I1536" s="7">
        <v>60</v>
      </c>
      <c r="J1536" s="7">
        <v>800</v>
      </c>
      <c r="K1536" s="7">
        <v>600</v>
      </c>
      <c r="L1536" s="7">
        <v>150</v>
      </c>
      <c r="M1536" s="7">
        <v>30</v>
      </c>
      <c r="N1536" s="7">
        <v>60</v>
      </c>
      <c r="O1536" s="7">
        <v>40</v>
      </c>
      <c r="P1536" s="7">
        <v>130</v>
      </c>
    </row>
    <row r="1537" spans="1:16" s="10" customFormat="1">
      <c r="A1537" s="7">
        <f>IF(B1537="","",SUBTOTAL(103,$B$2:B1537))</f>
        <v>1536</v>
      </c>
      <c r="B1537" s="8" t="s">
        <v>4161</v>
      </c>
      <c r="C1537" s="7" t="s">
        <v>3811</v>
      </c>
      <c r="D1537" s="9" t="s">
        <v>4214</v>
      </c>
      <c r="E1537" s="7" t="s">
        <v>4163</v>
      </c>
      <c r="F1537" s="7" t="s">
        <v>3813</v>
      </c>
      <c r="G1537" s="7" t="s">
        <v>4215</v>
      </c>
      <c r="H1537" s="7">
        <v>3.6999999999999998E-2</v>
      </c>
      <c r="I1537" s="7">
        <v>60</v>
      </c>
      <c r="J1537" s="7">
        <v>800</v>
      </c>
      <c r="K1537" s="7">
        <v>600</v>
      </c>
      <c r="L1537" s="7">
        <v>150</v>
      </c>
      <c r="M1537" s="7">
        <v>30</v>
      </c>
      <c r="N1537" s="7">
        <v>60</v>
      </c>
      <c r="O1537" s="7">
        <v>40</v>
      </c>
      <c r="P1537" s="7">
        <v>130</v>
      </c>
    </row>
    <row r="1538" spans="1:16" s="10" customFormat="1">
      <c r="A1538" s="7">
        <f>IF(B1538="","",SUBTOTAL(103,$B$2:B1538))</f>
        <v>1537</v>
      </c>
      <c r="B1538" s="8" t="s">
        <v>4161</v>
      </c>
      <c r="C1538" s="7" t="s">
        <v>3815</v>
      </c>
      <c r="D1538" s="9" t="s">
        <v>4216</v>
      </c>
      <c r="E1538" s="7" t="s">
        <v>4163</v>
      </c>
      <c r="F1538" s="7" t="s">
        <v>4217</v>
      </c>
      <c r="G1538" s="7" t="s">
        <v>4218</v>
      </c>
      <c r="H1538" s="7">
        <v>1.6E-2</v>
      </c>
      <c r="I1538" s="7">
        <v>108</v>
      </c>
      <c r="J1538" s="7">
        <v>800</v>
      </c>
      <c r="K1538" s="7">
        <v>600</v>
      </c>
      <c r="L1538" s="7">
        <v>150</v>
      </c>
      <c r="M1538" s="7">
        <v>30</v>
      </c>
      <c r="N1538" s="7">
        <v>60</v>
      </c>
      <c r="O1538" s="7">
        <v>25</v>
      </c>
      <c r="P1538" s="7">
        <v>110</v>
      </c>
    </row>
    <row r="1539" spans="1:16" s="10" customFormat="1">
      <c r="A1539" s="7">
        <f>IF(B1539="","",SUBTOTAL(103,$B$2:B1539))</f>
        <v>1538</v>
      </c>
      <c r="B1539" s="8" t="s">
        <v>4161</v>
      </c>
      <c r="C1539" s="7" t="s">
        <v>3815</v>
      </c>
      <c r="D1539" s="9" t="s">
        <v>4219</v>
      </c>
      <c r="E1539" s="7" t="s">
        <v>4163</v>
      </c>
      <c r="F1539" s="7" t="s">
        <v>4220</v>
      </c>
      <c r="G1539" s="7" t="s">
        <v>4221</v>
      </c>
      <c r="H1539" s="7">
        <v>1.6E-2</v>
      </c>
      <c r="I1539" s="7">
        <v>108</v>
      </c>
      <c r="J1539" s="7">
        <v>800</v>
      </c>
      <c r="K1539" s="7">
        <v>600</v>
      </c>
      <c r="L1539" s="7">
        <v>150</v>
      </c>
      <c r="M1539" s="7">
        <v>30</v>
      </c>
      <c r="N1539" s="7">
        <v>60</v>
      </c>
      <c r="O1539" s="7">
        <v>25</v>
      </c>
      <c r="P1539" s="7">
        <v>110</v>
      </c>
    </row>
    <row r="1540" spans="1:16" s="10" customFormat="1">
      <c r="A1540" s="7">
        <f>IF(B1540="","",SUBTOTAL(103,$B$2:B1540))</f>
        <v>1539</v>
      </c>
      <c r="B1540" s="8" t="s">
        <v>4161</v>
      </c>
      <c r="C1540" s="7" t="s">
        <v>3815</v>
      </c>
      <c r="D1540" s="9" t="s">
        <v>4222</v>
      </c>
      <c r="E1540" s="7" t="s">
        <v>4163</v>
      </c>
      <c r="F1540" s="7" t="s">
        <v>3817</v>
      </c>
      <c r="G1540" s="7" t="s">
        <v>4223</v>
      </c>
      <c r="H1540" s="7">
        <v>1.6E-2</v>
      </c>
      <c r="I1540" s="7">
        <v>108</v>
      </c>
      <c r="J1540" s="7">
        <v>800</v>
      </c>
      <c r="K1540" s="7">
        <v>600</v>
      </c>
      <c r="L1540" s="7">
        <v>150</v>
      </c>
      <c r="M1540" s="7">
        <v>30</v>
      </c>
      <c r="N1540" s="7">
        <v>60</v>
      </c>
      <c r="O1540" s="7">
        <v>25</v>
      </c>
      <c r="P1540" s="7">
        <v>110</v>
      </c>
    </row>
    <row r="1541" spans="1:16" s="10" customFormat="1">
      <c r="A1541" s="7">
        <f>IF(B1541="","",SUBTOTAL(103,$B$2:B1541))</f>
        <v>1540</v>
      </c>
      <c r="B1541" s="8" t="s">
        <v>4161</v>
      </c>
      <c r="C1541" s="7" t="s">
        <v>3819</v>
      </c>
      <c r="D1541" s="9" t="s">
        <v>4224</v>
      </c>
      <c r="E1541" s="7" t="s">
        <v>4163</v>
      </c>
      <c r="F1541" s="7" t="s">
        <v>3821</v>
      </c>
      <c r="G1541" s="7" t="s">
        <v>4225</v>
      </c>
      <c r="H1541" s="7">
        <v>0.32900000000000001</v>
      </c>
      <c r="I1541" s="7">
        <v>10</v>
      </c>
      <c r="J1541" s="7">
        <v>800</v>
      </c>
      <c r="K1541" s="7">
        <v>600</v>
      </c>
      <c r="L1541" s="7">
        <v>150</v>
      </c>
      <c r="M1541" s="7">
        <v>30</v>
      </c>
      <c r="N1541" s="7">
        <v>60</v>
      </c>
      <c r="O1541" s="7">
        <v>195</v>
      </c>
      <c r="P1541" s="7">
        <v>300</v>
      </c>
    </row>
    <row r="1542" spans="1:16" s="10" customFormat="1">
      <c r="A1542" s="7">
        <f>IF(B1542="","",SUBTOTAL(103,$B$2:B1542))</f>
        <v>1541</v>
      </c>
      <c r="B1542" s="8" t="s">
        <v>4161</v>
      </c>
      <c r="C1542" s="7" t="s">
        <v>3819</v>
      </c>
      <c r="D1542" s="9" t="s">
        <v>4226</v>
      </c>
      <c r="E1542" s="7" t="s">
        <v>4163</v>
      </c>
      <c r="F1542" s="7" t="s">
        <v>3824</v>
      </c>
      <c r="G1542" s="7" t="s">
        <v>4227</v>
      </c>
      <c r="H1542" s="7">
        <v>0.32900000000000001</v>
      </c>
      <c r="I1542" s="7">
        <v>10</v>
      </c>
      <c r="J1542" s="7">
        <v>800</v>
      </c>
      <c r="K1542" s="7">
        <v>600</v>
      </c>
      <c r="L1542" s="7">
        <v>150</v>
      </c>
      <c r="M1542" s="7">
        <v>30</v>
      </c>
      <c r="N1542" s="7">
        <v>60</v>
      </c>
      <c r="O1542" s="7">
        <v>195</v>
      </c>
      <c r="P1542" s="7">
        <v>300</v>
      </c>
    </row>
    <row r="1543" spans="1:16" s="10" customFormat="1">
      <c r="A1543" s="7">
        <f>IF(B1543="","",SUBTOTAL(103,$B$2:B1543))</f>
        <v>1542</v>
      </c>
      <c r="B1543" s="8" t="s">
        <v>4161</v>
      </c>
      <c r="C1543" s="7" t="s">
        <v>4228</v>
      </c>
      <c r="D1543" s="9" t="s">
        <v>4229</v>
      </c>
      <c r="E1543" s="7" t="s">
        <v>4163</v>
      </c>
      <c r="F1543" s="7" t="s">
        <v>4230</v>
      </c>
      <c r="G1543" s="7" t="s">
        <v>4231</v>
      </c>
      <c r="H1543" s="7">
        <v>0.34499999999999997</v>
      </c>
      <c r="I1543" s="7">
        <v>12</v>
      </c>
      <c r="J1543" s="7">
        <v>800</v>
      </c>
      <c r="K1543" s="7">
        <v>600</v>
      </c>
      <c r="L1543" s="7">
        <v>150</v>
      </c>
      <c r="M1543" s="7">
        <v>30</v>
      </c>
      <c r="N1543" s="7">
        <v>60</v>
      </c>
      <c r="O1543" s="7">
        <v>150</v>
      </c>
      <c r="P1543" s="7">
        <v>210</v>
      </c>
    </row>
    <row r="1544" spans="1:16" s="10" customFormat="1">
      <c r="A1544" s="7">
        <f>IF(B1544="","",SUBTOTAL(103,$B$2:B1544))</f>
        <v>1543</v>
      </c>
      <c r="B1544" s="8" t="s">
        <v>4161</v>
      </c>
      <c r="C1544" s="7" t="s">
        <v>4228</v>
      </c>
      <c r="D1544" s="9" t="s">
        <v>4232</v>
      </c>
      <c r="E1544" s="7" t="s">
        <v>4163</v>
      </c>
      <c r="F1544" s="7" t="s">
        <v>4233</v>
      </c>
      <c r="G1544" s="7" t="s">
        <v>4234</v>
      </c>
      <c r="H1544" s="7">
        <v>0.34499999999999997</v>
      </c>
      <c r="I1544" s="7">
        <v>12</v>
      </c>
      <c r="J1544" s="7">
        <v>800</v>
      </c>
      <c r="K1544" s="7">
        <v>600</v>
      </c>
      <c r="L1544" s="7">
        <v>150</v>
      </c>
      <c r="M1544" s="7">
        <v>30</v>
      </c>
      <c r="N1544" s="7">
        <v>60</v>
      </c>
      <c r="O1544" s="7">
        <v>150</v>
      </c>
      <c r="P1544" s="7">
        <v>210</v>
      </c>
    </row>
    <row r="1545" spans="1:16" s="10" customFormat="1">
      <c r="A1545" s="7">
        <f>IF(B1545="","",SUBTOTAL(103,$B$2:B1545))</f>
        <v>1544</v>
      </c>
      <c r="B1545" s="8" t="s">
        <v>4161</v>
      </c>
      <c r="C1545" s="7" t="s">
        <v>4228</v>
      </c>
      <c r="D1545" s="9" t="s">
        <v>4235</v>
      </c>
      <c r="E1545" s="7" t="s">
        <v>3798</v>
      </c>
      <c r="F1545" s="7" t="s">
        <v>4233</v>
      </c>
      <c r="G1545" s="7" t="s">
        <v>4236</v>
      </c>
      <c r="H1545" s="7">
        <v>0.34499999999999997</v>
      </c>
      <c r="I1545" s="7">
        <v>12</v>
      </c>
      <c r="J1545" s="7">
        <v>800</v>
      </c>
      <c r="K1545" s="7">
        <v>600</v>
      </c>
      <c r="L1545" s="7">
        <v>150</v>
      </c>
      <c r="M1545" s="7">
        <v>30</v>
      </c>
      <c r="N1545" s="7">
        <v>60</v>
      </c>
      <c r="O1545" s="7">
        <v>150</v>
      </c>
      <c r="P1545" s="7">
        <v>210</v>
      </c>
    </row>
    <row r="1546" spans="1:16" s="10" customFormat="1">
      <c r="A1546" s="7">
        <f>IF(B1546="","",SUBTOTAL(103,$B$2:B1546))</f>
        <v>1545</v>
      </c>
      <c r="B1546" s="8" t="s">
        <v>4161</v>
      </c>
      <c r="C1546" s="7" t="s">
        <v>4237</v>
      </c>
      <c r="D1546" s="9" t="s">
        <v>4238</v>
      </c>
      <c r="E1546" s="7" t="s">
        <v>4163</v>
      </c>
      <c r="F1546" s="7" t="s">
        <v>4239</v>
      </c>
      <c r="G1546" s="7" t="s">
        <v>4240</v>
      </c>
      <c r="H1546" s="7">
        <v>0.318</v>
      </c>
      <c r="I1546" s="7">
        <v>10</v>
      </c>
      <c r="J1546" s="7">
        <v>800</v>
      </c>
      <c r="K1546" s="7">
        <v>600</v>
      </c>
      <c r="L1546" s="7">
        <v>150</v>
      </c>
      <c r="M1546" s="7">
        <v>30</v>
      </c>
      <c r="N1546" s="7">
        <v>60</v>
      </c>
      <c r="O1546" s="7">
        <v>195</v>
      </c>
      <c r="P1546" s="7">
        <v>300</v>
      </c>
    </row>
    <row r="1547" spans="1:16" s="10" customFormat="1">
      <c r="A1547" s="7">
        <f>IF(B1547="","",SUBTOTAL(103,$B$2:B1547))</f>
        <v>1546</v>
      </c>
      <c r="B1547" s="8" t="s">
        <v>4161</v>
      </c>
      <c r="C1547" s="7" t="s">
        <v>4237</v>
      </c>
      <c r="D1547" s="9" t="s">
        <v>4241</v>
      </c>
      <c r="E1547" s="7" t="s">
        <v>4163</v>
      </c>
      <c r="F1547" s="7" t="s">
        <v>4242</v>
      </c>
      <c r="G1547" s="7" t="s">
        <v>4243</v>
      </c>
      <c r="H1547" s="7">
        <v>0.318</v>
      </c>
      <c r="I1547" s="7">
        <v>10</v>
      </c>
      <c r="J1547" s="7">
        <v>800</v>
      </c>
      <c r="K1547" s="7">
        <v>600</v>
      </c>
      <c r="L1547" s="7">
        <v>150</v>
      </c>
      <c r="M1547" s="7">
        <v>30</v>
      </c>
      <c r="N1547" s="7">
        <v>60</v>
      </c>
      <c r="O1547" s="7">
        <v>195</v>
      </c>
      <c r="P1547" s="7">
        <v>300</v>
      </c>
    </row>
    <row r="1548" spans="1:16" s="10" customFormat="1">
      <c r="A1548" s="7">
        <f>IF(B1548="","",SUBTOTAL(103,$B$2:B1548))</f>
        <v>1547</v>
      </c>
      <c r="B1548" s="8" t="s">
        <v>4161</v>
      </c>
      <c r="C1548" s="7" t="s">
        <v>4237</v>
      </c>
      <c r="D1548" s="9" t="s">
        <v>4244</v>
      </c>
      <c r="E1548" s="7" t="s">
        <v>3798</v>
      </c>
      <c r="F1548" s="7" t="s">
        <v>4242</v>
      </c>
      <c r="G1548" s="7" t="s">
        <v>4245</v>
      </c>
      <c r="H1548" s="7">
        <v>0.318</v>
      </c>
      <c r="I1548" s="7">
        <v>10</v>
      </c>
      <c r="J1548" s="7">
        <v>800</v>
      </c>
      <c r="K1548" s="7">
        <v>600</v>
      </c>
      <c r="L1548" s="7">
        <v>150</v>
      </c>
      <c r="M1548" s="7">
        <v>30</v>
      </c>
      <c r="N1548" s="7">
        <v>60</v>
      </c>
      <c r="O1548" s="7">
        <v>195</v>
      </c>
      <c r="P1548" s="7">
        <v>300</v>
      </c>
    </row>
    <row r="1549" spans="1:16" s="10" customFormat="1">
      <c r="A1549" s="7">
        <f>IF(B1549="","",SUBTOTAL(103,$B$2:B1549))</f>
        <v>1548</v>
      </c>
      <c r="B1549" s="8" t="s">
        <v>4161</v>
      </c>
      <c r="C1549" s="7" t="s">
        <v>4246</v>
      </c>
      <c r="D1549" s="9" t="s">
        <v>4247</v>
      </c>
      <c r="E1549" s="7" t="s">
        <v>4163</v>
      </c>
      <c r="F1549" s="7" t="s">
        <v>4248</v>
      </c>
      <c r="G1549" s="7" t="s">
        <v>4249</v>
      </c>
      <c r="H1549" s="7">
        <v>0.217</v>
      </c>
      <c r="I1549" s="7">
        <v>28</v>
      </c>
      <c r="J1549" s="7">
        <v>800</v>
      </c>
      <c r="K1549" s="7">
        <v>600</v>
      </c>
      <c r="L1549" s="7">
        <v>150</v>
      </c>
      <c r="M1549" s="7">
        <v>30</v>
      </c>
      <c r="N1549" s="7">
        <v>60</v>
      </c>
      <c r="O1549" s="7">
        <v>70</v>
      </c>
      <c r="P1549" s="7">
        <v>210</v>
      </c>
    </row>
    <row r="1550" spans="1:16" s="10" customFormat="1">
      <c r="A1550" s="7">
        <f>IF(B1550="","",SUBTOTAL(103,$B$2:B1550))</f>
        <v>1549</v>
      </c>
      <c r="B1550" s="8" t="s">
        <v>4161</v>
      </c>
      <c r="C1550" s="7" t="s">
        <v>4246</v>
      </c>
      <c r="D1550" s="9" t="s">
        <v>4250</v>
      </c>
      <c r="E1550" s="7" t="s">
        <v>4163</v>
      </c>
      <c r="F1550" s="7" t="s">
        <v>4251</v>
      </c>
      <c r="G1550" s="7" t="s">
        <v>4252</v>
      </c>
      <c r="H1550" s="7">
        <v>0.217</v>
      </c>
      <c r="I1550" s="7">
        <v>28</v>
      </c>
      <c r="J1550" s="7">
        <v>800</v>
      </c>
      <c r="K1550" s="7">
        <v>600</v>
      </c>
      <c r="L1550" s="7">
        <v>150</v>
      </c>
      <c r="M1550" s="7">
        <v>30</v>
      </c>
      <c r="N1550" s="7">
        <v>60</v>
      </c>
      <c r="O1550" s="7">
        <v>70</v>
      </c>
      <c r="P1550" s="7">
        <v>210</v>
      </c>
    </row>
    <row r="1551" spans="1:16" s="10" customFormat="1">
      <c r="A1551" s="7">
        <f>IF(B1551="","",SUBTOTAL(103,$B$2:B1551))</f>
        <v>1550</v>
      </c>
      <c r="B1551" s="8" t="s">
        <v>4161</v>
      </c>
      <c r="C1551" s="7" t="s">
        <v>4246</v>
      </c>
      <c r="D1551" s="9" t="s">
        <v>4253</v>
      </c>
      <c r="E1551" s="7" t="s">
        <v>3798</v>
      </c>
      <c r="F1551" s="7" t="s">
        <v>4251</v>
      </c>
      <c r="G1551" s="7" t="str">
        <f>E1551&amp;F1551</f>
        <v>KI 114  KI-09 HB11/2*11/4 CF8M NPT</v>
      </c>
      <c r="H1551" s="7">
        <v>0.217</v>
      </c>
      <c r="I1551" s="7">
        <v>28</v>
      </c>
      <c r="J1551" s="7">
        <v>800</v>
      </c>
      <c r="K1551" s="7">
        <v>600</v>
      </c>
      <c r="L1551" s="7">
        <v>150</v>
      </c>
      <c r="M1551" s="7">
        <v>30</v>
      </c>
      <c r="N1551" s="7">
        <v>60</v>
      </c>
      <c r="O1551" s="7">
        <v>70</v>
      </c>
      <c r="P1551" s="7">
        <v>210</v>
      </c>
    </row>
    <row r="1552" spans="1:16" s="10" customFormat="1">
      <c r="A1552" s="7">
        <f>IF(B1552="","",SUBTOTAL(103,$B$2:B1552))</f>
        <v>1551</v>
      </c>
      <c r="B1552" s="8" t="s">
        <v>4161</v>
      </c>
      <c r="C1552" s="7" t="s">
        <v>3826</v>
      </c>
      <c r="D1552" s="9" t="s">
        <v>4254</v>
      </c>
      <c r="E1552" s="7" t="s">
        <v>4163</v>
      </c>
      <c r="F1552" s="7" t="s">
        <v>4255</v>
      </c>
      <c r="G1552" s="7" t="s">
        <v>4256</v>
      </c>
      <c r="H1552" s="7">
        <v>0.33400000000000002</v>
      </c>
      <c r="I1552" s="7">
        <v>12</v>
      </c>
      <c r="J1552" s="7">
        <v>800</v>
      </c>
      <c r="K1552" s="7">
        <v>600</v>
      </c>
      <c r="L1552" s="7">
        <v>150</v>
      </c>
      <c r="M1552" s="7">
        <v>30</v>
      </c>
      <c r="N1552" s="7">
        <v>60</v>
      </c>
      <c r="O1552" s="7">
        <v>150</v>
      </c>
      <c r="P1552" s="7">
        <v>210</v>
      </c>
    </row>
    <row r="1553" spans="1:16" s="10" customFormat="1">
      <c r="A1553" s="7">
        <f>IF(B1553="","",SUBTOTAL(103,$B$2:B1553))</f>
        <v>1552</v>
      </c>
      <c r="B1553" s="8" t="s">
        <v>4161</v>
      </c>
      <c r="C1553" s="7" t="s">
        <v>3826</v>
      </c>
      <c r="D1553" s="9" t="s">
        <v>4257</v>
      </c>
      <c r="E1553" s="7" t="s">
        <v>3798</v>
      </c>
      <c r="F1553" s="7" t="s">
        <v>4255</v>
      </c>
      <c r="G1553" s="7" t="s">
        <v>4258</v>
      </c>
      <c r="H1553" s="7">
        <v>0.33400000000000002</v>
      </c>
      <c r="I1553" s="7">
        <v>12</v>
      </c>
      <c r="J1553" s="7">
        <v>800</v>
      </c>
      <c r="K1553" s="7">
        <v>600</v>
      </c>
      <c r="L1553" s="7">
        <v>150</v>
      </c>
      <c r="M1553" s="7">
        <v>30</v>
      </c>
      <c r="N1553" s="7">
        <v>60</v>
      </c>
      <c r="O1553" s="7">
        <v>150</v>
      </c>
      <c r="P1553" s="7">
        <v>210</v>
      </c>
    </row>
    <row r="1554" spans="1:16" s="10" customFormat="1">
      <c r="A1554" s="7">
        <f>IF(B1554="","",SUBTOTAL(103,$B$2:B1554))</f>
        <v>1553</v>
      </c>
      <c r="B1554" s="8" t="s">
        <v>4161</v>
      </c>
      <c r="C1554" s="7" t="s">
        <v>3826</v>
      </c>
      <c r="D1554" s="9" t="s">
        <v>4259</v>
      </c>
      <c r="E1554" s="7" t="s">
        <v>4163</v>
      </c>
      <c r="F1554" s="7" t="s">
        <v>3828</v>
      </c>
      <c r="G1554" s="7" t="s">
        <v>4260</v>
      </c>
      <c r="H1554" s="7">
        <v>0.33400000000000002</v>
      </c>
      <c r="I1554" s="7">
        <v>12</v>
      </c>
      <c r="J1554" s="7">
        <v>800</v>
      </c>
      <c r="K1554" s="7">
        <v>600</v>
      </c>
      <c r="L1554" s="7">
        <v>150</v>
      </c>
      <c r="M1554" s="7">
        <v>30</v>
      </c>
      <c r="N1554" s="7">
        <v>60</v>
      </c>
      <c r="O1554" s="7">
        <v>150</v>
      </c>
      <c r="P1554" s="7">
        <v>210</v>
      </c>
    </row>
    <row r="1555" spans="1:16" s="10" customFormat="1">
      <c r="A1555" s="7">
        <f>IF(B1555="","",SUBTOTAL(103,$B$2:B1555))</f>
        <v>1554</v>
      </c>
      <c r="B1555" s="8" t="s">
        <v>4161</v>
      </c>
      <c r="C1555" s="7" t="s">
        <v>4261</v>
      </c>
      <c r="D1555" s="9" t="s">
        <v>4262</v>
      </c>
      <c r="E1555" s="7" t="s">
        <v>4163</v>
      </c>
      <c r="F1555" s="7" t="s">
        <v>4263</v>
      </c>
      <c r="G1555" s="7" t="s">
        <v>4264</v>
      </c>
      <c r="H1555" s="7">
        <v>0.33500000000000002</v>
      </c>
      <c r="I1555" s="7">
        <v>28</v>
      </c>
      <c r="J1555" s="7">
        <v>800</v>
      </c>
      <c r="K1555" s="7">
        <v>600</v>
      </c>
      <c r="L1555" s="7">
        <v>150</v>
      </c>
      <c r="M1555" s="7">
        <v>30</v>
      </c>
      <c r="N1555" s="7">
        <v>60</v>
      </c>
      <c r="O1555" s="7">
        <v>70</v>
      </c>
      <c r="P1555" s="7">
        <v>210</v>
      </c>
    </row>
    <row r="1556" spans="1:16" s="10" customFormat="1">
      <c r="A1556" s="7">
        <f>IF(B1556="","",SUBTOTAL(103,$B$2:B1556))</f>
        <v>1555</v>
      </c>
      <c r="B1556" s="8" t="s">
        <v>4161</v>
      </c>
      <c r="C1556" s="7" t="s">
        <v>4261</v>
      </c>
      <c r="D1556" s="9" t="s">
        <v>4265</v>
      </c>
      <c r="E1556" s="7" t="s">
        <v>4163</v>
      </c>
      <c r="F1556" s="7" t="s">
        <v>4266</v>
      </c>
      <c r="G1556" s="7" t="s">
        <v>4267</v>
      </c>
      <c r="H1556" s="7">
        <v>0.33500000000000002</v>
      </c>
      <c r="I1556" s="7">
        <v>28</v>
      </c>
      <c r="J1556" s="7">
        <v>800</v>
      </c>
      <c r="K1556" s="7">
        <v>600</v>
      </c>
      <c r="L1556" s="7">
        <v>150</v>
      </c>
      <c r="M1556" s="7">
        <v>30</v>
      </c>
      <c r="N1556" s="7">
        <v>60</v>
      </c>
      <c r="O1556" s="7">
        <v>70</v>
      </c>
      <c r="P1556" s="7">
        <v>210</v>
      </c>
    </row>
    <row r="1557" spans="1:16" s="10" customFormat="1">
      <c r="A1557" s="7">
        <f>IF(B1557="","",SUBTOTAL(103,$B$2:B1557))</f>
        <v>1556</v>
      </c>
      <c r="B1557" s="8" t="s">
        <v>4161</v>
      </c>
      <c r="C1557" s="7" t="s">
        <v>4261</v>
      </c>
      <c r="D1557" s="9" t="s">
        <v>4268</v>
      </c>
      <c r="E1557" s="7" t="s">
        <v>3798</v>
      </c>
      <c r="F1557" s="7" t="s">
        <v>4266</v>
      </c>
      <c r="G1557" s="7" t="str">
        <f>E1557&amp;F1557</f>
        <v>KI 114  KI-09 HB11/2*3/8 CF8M NPT</v>
      </c>
      <c r="H1557" s="7">
        <v>0.33500000000000002</v>
      </c>
      <c r="I1557" s="7">
        <v>28</v>
      </c>
      <c r="J1557" s="7">
        <v>800</v>
      </c>
      <c r="K1557" s="7">
        <v>600</v>
      </c>
      <c r="L1557" s="7">
        <v>150</v>
      </c>
      <c r="M1557" s="7">
        <v>30</v>
      </c>
      <c r="N1557" s="7">
        <v>60</v>
      </c>
      <c r="O1557" s="7">
        <v>70</v>
      </c>
      <c r="P1557" s="7">
        <v>210</v>
      </c>
    </row>
    <row r="1558" spans="1:16" s="10" customFormat="1">
      <c r="A1558" s="7">
        <f>IF(B1558="","",SUBTOTAL(103,$B$2:B1558))</f>
        <v>1557</v>
      </c>
      <c r="B1558" s="8" t="s">
        <v>4161</v>
      </c>
      <c r="C1558" s="7" t="s">
        <v>3830</v>
      </c>
      <c r="D1558" s="9" t="s">
        <v>4269</v>
      </c>
      <c r="E1558" s="7" t="s">
        <v>4163</v>
      </c>
      <c r="F1558" s="7" t="s">
        <v>4270</v>
      </c>
      <c r="G1558" s="7" t="s">
        <v>4271</v>
      </c>
      <c r="H1558" s="7">
        <v>0.20499999999999999</v>
      </c>
      <c r="I1558" s="7">
        <v>36</v>
      </c>
      <c r="J1558" s="7">
        <v>800</v>
      </c>
      <c r="K1558" s="7">
        <v>600</v>
      </c>
      <c r="L1558" s="7">
        <v>150</v>
      </c>
      <c r="M1558" s="7">
        <v>30</v>
      </c>
      <c r="N1558" s="7">
        <v>60</v>
      </c>
      <c r="O1558" s="7">
        <v>55</v>
      </c>
      <c r="P1558" s="7">
        <v>190</v>
      </c>
    </row>
    <row r="1559" spans="1:16" s="10" customFormat="1">
      <c r="A1559" s="7">
        <f>IF(B1559="","",SUBTOTAL(103,$B$2:B1559))</f>
        <v>1558</v>
      </c>
      <c r="B1559" s="8" t="s">
        <v>4161</v>
      </c>
      <c r="C1559" s="7" t="s">
        <v>3830</v>
      </c>
      <c r="D1559" s="9" t="s">
        <v>4272</v>
      </c>
      <c r="E1559" s="7" t="s">
        <v>4163</v>
      </c>
      <c r="F1559" s="7" t="s">
        <v>3832</v>
      </c>
      <c r="G1559" s="7" t="s">
        <v>4273</v>
      </c>
      <c r="H1559" s="7">
        <v>0.20499999999999999</v>
      </c>
      <c r="I1559" s="7">
        <v>36</v>
      </c>
      <c r="J1559" s="7">
        <v>800</v>
      </c>
      <c r="K1559" s="7">
        <v>600</v>
      </c>
      <c r="L1559" s="7">
        <v>150</v>
      </c>
      <c r="M1559" s="7">
        <v>30</v>
      </c>
      <c r="N1559" s="7">
        <v>60</v>
      </c>
      <c r="O1559" s="7">
        <v>55</v>
      </c>
      <c r="P1559" s="7">
        <v>190</v>
      </c>
    </row>
    <row r="1560" spans="1:16" s="10" customFormat="1">
      <c r="A1560" s="7">
        <f>IF(B1560="","",SUBTOTAL(103,$B$2:B1560))</f>
        <v>1559</v>
      </c>
      <c r="B1560" s="8" t="s">
        <v>4161</v>
      </c>
      <c r="C1560" s="7" t="s">
        <v>4274</v>
      </c>
      <c r="D1560" s="9" t="s">
        <v>4275</v>
      </c>
      <c r="E1560" s="7" t="s">
        <v>4163</v>
      </c>
      <c r="F1560" s="7" t="s">
        <v>4276</v>
      </c>
      <c r="G1560" s="7" t="s">
        <v>4277</v>
      </c>
      <c r="H1560" s="7">
        <v>0.25800000000000001</v>
      </c>
      <c r="I1560" s="7">
        <v>32</v>
      </c>
      <c r="J1560" s="7">
        <v>800</v>
      </c>
      <c r="K1560" s="7">
        <v>600</v>
      </c>
      <c r="L1560" s="7">
        <v>150</v>
      </c>
      <c r="M1560" s="7">
        <v>30</v>
      </c>
      <c r="N1560" s="7">
        <v>60</v>
      </c>
      <c r="O1560" s="7">
        <v>54</v>
      </c>
      <c r="P1560" s="7">
        <v>190</v>
      </c>
    </row>
    <row r="1561" spans="1:16" s="10" customFormat="1">
      <c r="A1561" s="7">
        <f>IF(B1561="","",SUBTOTAL(103,$B$2:B1561))</f>
        <v>1560</v>
      </c>
      <c r="B1561" s="8" t="s">
        <v>4161</v>
      </c>
      <c r="C1561" s="7" t="s">
        <v>4274</v>
      </c>
      <c r="D1561" s="9" t="s">
        <v>4278</v>
      </c>
      <c r="E1561" s="7" t="s">
        <v>4163</v>
      </c>
      <c r="F1561" s="7" t="s">
        <v>4279</v>
      </c>
      <c r="G1561" s="7" t="s">
        <v>4280</v>
      </c>
      <c r="H1561" s="7">
        <v>0.57499999999999996</v>
      </c>
      <c r="I1561" s="7">
        <v>32</v>
      </c>
      <c r="J1561" s="7">
        <v>800</v>
      </c>
      <c r="K1561" s="7">
        <v>600</v>
      </c>
      <c r="L1561" s="7">
        <v>150</v>
      </c>
      <c r="M1561" s="7">
        <v>30</v>
      </c>
      <c r="N1561" s="7">
        <v>60</v>
      </c>
      <c r="O1561" s="7">
        <v>54</v>
      </c>
      <c r="P1561" s="7">
        <v>190</v>
      </c>
    </row>
    <row r="1562" spans="1:16" s="10" customFormat="1">
      <c r="A1562" s="7">
        <f>IF(B1562="","",SUBTOTAL(103,$B$2:B1562))</f>
        <v>1561</v>
      </c>
      <c r="B1562" s="8" t="s">
        <v>4161</v>
      </c>
      <c r="C1562" s="7" t="s">
        <v>4274</v>
      </c>
      <c r="D1562" s="9" t="s">
        <v>4281</v>
      </c>
      <c r="E1562" s="7" t="s">
        <v>3798</v>
      </c>
      <c r="F1562" s="7" t="s">
        <v>4279</v>
      </c>
      <c r="G1562" s="7" t="s">
        <v>4282</v>
      </c>
      <c r="H1562" s="7">
        <v>0.57499999999999996</v>
      </c>
      <c r="I1562" s="7">
        <v>32</v>
      </c>
      <c r="J1562" s="7">
        <v>800</v>
      </c>
      <c r="K1562" s="7">
        <v>600</v>
      </c>
      <c r="L1562" s="7">
        <v>150</v>
      </c>
      <c r="M1562" s="7">
        <v>30</v>
      </c>
      <c r="N1562" s="7">
        <v>60</v>
      </c>
      <c r="O1562" s="7">
        <v>54</v>
      </c>
      <c r="P1562" s="7">
        <v>190</v>
      </c>
    </row>
    <row r="1563" spans="1:16" s="10" customFormat="1">
      <c r="A1563" s="7">
        <f>IF(B1563="","",SUBTOTAL(103,$B$2:B1563))</f>
        <v>1562</v>
      </c>
      <c r="B1563" s="8" t="s">
        <v>4161</v>
      </c>
      <c r="C1563" s="7" t="s">
        <v>4283</v>
      </c>
      <c r="D1563" s="9" t="s">
        <v>4284</v>
      </c>
      <c r="E1563" s="7" t="s">
        <v>4163</v>
      </c>
      <c r="F1563" s="7" t="s">
        <v>4285</v>
      </c>
      <c r="G1563" s="7" t="s">
        <v>4286</v>
      </c>
      <c r="H1563" s="7">
        <v>0.253</v>
      </c>
      <c r="I1563" s="7">
        <v>32</v>
      </c>
      <c r="J1563" s="7">
        <v>800</v>
      </c>
      <c r="K1563" s="7">
        <v>600</v>
      </c>
      <c r="L1563" s="7">
        <v>150</v>
      </c>
      <c r="M1563" s="7">
        <v>30</v>
      </c>
      <c r="N1563" s="7">
        <v>60</v>
      </c>
      <c r="O1563" s="7">
        <v>54</v>
      </c>
      <c r="P1563" s="7">
        <v>190</v>
      </c>
    </row>
    <row r="1564" spans="1:16" s="10" customFormat="1">
      <c r="A1564" s="7">
        <f>IF(B1564="","",SUBTOTAL(103,$B$2:B1564))</f>
        <v>1563</v>
      </c>
      <c r="B1564" s="8" t="s">
        <v>4161</v>
      </c>
      <c r="C1564" s="7" t="s">
        <v>4283</v>
      </c>
      <c r="D1564" s="9" t="s">
        <v>4287</v>
      </c>
      <c r="E1564" s="7" t="s">
        <v>4163</v>
      </c>
      <c r="F1564" s="7" t="s">
        <v>4288</v>
      </c>
      <c r="G1564" s="7" t="s">
        <v>4289</v>
      </c>
      <c r="H1564" s="7">
        <v>0.253</v>
      </c>
      <c r="I1564" s="7">
        <v>32</v>
      </c>
      <c r="J1564" s="7">
        <v>800</v>
      </c>
      <c r="K1564" s="7">
        <v>600</v>
      </c>
      <c r="L1564" s="7">
        <v>150</v>
      </c>
      <c r="M1564" s="7">
        <v>30</v>
      </c>
      <c r="N1564" s="7">
        <v>60</v>
      </c>
      <c r="O1564" s="7">
        <v>54</v>
      </c>
      <c r="P1564" s="7">
        <v>190</v>
      </c>
    </row>
    <row r="1565" spans="1:16" s="10" customFormat="1">
      <c r="A1565" s="7">
        <f>IF(B1565="","",SUBTOTAL(103,$B$2:B1565))</f>
        <v>1564</v>
      </c>
      <c r="B1565" s="8" t="s">
        <v>4161</v>
      </c>
      <c r="C1565" s="7" t="s">
        <v>4283</v>
      </c>
      <c r="D1565" s="9" t="s">
        <v>4290</v>
      </c>
      <c r="E1565" s="7" t="s">
        <v>3798</v>
      </c>
      <c r="F1565" s="7" t="s">
        <v>4288</v>
      </c>
      <c r="G1565" s="7" t="str">
        <f>E1565&amp;F1565</f>
        <v>KI 114  KI-09 HB11/4*1/4 CF8M NPT</v>
      </c>
      <c r="H1565" s="7">
        <v>0.253</v>
      </c>
      <c r="I1565" s="7">
        <v>32</v>
      </c>
      <c r="J1565" s="7">
        <v>800</v>
      </c>
      <c r="K1565" s="7">
        <v>600</v>
      </c>
      <c r="L1565" s="7">
        <v>150</v>
      </c>
      <c r="M1565" s="7">
        <v>30</v>
      </c>
      <c r="N1565" s="7">
        <v>60</v>
      </c>
      <c r="O1565" s="7">
        <v>54</v>
      </c>
      <c r="P1565" s="7">
        <v>190</v>
      </c>
    </row>
    <row r="1566" spans="1:16" s="10" customFormat="1">
      <c r="A1566" s="7">
        <f>IF(B1566="","",SUBTOTAL(103,$B$2:B1566))</f>
        <v>1565</v>
      </c>
      <c r="B1566" s="8" t="s">
        <v>4161</v>
      </c>
      <c r="C1566" s="7" t="s">
        <v>3834</v>
      </c>
      <c r="D1566" s="9" t="s">
        <v>4291</v>
      </c>
      <c r="E1566" s="7" t="s">
        <v>4163</v>
      </c>
      <c r="F1566" s="7" t="s">
        <v>4292</v>
      </c>
      <c r="G1566" s="7" t="s">
        <v>4293</v>
      </c>
      <c r="H1566" s="7">
        <v>0.24199999999999999</v>
      </c>
      <c r="I1566" s="7">
        <v>36</v>
      </c>
      <c r="J1566" s="7">
        <v>800</v>
      </c>
      <c r="K1566" s="7">
        <v>600</v>
      </c>
      <c r="L1566" s="7">
        <v>150</v>
      </c>
      <c r="M1566" s="7">
        <v>30</v>
      </c>
      <c r="N1566" s="7">
        <v>60</v>
      </c>
      <c r="O1566" s="7">
        <v>55</v>
      </c>
      <c r="P1566" s="7">
        <v>190</v>
      </c>
    </row>
    <row r="1567" spans="1:16" s="10" customFormat="1">
      <c r="A1567" s="7">
        <f>IF(B1567="","",SUBTOTAL(103,$B$2:B1567))</f>
        <v>1566</v>
      </c>
      <c r="B1567" s="8" t="s">
        <v>4161</v>
      </c>
      <c r="C1567" s="7" t="s">
        <v>3834</v>
      </c>
      <c r="D1567" s="9" t="s">
        <v>4294</v>
      </c>
      <c r="E1567" s="7" t="s">
        <v>4163</v>
      </c>
      <c r="F1567" s="7" t="s">
        <v>3836</v>
      </c>
      <c r="G1567" s="7" t="s">
        <v>4295</v>
      </c>
      <c r="H1567" s="7">
        <v>0.24199999999999999</v>
      </c>
      <c r="I1567" s="7">
        <v>36</v>
      </c>
      <c r="J1567" s="7">
        <v>800</v>
      </c>
      <c r="K1567" s="7">
        <v>600</v>
      </c>
      <c r="L1567" s="7">
        <v>150</v>
      </c>
      <c r="M1567" s="7">
        <v>30</v>
      </c>
      <c r="N1567" s="7">
        <v>60</v>
      </c>
      <c r="O1567" s="7">
        <v>55</v>
      </c>
      <c r="P1567" s="7">
        <v>190</v>
      </c>
    </row>
    <row r="1568" spans="1:16" s="10" customFormat="1">
      <c r="A1568" s="7">
        <f>IF(B1568="","",SUBTOTAL(103,$B$2:B1568))</f>
        <v>1567</v>
      </c>
      <c r="B1568" s="8" t="s">
        <v>4161</v>
      </c>
      <c r="C1568" s="7" t="s">
        <v>4296</v>
      </c>
      <c r="D1568" s="9" t="s">
        <v>4297</v>
      </c>
      <c r="E1568" s="7" t="s">
        <v>4163</v>
      </c>
      <c r="F1568" s="7" t="s">
        <v>4298</v>
      </c>
      <c r="G1568" s="7" t="s">
        <v>4299</v>
      </c>
      <c r="H1568" s="7">
        <v>0.252</v>
      </c>
      <c r="I1568" s="7">
        <v>28</v>
      </c>
      <c r="J1568" s="7">
        <v>800</v>
      </c>
      <c r="K1568" s="7">
        <v>600</v>
      </c>
      <c r="L1568" s="7">
        <v>150</v>
      </c>
      <c r="M1568" s="7">
        <v>30</v>
      </c>
      <c r="N1568" s="7">
        <v>60</v>
      </c>
      <c r="O1568" s="7">
        <v>70</v>
      </c>
      <c r="P1568" s="7">
        <v>190</v>
      </c>
    </row>
    <row r="1569" spans="1:16" s="10" customFormat="1">
      <c r="A1569" s="7">
        <f>IF(B1569="","",SUBTOTAL(103,$B$2:B1569))</f>
        <v>1568</v>
      </c>
      <c r="B1569" s="8" t="s">
        <v>4161</v>
      </c>
      <c r="C1569" s="7" t="s">
        <v>4296</v>
      </c>
      <c r="D1569" s="9" t="s">
        <v>4300</v>
      </c>
      <c r="E1569" s="7" t="s">
        <v>4163</v>
      </c>
      <c r="F1569" s="7" t="s">
        <v>4301</v>
      </c>
      <c r="G1569" s="7" t="s">
        <v>4302</v>
      </c>
      <c r="H1569" s="7">
        <v>0.252</v>
      </c>
      <c r="I1569" s="7">
        <v>28</v>
      </c>
      <c r="J1569" s="7">
        <v>800</v>
      </c>
      <c r="K1569" s="7">
        <v>600</v>
      </c>
      <c r="L1569" s="7">
        <v>150</v>
      </c>
      <c r="M1569" s="7">
        <v>30</v>
      </c>
      <c r="N1569" s="7">
        <v>60</v>
      </c>
      <c r="O1569" s="7">
        <v>70</v>
      </c>
      <c r="P1569" s="7">
        <v>190</v>
      </c>
    </row>
    <row r="1570" spans="1:16" s="10" customFormat="1">
      <c r="A1570" s="7">
        <f>IF(B1570="","",SUBTOTAL(103,$B$2:B1570))</f>
        <v>1569</v>
      </c>
      <c r="B1570" s="8" t="s">
        <v>4161</v>
      </c>
      <c r="C1570" s="7" t="s">
        <v>4296</v>
      </c>
      <c r="D1570" s="9" t="s">
        <v>4303</v>
      </c>
      <c r="E1570" s="7" t="s">
        <v>3798</v>
      </c>
      <c r="F1570" s="7" t="s">
        <v>4301</v>
      </c>
      <c r="G1570" s="7" t="str">
        <f>E1570&amp;F1570</f>
        <v>KI 114  KI-09 HB11/4*3/8 CF8M NPT</v>
      </c>
      <c r="H1570" s="7">
        <v>0.252</v>
      </c>
      <c r="I1570" s="7">
        <v>28</v>
      </c>
      <c r="J1570" s="7">
        <v>800</v>
      </c>
      <c r="K1570" s="7">
        <v>600</v>
      </c>
      <c r="L1570" s="7">
        <v>150</v>
      </c>
      <c r="M1570" s="7">
        <v>30</v>
      </c>
      <c r="N1570" s="7">
        <v>60</v>
      </c>
      <c r="O1570" s="7">
        <v>70</v>
      </c>
      <c r="P1570" s="7">
        <v>190</v>
      </c>
    </row>
    <row r="1571" spans="1:16" s="10" customFormat="1">
      <c r="A1571" s="7">
        <f>IF(B1571="","",SUBTOTAL(103,$B$2:B1571))</f>
        <v>1570</v>
      </c>
      <c r="B1571" s="8" t="s">
        <v>4161</v>
      </c>
      <c r="C1571" s="7" t="s">
        <v>3838</v>
      </c>
      <c r="D1571" s="9" t="s">
        <v>4304</v>
      </c>
      <c r="E1571" s="7" t="s">
        <v>4163</v>
      </c>
      <c r="F1571" s="7" t="s">
        <v>3840</v>
      </c>
      <c r="G1571" s="7" t="s">
        <v>4305</v>
      </c>
      <c r="H1571" s="7">
        <v>0.55200000000000005</v>
      </c>
      <c r="I1571" s="7">
        <v>8</v>
      </c>
      <c r="J1571" s="7">
        <v>800</v>
      </c>
      <c r="K1571" s="7">
        <v>600</v>
      </c>
      <c r="L1571" s="7">
        <v>150</v>
      </c>
      <c r="M1571" s="7">
        <v>30</v>
      </c>
      <c r="N1571" s="7">
        <v>60</v>
      </c>
      <c r="O1571" s="7">
        <v>225</v>
      </c>
      <c r="P1571" s="7">
        <v>250</v>
      </c>
    </row>
    <row r="1572" spans="1:16" s="10" customFormat="1">
      <c r="A1572" s="7">
        <f>IF(B1572="","",SUBTOTAL(103,$B$2:B1572))</f>
        <v>1571</v>
      </c>
      <c r="B1572" s="8" t="s">
        <v>4161</v>
      </c>
      <c r="C1572" s="7" t="s">
        <v>3838</v>
      </c>
      <c r="D1572" s="9" t="s">
        <v>4306</v>
      </c>
      <c r="E1572" s="7" t="s">
        <v>4163</v>
      </c>
      <c r="F1572" s="7" t="s">
        <v>4307</v>
      </c>
      <c r="G1572" s="7" t="s">
        <v>4308</v>
      </c>
      <c r="H1572" s="7">
        <v>0.55200000000000005</v>
      </c>
      <c r="I1572" s="7">
        <v>8</v>
      </c>
      <c r="J1572" s="7">
        <v>800</v>
      </c>
      <c r="K1572" s="7">
        <v>600</v>
      </c>
      <c r="L1572" s="7">
        <v>150</v>
      </c>
      <c r="M1572" s="7">
        <v>30</v>
      </c>
      <c r="N1572" s="7">
        <v>60</v>
      </c>
      <c r="O1572" s="7">
        <v>225</v>
      </c>
      <c r="P1572" s="7">
        <v>250</v>
      </c>
    </row>
    <row r="1573" spans="1:16" s="10" customFormat="1">
      <c r="A1573" s="7">
        <f>IF(B1573="","",SUBTOTAL(103,$B$2:B1573))</f>
        <v>1572</v>
      </c>
      <c r="B1573" s="8" t="s">
        <v>4161</v>
      </c>
      <c r="C1573" s="7" t="s">
        <v>4309</v>
      </c>
      <c r="D1573" s="9" t="s">
        <v>4310</v>
      </c>
      <c r="E1573" s="7" t="s">
        <v>4163</v>
      </c>
      <c r="F1573" s="7" t="s">
        <v>4311</v>
      </c>
      <c r="G1573" s="7" t="s">
        <v>4312</v>
      </c>
      <c r="H1573" s="7">
        <v>0.58699999999999997</v>
      </c>
      <c r="I1573" s="7">
        <v>6</v>
      </c>
      <c r="J1573" s="7">
        <v>800</v>
      </c>
      <c r="K1573" s="7">
        <v>600</v>
      </c>
      <c r="L1573" s="7">
        <v>150</v>
      </c>
      <c r="M1573" s="7">
        <v>30</v>
      </c>
      <c r="N1573" s="7">
        <v>60</v>
      </c>
      <c r="O1573" s="7">
        <v>310</v>
      </c>
      <c r="P1573" s="7">
        <v>350</v>
      </c>
    </row>
    <row r="1574" spans="1:16" s="10" customFormat="1">
      <c r="A1574" s="7">
        <f>IF(B1574="","",SUBTOTAL(103,$B$2:B1574))</f>
        <v>1573</v>
      </c>
      <c r="B1574" s="8" t="s">
        <v>4161</v>
      </c>
      <c r="C1574" s="7" t="s">
        <v>4309</v>
      </c>
      <c r="D1574" s="9" t="s">
        <v>4313</v>
      </c>
      <c r="E1574" s="7" t="s">
        <v>4163</v>
      </c>
      <c r="F1574" s="7" t="s">
        <v>4314</v>
      </c>
      <c r="G1574" s="7" t="s">
        <v>4315</v>
      </c>
      <c r="H1574" s="7">
        <v>0.58699999999999997</v>
      </c>
      <c r="I1574" s="7">
        <v>6</v>
      </c>
      <c r="J1574" s="7">
        <v>800</v>
      </c>
      <c r="K1574" s="7">
        <v>600</v>
      </c>
      <c r="L1574" s="7">
        <v>150</v>
      </c>
      <c r="M1574" s="7">
        <v>30</v>
      </c>
      <c r="N1574" s="7">
        <v>60</v>
      </c>
      <c r="O1574" s="7">
        <v>310</v>
      </c>
      <c r="P1574" s="7">
        <v>350</v>
      </c>
    </row>
    <row r="1575" spans="1:16" s="10" customFormat="1">
      <c r="A1575" s="7">
        <f>IF(B1575="","",SUBTOTAL(103,$B$2:B1575))</f>
        <v>1574</v>
      </c>
      <c r="B1575" s="8" t="s">
        <v>4161</v>
      </c>
      <c r="C1575" s="7" t="s">
        <v>4309</v>
      </c>
      <c r="D1575" s="9" t="s">
        <v>4316</v>
      </c>
      <c r="E1575" s="7" t="s">
        <v>3798</v>
      </c>
      <c r="F1575" s="7" t="s">
        <v>4314</v>
      </c>
      <c r="G1575" s="7" t="s">
        <v>4317</v>
      </c>
      <c r="H1575" s="7">
        <v>0.58699999999999997</v>
      </c>
      <c r="I1575" s="7">
        <v>6</v>
      </c>
      <c r="J1575" s="7">
        <v>800</v>
      </c>
      <c r="K1575" s="7">
        <v>600</v>
      </c>
      <c r="L1575" s="7">
        <v>150</v>
      </c>
      <c r="M1575" s="7">
        <v>30</v>
      </c>
      <c r="N1575" s="7">
        <v>60</v>
      </c>
      <c r="O1575" s="7">
        <v>310</v>
      </c>
      <c r="P1575" s="7">
        <v>350</v>
      </c>
    </row>
    <row r="1576" spans="1:16" s="10" customFormat="1">
      <c r="A1576" s="7">
        <f>IF(B1576="","",SUBTOTAL(103,$B$2:B1576))</f>
        <v>1575</v>
      </c>
      <c r="B1576" s="8" t="s">
        <v>4161</v>
      </c>
      <c r="C1576" s="7" t="s">
        <v>4318</v>
      </c>
      <c r="D1576" s="9" t="s">
        <v>4319</v>
      </c>
      <c r="E1576" s="7" t="s">
        <v>4163</v>
      </c>
      <c r="F1576" s="7" t="s">
        <v>4320</v>
      </c>
      <c r="G1576" s="7" t="s">
        <v>4321</v>
      </c>
      <c r="H1576" s="7">
        <v>0.56299999999999994</v>
      </c>
      <c r="I1576" s="7">
        <v>6</v>
      </c>
      <c r="J1576" s="7">
        <v>800</v>
      </c>
      <c r="K1576" s="7">
        <v>600</v>
      </c>
      <c r="L1576" s="7">
        <v>150</v>
      </c>
      <c r="M1576" s="7">
        <v>30</v>
      </c>
      <c r="N1576" s="7">
        <v>60</v>
      </c>
      <c r="O1576" s="7">
        <v>310</v>
      </c>
      <c r="P1576" s="7">
        <v>350</v>
      </c>
    </row>
    <row r="1577" spans="1:16" s="10" customFormat="1">
      <c r="A1577" s="7">
        <f>IF(B1577="","",SUBTOTAL(103,$B$2:B1577))</f>
        <v>1576</v>
      </c>
      <c r="B1577" s="8" t="s">
        <v>4161</v>
      </c>
      <c r="C1577" s="7" t="s">
        <v>4318</v>
      </c>
      <c r="D1577" s="9" t="s">
        <v>4322</v>
      </c>
      <c r="E1577" s="7" t="s">
        <v>4163</v>
      </c>
      <c r="F1577" s="7" t="s">
        <v>4323</v>
      </c>
      <c r="G1577" s="7" t="s">
        <v>4324</v>
      </c>
      <c r="H1577" s="7">
        <v>0.55300000000000005</v>
      </c>
      <c r="I1577" s="7">
        <v>6</v>
      </c>
      <c r="J1577" s="7">
        <v>800</v>
      </c>
      <c r="K1577" s="7">
        <v>600</v>
      </c>
      <c r="L1577" s="7">
        <v>150</v>
      </c>
      <c r="M1577" s="7">
        <v>30</v>
      </c>
      <c r="N1577" s="7">
        <v>60</v>
      </c>
      <c r="O1577" s="7">
        <v>310</v>
      </c>
      <c r="P1577" s="7">
        <v>350</v>
      </c>
    </row>
    <row r="1578" spans="1:16" s="10" customFormat="1">
      <c r="A1578" s="7">
        <f>IF(B1578="","",SUBTOTAL(103,$B$2:B1578))</f>
        <v>1577</v>
      </c>
      <c r="B1578" s="8" t="s">
        <v>4161</v>
      </c>
      <c r="C1578" s="7" t="s">
        <v>4325</v>
      </c>
      <c r="D1578" s="9" t="s">
        <v>4326</v>
      </c>
      <c r="E1578" s="7" t="s">
        <v>4163</v>
      </c>
      <c r="F1578" s="7" t="s">
        <v>4327</v>
      </c>
      <c r="G1578" s="7" t="s">
        <v>4328</v>
      </c>
      <c r="H1578" s="7">
        <v>0.45900000000000002</v>
      </c>
      <c r="I1578" s="7">
        <v>8</v>
      </c>
      <c r="J1578" s="7">
        <v>800</v>
      </c>
      <c r="K1578" s="7">
        <v>600</v>
      </c>
      <c r="L1578" s="7">
        <v>150</v>
      </c>
      <c r="M1578" s="7">
        <v>30</v>
      </c>
      <c r="N1578" s="7">
        <v>60</v>
      </c>
      <c r="O1578" s="7">
        <v>225</v>
      </c>
      <c r="P1578" s="7">
        <v>250</v>
      </c>
    </row>
    <row r="1579" spans="1:16" s="10" customFormat="1">
      <c r="A1579" s="7">
        <f>IF(B1579="","",SUBTOTAL(103,$B$2:B1579))</f>
        <v>1578</v>
      </c>
      <c r="B1579" s="8" t="s">
        <v>4161</v>
      </c>
      <c r="C1579" s="7" t="s">
        <v>4325</v>
      </c>
      <c r="D1579" s="9" t="s">
        <v>4329</v>
      </c>
      <c r="E1579" s="7" t="s">
        <v>4163</v>
      </c>
      <c r="F1579" s="7" t="s">
        <v>4330</v>
      </c>
      <c r="G1579" s="7" t="s">
        <v>4331</v>
      </c>
      <c r="H1579" s="7">
        <v>0.45900000000000002</v>
      </c>
      <c r="I1579" s="7">
        <v>8</v>
      </c>
      <c r="J1579" s="7">
        <v>800</v>
      </c>
      <c r="K1579" s="7">
        <v>600</v>
      </c>
      <c r="L1579" s="7">
        <v>150</v>
      </c>
      <c r="M1579" s="7">
        <v>30</v>
      </c>
      <c r="N1579" s="7">
        <v>60</v>
      </c>
      <c r="O1579" s="7">
        <v>225</v>
      </c>
      <c r="P1579" s="7">
        <v>250</v>
      </c>
    </row>
    <row r="1580" spans="1:16" s="10" customFormat="1">
      <c r="A1580" s="7">
        <f>IF(B1580="","",SUBTOTAL(103,$B$2:B1580))</f>
        <v>1579</v>
      </c>
      <c r="B1580" s="8" t="s">
        <v>4161</v>
      </c>
      <c r="C1580" s="7" t="s">
        <v>4325</v>
      </c>
      <c r="D1580" s="9" t="s">
        <v>4332</v>
      </c>
      <c r="E1580" s="7" t="s">
        <v>3798</v>
      </c>
      <c r="F1580" s="7" t="s">
        <v>4330</v>
      </c>
      <c r="G1580" s="7" t="str">
        <f>E1580&amp;F1580</f>
        <v>KI 114  KI-09 HB2*11/2 CF8M NPT</v>
      </c>
      <c r="H1580" s="7">
        <v>0.45900000000000002</v>
      </c>
      <c r="I1580" s="7">
        <v>8</v>
      </c>
      <c r="J1580" s="7">
        <v>800</v>
      </c>
      <c r="K1580" s="7">
        <v>600</v>
      </c>
      <c r="L1580" s="7">
        <v>150</v>
      </c>
      <c r="M1580" s="7">
        <v>30</v>
      </c>
      <c r="N1580" s="7">
        <v>60</v>
      </c>
      <c r="O1580" s="7">
        <v>225</v>
      </c>
      <c r="P1580" s="7">
        <v>250</v>
      </c>
    </row>
    <row r="1581" spans="1:16" s="10" customFormat="1">
      <c r="A1581" s="7">
        <f>IF(B1581="","",SUBTOTAL(103,$B$2:B1581))</f>
        <v>1580</v>
      </c>
      <c r="B1581" s="8" t="s">
        <v>4161</v>
      </c>
      <c r="C1581" s="7" t="s">
        <v>4333</v>
      </c>
      <c r="D1581" s="9" t="s">
        <v>4334</v>
      </c>
      <c r="E1581" s="7" t="s">
        <v>4163</v>
      </c>
      <c r="F1581" s="7" t="s">
        <v>4335</v>
      </c>
      <c r="G1581" s="7" t="s">
        <v>4336</v>
      </c>
      <c r="H1581" s="7">
        <v>0.56299999999999994</v>
      </c>
      <c r="I1581" s="7">
        <v>8</v>
      </c>
      <c r="J1581" s="7">
        <v>800</v>
      </c>
      <c r="K1581" s="7">
        <v>600</v>
      </c>
      <c r="L1581" s="7">
        <v>150</v>
      </c>
      <c r="M1581" s="7">
        <v>30</v>
      </c>
      <c r="N1581" s="7">
        <v>60</v>
      </c>
      <c r="O1581" s="7">
        <v>225</v>
      </c>
      <c r="P1581" s="7">
        <v>250</v>
      </c>
    </row>
    <row r="1582" spans="1:16" s="10" customFormat="1">
      <c r="A1582" s="7">
        <f>IF(B1582="","",SUBTOTAL(103,$B$2:B1582))</f>
        <v>1581</v>
      </c>
      <c r="B1582" s="8" t="s">
        <v>4161</v>
      </c>
      <c r="C1582" s="7" t="s">
        <v>4333</v>
      </c>
      <c r="D1582" s="9" t="s">
        <v>4337</v>
      </c>
      <c r="E1582" s="7" t="s">
        <v>4163</v>
      </c>
      <c r="F1582" s="7" t="s">
        <v>4338</v>
      </c>
      <c r="G1582" s="7" t="s">
        <v>4339</v>
      </c>
      <c r="H1582" s="7">
        <v>0.56299999999999994</v>
      </c>
      <c r="I1582" s="7">
        <v>8</v>
      </c>
      <c r="J1582" s="7">
        <v>800</v>
      </c>
      <c r="K1582" s="7">
        <v>600</v>
      </c>
      <c r="L1582" s="7">
        <v>150</v>
      </c>
      <c r="M1582" s="7">
        <v>30</v>
      </c>
      <c r="N1582" s="7">
        <v>60</v>
      </c>
      <c r="O1582" s="7">
        <v>225</v>
      </c>
      <c r="P1582" s="7">
        <v>250</v>
      </c>
    </row>
    <row r="1583" spans="1:16" s="10" customFormat="1">
      <c r="A1583" s="7">
        <f>IF(B1583="","",SUBTOTAL(103,$B$2:B1583))</f>
        <v>1582</v>
      </c>
      <c r="B1583" s="8" t="s">
        <v>4161</v>
      </c>
      <c r="C1583" s="7" t="s">
        <v>4333</v>
      </c>
      <c r="D1583" s="9" t="s">
        <v>4340</v>
      </c>
      <c r="E1583" s="7" t="s">
        <v>3798</v>
      </c>
      <c r="F1583" s="7" t="s">
        <v>4338</v>
      </c>
      <c r="G1583" s="7" t="str">
        <f>E1583&amp;F1583</f>
        <v>KI 114  KI-09 HB2*11/4 CF8M NPT</v>
      </c>
      <c r="H1583" s="7">
        <v>0.56299999999999994</v>
      </c>
      <c r="I1583" s="7">
        <v>12</v>
      </c>
      <c r="J1583" s="7">
        <v>800</v>
      </c>
      <c r="K1583" s="7">
        <v>600</v>
      </c>
      <c r="L1583" s="7">
        <v>150</v>
      </c>
      <c r="M1583" s="7">
        <v>30</v>
      </c>
      <c r="N1583" s="7">
        <v>60</v>
      </c>
      <c r="O1583" s="7">
        <v>225</v>
      </c>
      <c r="P1583" s="7">
        <v>250</v>
      </c>
    </row>
    <row r="1584" spans="1:16" s="10" customFormat="1">
      <c r="A1584" s="7">
        <f>IF(B1584="","",SUBTOTAL(103,$B$2:B1584))</f>
        <v>1583</v>
      </c>
      <c r="B1584" s="8" t="s">
        <v>4161</v>
      </c>
      <c r="C1584" s="7" t="s">
        <v>4341</v>
      </c>
      <c r="D1584" s="9" t="s">
        <v>4342</v>
      </c>
      <c r="E1584" s="7" t="s">
        <v>4163</v>
      </c>
      <c r="F1584" s="7" t="s">
        <v>4343</v>
      </c>
      <c r="G1584" s="7" t="s">
        <v>4344</v>
      </c>
      <c r="H1584" s="7">
        <v>0.91500000000000004</v>
      </c>
      <c r="I1584" s="7">
        <v>6</v>
      </c>
      <c r="J1584" s="7">
        <v>800</v>
      </c>
      <c r="K1584" s="7">
        <v>600</v>
      </c>
      <c r="L1584" s="7">
        <v>150</v>
      </c>
      <c r="M1584" s="7">
        <v>30</v>
      </c>
      <c r="N1584" s="7">
        <v>60</v>
      </c>
      <c r="O1584" s="7">
        <v>310</v>
      </c>
      <c r="P1584" s="7">
        <v>350</v>
      </c>
    </row>
    <row r="1585" spans="1:16" s="10" customFormat="1">
      <c r="A1585" s="7">
        <f>IF(B1585="","",SUBTOTAL(103,$B$2:B1585))</f>
        <v>1584</v>
      </c>
      <c r="B1585" s="8" t="s">
        <v>4161</v>
      </c>
      <c r="C1585" s="7" t="s">
        <v>4341</v>
      </c>
      <c r="D1585" s="9" t="s">
        <v>4345</v>
      </c>
      <c r="E1585" s="7" t="s">
        <v>4163</v>
      </c>
      <c r="F1585" s="7" t="s">
        <v>4346</v>
      </c>
      <c r="G1585" s="7" t="s">
        <v>4347</v>
      </c>
      <c r="H1585" s="7">
        <v>0.56599999999999995</v>
      </c>
      <c r="I1585" s="7">
        <v>6</v>
      </c>
      <c r="J1585" s="7">
        <v>800</v>
      </c>
      <c r="K1585" s="7">
        <v>600</v>
      </c>
      <c r="L1585" s="7">
        <v>150</v>
      </c>
      <c r="M1585" s="7">
        <v>30</v>
      </c>
      <c r="N1585" s="7">
        <v>60</v>
      </c>
      <c r="O1585" s="7">
        <v>310</v>
      </c>
      <c r="P1585" s="7">
        <v>350</v>
      </c>
    </row>
    <row r="1586" spans="1:16" s="10" customFormat="1">
      <c r="A1586" s="7">
        <f>IF(B1586="","",SUBTOTAL(103,$B$2:B1586))</f>
        <v>1585</v>
      </c>
      <c r="B1586" s="8" t="s">
        <v>4161</v>
      </c>
      <c r="C1586" s="7" t="s">
        <v>4341</v>
      </c>
      <c r="D1586" s="9" t="s">
        <v>4348</v>
      </c>
      <c r="E1586" s="7" t="s">
        <v>3798</v>
      </c>
      <c r="F1586" s="7" t="s">
        <v>4346</v>
      </c>
      <c r="G1586" s="7" t="str">
        <f>E1586&amp;F1586</f>
        <v>KI 114  KI-09 HB2*3/4 CF8M NPT</v>
      </c>
      <c r="H1586" s="7">
        <v>0.56599999999999995</v>
      </c>
      <c r="I1586" s="7">
        <v>6</v>
      </c>
      <c r="J1586" s="7">
        <v>800</v>
      </c>
      <c r="K1586" s="7">
        <v>600</v>
      </c>
      <c r="L1586" s="7">
        <v>150</v>
      </c>
      <c r="M1586" s="7">
        <v>30</v>
      </c>
      <c r="N1586" s="7">
        <v>60</v>
      </c>
      <c r="O1586" s="7">
        <v>310</v>
      </c>
      <c r="P1586" s="7">
        <v>350</v>
      </c>
    </row>
    <row r="1587" spans="1:16" s="10" customFormat="1">
      <c r="A1587" s="7">
        <f>IF(B1587="","",SUBTOTAL(103,$B$2:B1587))</f>
        <v>1586</v>
      </c>
      <c r="B1587" s="8" t="s">
        <v>4161</v>
      </c>
      <c r="C1587" s="7" t="s">
        <v>4349</v>
      </c>
      <c r="D1587" s="9" t="s">
        <v>4350</v>
      </c>
      <c r="E1587" s="7" t="s">
        <v>4163</v>
      </c>
      <c r="F1587" s="7" t="s">
        <v>4351</v>
      </c>
      <c r="G1587" s="7" t="s">
        <v>4352</v>
      </c>
      <c r="H1587" s="7">
        <v>0.56299999999999994</v>
      </c>
      <c r="I1587" s="7">
        <v>6</v>
      </c>
      <c r="J1587" s="7">
        <v>800</v>
      </c>
      <c r="K1587" s="7">
        <v>600</v>
      </c>
      <c r="L1587" s="7">
        <v>150</v>
      </c>
      <c r="M1587" s="7">
        <v>30</v>
      </c>
      <c r="N1587" s="7">
        <v>60</v>
      </c>
      <c r="O1587" s="7">
        <v>310</v>
      </c>
      <c r="P1587" s="7">
        <v>350</v>
      </c>
    </row>
    <row r="1588" spans="1:16" s="10" customFormat="1">
      <c r="A1588" s="7">
        <f>IF(B1588="","",SUBTOTAL(103,$B$2:B1588))</f>
        <v>1587</v>
      </c>
      <c r="B1588" s="8" t="s">
        <v>4161</v>
      </c>
      <c r="C1588" s="7" t="s">
        <v>4349</v>
      </c>
      <c r="D1588" s="9" t="s">
        <v>4353</v>
      </c>
      <c r="E1588" s="7" t="s">
        <v>4163</v>
      </c>
      <c r="F1588" s="7" t="s">
        <v>4354</v>
      </c>
      <c r="G1588" s="7" t="s">
        <v>4355</v>
      </c>
      <c r="H1588" s="7">
        <v>0.56299999999999994</v>
      </c>
      <c r="I1588" s="7">
        <v>6</v>
      </c>
      <c r="J1588" s="7">
        <v>800</v>
      </c>
      <c r="K1588" s="7">
        <v>600</v>
      </c>
      <c r="L1588" s="7">
        <v>150</v>
      </c>
      <c r="M1588" s="7">
        <v>30</v>
      </c>
      <c r="N1588" s="7">
        <v>60</v>
      </c>
      <c r="O1588" s="7">
        <v>310</v>
      </c>
      <c r="P1588" s="7">
        <v>350</v>
      </c>
    </row>
    <row r="1589" spans="1:16" s="10" customFormat="1">
      <c r="A1589" s="7">
        <f>IF(B1589="","",SUBTOTAL(103,$B$2:B1589))</f>
        <v>1588</v>
      </c>
      <c r="B1589" s="8" t="s">
        <v>4161</v>
      </c>
      <c r="C1589" s="7" t="s">
        <v>4349</v>
      </c>
      <c r="D1589" s="9" t="s">
        <v>4356</v>
      </c>
      <c r="E1589" s="7" t="s">
        <v>3798</v>
      </c>
      <c r="F1589" s="7" t="s">
        <v>4357</v>
      </c>
      <c r="G1589" s="7" t="str">
        <f>E1589&amp;F1589</f>
        <v>KI 114  KI-09 HB2*3/8 CF8M NPT</v>
      </c>
      <c r="H1589" s="7">
        <v>0.56299999999999994</v>
      </c>
      <c r="I1589" s="7">
        <v>6</v>
      </c>
      <c r="J1589" s="7">
        <v>800</v>
      </c>
      <c r="K1589" s="7">
        <v>600</v>
      </c>
      <c r="L1589" s="7">
        <v>150</v>
      </c>
      <c r="M1589" s="7">
        <v>30</v>
      </c>
      <c r="N1589" s="7">
        <v>60</v>
      </c>
      <c r="O1589" s="7">
        <v>310</v>
      </c>
      <c r="P1589" s="7">
        <v>350</v>
      </c>
    </row>
    <row r="1590" spans="1:16" s="10" customFormat="1">
      <c r="A1590" s="7">
        <f>IF(B1590="","",SUBTOTAL(103,$B$2:B1590))</f>
        <v>1589</v>
      </c>
      <c r="B1590" s="8" t="s">
        <v>4161</v>
      </c>
      <c r="C1590" s="7" t="s">
        <v>4358</v>
      </c>
      <c r="D1590" s="9" t="s">
        <v>4359</v>
      </c>
      <c r="E1590" s="7" t="s">
        <v>4163</v>
      </c>
      <c r="F1590" s="7" t="s">
        <v>4360</v>
      </c>
      <c r="G1590" s="7" t="s">
        <v>4361</v>
      </c>
      <c r="H1590" s="7">
        <v>0.92500000000000004</v>
      </c>
      <c r="I1590" s="7">
        <v>6</v>
      </c>
      <c r="J1590" s="7">
        <v>800</v>
      </c>
      <c r="K1590" s="7">
        <v>600</v>
      </c>
      <c r="L1590" s="7">
        <v>150</v>
      </c>
      <c r="M1590" s="7">
        <v>30</v>
      </c>
      <c r="N1590" s="7">
        <v>60</v>
      </c>
      <c r="O1590" s="7">
        <v>310</v>
      </c>
      <c r="P1590" s="7">
        <v>350</v>
      </c>
    </row>
    <row r="1591" spans="1:16" s="10" customFormat="1">
      <c r="A1591" s="7">
        <f>IF(B1591="","",SUBTOTAL(103,$B$2:B1591))</f>
        <v>1590</v>
      </c>
      <c r="B1591" s="8" t="s">
        <v>4161</v>
      </c>
      <c r="C1591" s="7" t="s">
        <v>4358</v>
      </c>
      <c r="D1591" s="9" t="s">
        <v>4362</v>
      </c>
      <c r="E1591" s="7" t="s">
        <v>4163</v>
      </c>
      <c r="F1591" s="7" t="s">
        <v>4363</v>
      </c>
      <c r="G1591" s="7" t="s">
        <v>4364</v>
      </c>
      <c r="H1591" s="7">
        <v>0.92500000000000004</v>
      </c>
      <c r="I1591" s="7">
        <v>6</v>
      </c>
      <c r="J1591" s="7">
        <v>800</v>
      </c>
      <c r="K1591" s="7">
        <v>600</v>
      </c>
      <c r="L1591" s="7">
        <v>150</v>
      </c>
      <c r="M1591" s="7">
        <v>30</v>
      </c>
      <c r="N1591" s="7">
        <v>60</v>
      </c>
      <c r="O1591" s="7">
        <v>310</v>
      </c>
      <c r="P1591" s="7">
        <v>350</v>
      </c>
    </row>
    <row r="1592" spans="1:16" s="10" customFormat="1">
      <c r="A1592" s="7">
        <f>IF(B1592="","",SUBTOTAL(103,$B$2:B1592))</f>
        <v>1591</v>
      </c>
      <c r="B1592" s="8" t="s">
        <v>4161</v>
      </c>
      <c r="C1592" s="7" t="s">
        <v>4365</v>
      </c>
      <c r="D1592" s="9" t="s">
        <v>4366</v>
      </c>
      <c r="E1592" s="7" t="s">
        <v>4163</v>
      </c>
      <c r="F1592" s="7" t="s">
        <v>4367</v>
      </c>
      <c r="G1592" s="7" t="s">
        <v>4368</v>
      </c>
      <c r="H1592" s="7">
        <v>0.79100000000000004</v>
      </c>
      <c r="I1592" s="7">
        <v>8</v>
      </c>
      <c r="J1592" s="7">
        <v>800</v>
      </c>
      <c r="K1592" s="7">
        <v>600</v>
      </c>
      <c r="L1592" s="7">
        <v>150</v>
      </c>
      <c r="M1592" s="7">
        <v>30</v>
      </c>
      <c r="N1592" s="7">
        <v>60</v>
      </c>
      <c r="O1592" s="7">
        <v>225</v>
      </c>
      <c r="P1592" s="7">
        <v>250</v>
      </c>
    </row>
    <row r="1593" spans="1:16" s="10" customFormat="1">
      <c r="A1593" s="7">
        <f>IF(B1593="","",SUBTOTAL(103,$B$2:B1593))</f>
        <v>1592</v>
      </c>
      <c r="B1593" s="8" t="s">
        <v>4161</v>
      </c>
      <c r="C1593" s="7" t="s">
        <v>4365</v>
      </c>
      <c r="D1593" s="9" t="s">
        <v>4369</v>
      </c>
      <c r="E1593" s="7" t="s">
        <v>4163</v>
      </c>
      <c r="F1593" s="7" t="s">
        <v>4370</v>
      </c>
      <c r="G1593" s="7" t="s">
        <v>4371</v>
      </c>
      <c r="H1593" s="7">
        <v>0.89400000000000002</v>
      </c>
      <c r="I1593" s="7">
        <v>8</v>
      </c>
      <c r="J1593" s="7">
        <v>800</v>
      </c>
      <c r="K1593" s="7">
        <v>600</v>
      </c>
      <c r="L1593" s="7">
        <v>150</v>
      </c>
      <c r="M1593" s="7">
        <v>30</v>
      </c>
      <c r="N1593" s="7">
        <v>60</v>
      </c>
      <c r="O1593" s="7">
        <v>225</v>
      </c>
      <c r="P1593" s="7">
        <v>250</v>
      </c>
    </row>
    <row r="1594" spans="1:16" s="10" customFormat="1">
      <c r="A1594" s="7">
        <f>IF(B1594="","",SUBTOTAL(103,$B$2:B1594))</f>
        <v>1593</v>
      </c>
      <c r="B1594" s="8" t="s">
        <v>4161</v>
      </c>
      <c r="C1594" s="7" t="s">
        <v>4372</v>
      </c>
      <c r="D1594" s="9" t="s">
        <v>4373</v>
      </c>
      <c r="E1594" s="7" t="s">
        <v>4163</v>
      </c>
      <c r="F1594" s="7" t="s">
        <v>4374</v>
      </c>
      <c r="G1594" s="7" t="s">
        <v>4375</v>
      </c>
      <c r="H1594" s="7">
        <v>0.79100000000000004</v>
      </c>
      <c r="I1594" s="7">
        <v>6</v>
      </c>
      <c r="J1594" s="7">
        <v>800</v>
      </c>
      <c r="K1594" s="7">
        <v>600</v>
      </c>
      <c r="L1594" s="7">
        <v>150</v>
      </c>
      <c r="M1594" s="7">
        <v>30</v>
      </c>
      <c r="N1594" s="7">
        <v>60</v>
      </c>
      <c r="O1594" s="7">
        <v>310</v>
      </c>
      <c r="P1594" s="7">
        <v>350</v>
      </c>
    </row>
    <row r="1595" spans="1:16" s="10" customFormat="1">
      <c r="A1595" s="7">
        <f>IF(B1595="","",SUBTOTAL(103,$B$2:B1595))</f>
        <v>1594</v>
      </c>
      <c r="B1595" s="8" t="s">
        <v>4161</v>
      </c>
      <c r="C1595" s="7" t="s">
        <v>4372</v>
      </c>
      <c r="D1595" s="9" t="s">
        <v>4376</v>
      </c>
      <c r="E1595" s="7" t="s">
        <v>4163</v>
      </c>
      <c r="F1595" s="7" t="s">
        <v>4377</v>
      </c>
      <c r="G1595" s="7" t="s">
        <v>4378</v>
      </c>
      <c r="H1595" s="7">
        <v>0.79100000000000004</v>
      </c>
      <c r="I1595" s="7">
        <v>6</v>
      </c>
      <c r="J1595" s="7">
        <v>800</v>
      </c>
      <c r="K1595" s="7">
        <v>600</v>
      </c>
      <c r="L1595" s="7">
        <v>150</v>
      </c>
      <c r="M1595" s="7">
        <v>30</v>
      </c>
      <c r="N1595" s="7">
        <v>60</v>
      </c>
      <c r="O1595" s="7">
        <v>310</v>
      </c>
      <c r="P1595" s="7">
        <v>350</v>
      </c>
    </row>
    <row r="1596" spans="1:16" s="10" customFormat="1">
      <c r="A1596" s="7">
        <f>IF(B1596="","",SUBTOTAL(103,$B$2:B1596))</f>
        <v>1595</v>
      </c>
      <c r="B1596" s="8" t="s">
        <v>4161</v>
      </c>
      <c r="C1596" s="7" t="s">
        <v>4372</v>
      </c>
      <c r="D1596" s="9" t="s">
        <v>4379</v>
      </c>
      <c r="E1596" s="7" t="s">
        <v>3798</v>
      </c>
      <c r="F1596" s="7" t="s">
        <v>4377</v>
      </c>
      <c r="G1596" s="7" t="str">
        <f>E1596&amp;F1596</f>
        <v>KI 114  KI-09 HB21/2*11/2 CF8M NPT</v>
      </c>
      <c r="H1596" s="7">
        <v>0.79100000000000004</v>
      </c>
      <c r="I1596" s="7">
        <v>6</v>
      </c>
      <c r="J1596" s="7">
        <v>800</v>
      </c>
      <c r="K1596" s="7">
        <v>600</v>
      </c>
      <c r="L1596" s="7">
        <v>150</v>
      </c>
      <c r="M1596" s="7">
        <v>30</v>
      </c>
      <c r="N1596" s="7">
        <v>60</v>
      </c>
      <c r="O1596" s="7">
        <v>310</v>
      </c>
      <c r="P1596" s="7">
        <v>350</v>
      </c>
    </row>
    <row r="1597" spans="1:16" s="10" customFormat="1">
      <c r="A1597" s="7">
        <f>IF(B1597="","",SUBTOTAL(103,$B$2:B1597))</f>
        <v>1596</v>
      </c>
      <c r="B1597" s="8" t="s">
        <v>4161</v>
      </c>
      <c r="C1597" s="7" t="s">
        <v>4380</v>
      </c>
      <c r="D1597" s="9" t="s">
        <v>4381</v>
      </c>
      <c r="E1597" s="7" t="s">
        <v>4163</v>
      </c>
      <c r="F1597" s="7" t="s">
        <v>4382</v>
      </c>
      <c r="G1597" s="7" t="s">
        <v>4383</v>
      </c>
      <c r="H1597" s="7">
        <v>0.85299999999999998</v>
      </c>
      <c r="I1597" s="7">
        <v>6</v>
      </c>
      <c r="J1597" s="7">
        <v>800</v>
      </c>
      <c r="K1597" s="7">
        <v>600</v>
      </c>
      <c r="L1597" s="7">
        <v>150</v>
      </c>
      <c r="M1597" s="7">
        <v>30</v>
      </c>
      <c r="N1597" s="7">
        <v>60</v>
      </c>
      <c r="O1597" s="7">
        <v>310</v>
      </c>
      <c r="P1597" s="7">
        <v>350</v>
      </c>
    </row>
    <row r="1598" spans="1:16" s="10" customFormat="1">
      <c r="A1598" s="7">
        <f>IF(B1598="","",SUBTOTAL(103,$B$2:B1598))</f>
        <v>1597</v>
      </c>
      <c r="B1598" s="8" t="s">
        <v>4161</v>
      </c>
      <c r="C1598" s="7" t="s">
        <v>4380</v>
      </c>
      <c r="D1598" s="9" t="s">
        <v>4384</v>
      </c>
      <c r="E1598" s="7" t="s">
        <v>4163</v>
      </c>
      <c r="F1598" s="7" t="s">
        <v>4385</v>
      </c>
      <c r="G1598" s="7" t="s">
        <v>4386</v>
      </c>
      <c r="H1598" s="7">
        <v>0.85299999999999998</v>
      </c>
      <c r="I1598" s="7">
        <v>6</v>
      </c>
      <c r="J1598" s="7">
        <v>800</v>
      </c>
      <c r="K1598" s="7">
        <v>600</v>
      </c>
      <c r="L1598" s="7">
        <v>150</v>
      </c>
      <c r="M1598" s="7">
        <v>30</v>
      </c>
      <c r="N1598" s="7">
        <v>60</v>
      </c>
      <c r="O1598" s="7">
        <v>310</v>
      </c>
      <c r="P1598" s="7">
        <v>350</v>
      </c>
    </row>
    <row r="1599" spans="1:16" s="10" customFormat="1">
      <c r="A1599" s="7">
        <f>IF(B1599="","",SUBTOTAL(103,$B$2:B1599))</f>
        <v>1598</v>
      </c>
      <c r="B1599" s="8" t="s">
        <v>4161</v>
      </c>
      <c r="C1599" s="7" t="s">
        <v>4387</v>
      </c>
      <c r="D1599" s="9" t="s">
        <v>4388</v>
      </c>
      <c r="E1599" s="7" t="s">
        <v>4163</v>
      </c>
      <c r="F1599" s="7" t="s">
        <v>4389</v>
      </c>
      <c r="G1599" s="7" t="s">
        <v>4390</v>
      </c>
      <c r="H1599" s="7">
        <v>0.79100000000000004</v>
      </c>
      <c r="I1599" s="7">
        <v>4</v>
      </c>
      <c r="J1599" s="7">
        <v>800</v>
      </c>
      <c r="K1599" s="7">
        <v>600</v>
      </c>
      <c r="L1599" s="7">
        <v>150</v>
      </c>
      <c r="M1599" s="7">
        <v>30</v>
      </c>
      <c r="N1599" s="7">
        <v>60</v>
      </c>
      <c r="O1599" s="7">
        <v>500</v>
      </c>
      <c r="P1599" s="7">
        <v>600</v>
      </c>
    </row>
    <row r="1600" spans="1:16" s="10" customFormat="1">
      <c r="A1600" s="7">
        <f>IF(B1600="","",SUBTOTAL(103,$B$2:B1600))</f>
        <v>1599</v>
      </c>
      <c r="B1600" s="8" t="s">
        <v>4161</v>
      </c>
      <c r="C1600" s="7" t="s">
        <v>4387</v>
      </c>
      <c r="D1600" s="9" t="s">
        <v>4391</v>
      </c>
      <c r="E1600" s="7" t="s">
        <v>4163</v>
      </c>
      <c r="F1600" s="7" t="s">
        <v>4392</v>
      </c>
      <c r="G1600" s="7" t="s">
        <v>4393</v>
      </c>
      <c r="H1600" s="7">
        <v>0.65300000000000002</v>
      </c>
      <c r="I1600" s="7">
        <v>4</v>
      </c>
      <c r="J1600" s="7">
        <v>800</v>
      </c>
      <c r="K1600" s="7">
        <v>600</v>
      </c>
      <c r="L1600" s="7">
        <v>150</v>
      </c>
      <c r="M1600" s="7">
        <v>30</v>
      </c>
      <c r="N1600" s="7">
        <v>60</v>
      </c>
      <c r="O1600" s="7">
        <v>500</v>
      </c>
      <c r="P1600" s="7">
        <v>600</v>
      </c>
    </row>
    <row r="1601" spans="1:16" s="10" customFormat="1">
      <c r="A1601" s="7">
        <f>IF(B1601="","",SUBTOTAL(103,$B$2:B1601))</f>
        <v>1600</v>
      </c>
      <c r="B1601" s="8" t="s">
        <v>4161</v>
      </c>
      <c r="C1601" s="7" t="s">
        <v>4387</v>
      </c>
      <c r="D1601" s="9" t="s">
        <v>4394</v>
      </c>
      <c r="E1601" s="7" t="s">
        <v>3798</v>
      </c>
      <c r="F1601" s="7" t="s">
        <v>4392</v>
      </c>
      <c r="G1601" s="7" t="str">
        <f>E1601&amp;F1601</f>
        <v>KI 114  KI-09 HB21/2*2 CF8M NPT</v>
      </c>
      <c r="H1601" s="7">
        <v>0.65300000000000002</v>
      </c>
      <c r="I1601" s="7">
        <v>4</v>
      </c>
      <c r="J1601" s="7">
        <v>800</v>
      </c>
      <c r="K1601" s="7">
        <v>600</v>
      </c>
      <c r="L1601" s="7">
        <v>150</v>
      </c>
      <c r="M1601" s="7">
        <v>30</v>
      </c>
      <c r="N1601" s="7">
        <v>60</v>
      </c>
      <c r="O1601" s="7">
        <v>500</v>
      </c>
      <c r="P1601" s="7">
        <v>600</v>
      </c>
    </row>
    <row r="1602" spans="1:16" s="10" customFormat="1">
      <c r="A1602" s="7">
        <f>IF(B1602="","",SUBTOTAL(103,$B$2:B1602))</f>
        <v>1601</v>
      </c>
      <c r="B1602" s="8" t="s">
        <v>4161</v>
      </c>
      <c r="C1602" s="7" t="s">
        <v>4395</v>
      </c>
      <c r="D1602" s="9" t="s">
        <v>4396</v>
      </c>
      <c r="E1602" s="7" t="s">
        <v>4163</v>
      </c>
      <c r="F1602" s="7" t="s">
        <v>4397</v>
      </c>
      <c r="G1602" s="7" t="s">
        <v>4398</v>
      </c>
      <c r="H1602" s="7">
        <v>0.91500000000000004</v>
      </c>
      <c r="I1602" s="7">
        <v>5</v>
      </c>
      <c r="J1602" s="7">
        <v>800</v>
      </c>
      <c r="K1602" s="7">
        <v>600</v>
      </c>
      <c r="L1602" s="7">
        <v>150</v>
      </c>
      <c r="M1602" s="7">
        <v>30</v>
      </c>
      <c r="N1602" s="7">
        <v>60</v>
      </c>
      <c r="O1602" s="7">
        <v>400</v>
      </c>
      <c r="P1602" s="7">
        <v>565</v>
      </c>
    </row>
    <row r="1603" spans="1:16" s="10" customFormat="1">
      <c r="A1603" s="7">
        <f>IF(B1603="","",SUBTOTAL(103,$B$2:B1603))</f>
        <v>1602</v>
      </c>
      <c r="B1603" s="8" t="s">
        <v>4161</v>
      </c>
      <c r="C1603" s="7" t="s">
        <v>4395</v>
      </c>
      <c r="D1603" s="9" t="s">
        <v>4399</v>
      </c>
      <c r="E1603" s="7" t="s">
        <v>4163</v>
      </c>
      <c r="F1603" s="7" t="s">
        <v>4400</v>
      </c>
      <c r="G1603" s="7" t="s">
        <v>4401</v>
      </c>
      <c r="H1603" s="7">
        <v>0.89400000000000002</v>
      </c>
      <c r="I1603" s="7">
        <v>5</v>
      </c>
      <c r="J1603" s="7">
        <v>800</v>
      </c>
      <c r="K1603" s="7">
        <v>600</v>
      </c>
      <c r="L1603" s="7">
        <v>150</v>
      </c>
      <c r="M1603" s="7">
        <v>30</v>
      </c>
      <c r="N1603" s="7">
        <v>60</v>
      </c>
      <c r="O1603" s="7">
        <v>400</v>
      </c>
      <c r="P1603" s="7">
        <v>565</v>
      </c>
    </row>
    <row r="1604" spans="1:16" s="10" customFormat="1">
      <c r="A1604" s="7">
        <f>IF(B1604="","",SUBTOTAL(103,$B$2:B1604))</f>
        <v>1603</v>
      </c>
      <c r="B1604" s="8" t="s">
        <v>4161</v>
      </c>
      <c r="C1604" s="7" t="s">
        <v>4402</v>
      </c>
      <c r="D1604" s="9" t="s">
        <v>4403</v>
      </c>
      <c r="E1604" s="7" t="s">
        <v>4163</v>
      </c>
      <c r="F1604" s="7" t="s">
        <v>4404</v>
      </c>
      <c r="G1604" s="7" t="s">
        <v>4405</v>
      </c>
      <c r="H1604" s="7">
        <v>1.4</v>
      </c>
      <c r="I1604" s="7">
        <v>5</v>
      </c>
      <c r="J1604" s="7">
        <v>800</v>
      </c>
      <c r="K1604" s="7">
        <v>600</v>
      </c>
      <c r="L1604" s="7">
        <v>150</v>
      </c>
      <c r="M1604" s="7">
        <v>30</v>
      </c>
      <c r="N1604" s="7">
        <v>60</v>
      </c>
      <c r="O1604" s="7">
        <v>400</v>
      </c>
      <c r="P1604" s="7">
        <v>565</v>
      </c>
    </row>
    <row r="1605" spans="1:16" s="10" customFormat="1">
      <c r="A1605" s="7">
        <f>IF(B1605="","",SUBTOTAL(103,$B$2:B1605))</f>
        <v>1604</v>
      </c>
      <c r="B1605" s="8" t="s">
        <v>4161</v>
      </c>
      <c r="C1605" s="7" t="s">
        <v>4402</v>
      </c>
      <c r="D1605" s="9" t="s">
        <v>4406</v>
      </c>
      <c r="E1605" s="7" t="s">
        <v>4163</v>
      </c>
      <c r="F1605" s="7" t="s">
        <v>4407</v>
      </c>
      <c r="G1605" s="7" t="s">
        <v>4408</v>
      </c>
      <c r="H1605" s="7">
        <v>1.4</v>
      </c>
      <c r="I1605" s="7">
        <v>5</v>
      </c>
      <c r="J1605" s="7">
        <v>800</v>
      </c>
      <c r="K1605" s="7">
        <v>600</v>
      </c>
      <c r="L1605" s="7">
        <v>150</v>
      </c>
      <c r="M1605" s="7">
        <v>30</v>
      </c>
      <c r="N1605" s="7">
        <v>60</v>
      </c>
      <c r="O1605" s="7">
        <v>400</v>
      </c>
      <c r="P1605" s="7">
        <v>565</v>
      </c>
    </row>
    <row r="1606" spans="1:16" s="10" customFormat="1">
      <c r="A1606" s="7">
        <f>IF(B1606="","",SUBTOTAL(103,$B$2:B1606))</f>
        <v>1605</v>
      </c>
      <c r="B1606" s="8" t="s">
        <v>4161</v>
      </c>
      <c r="C1606" s="7" t="s">
        <v>4409</v>
      </c>
      <c r="D1606" s="9" t="s">
        <v>4410</v>
      </c>
      <c r="E1606" s="7" t="s">
        <v>4163</v>
      </c>
      <c r="F1606" s="7" t="s">
        <v>4411</v>
      </c>
      <c r="G1606" s="7" t="s">
        <v>4412</v>
      </c>
      <c r="H1606" s="7">
        <v>1.2749999999999999</v>
      </c>
      <c r="I1606" s="7">
        <v>5</v>
      </c>
      <c r="J1606" s="7">
        <v>800</v>
      </c>
      <c r="K1606" s="7">
        <v>600</v>
      </c>
      <c r="L1606" s="7">
        <v>150</v>
      </c>
      <c r="M1606" s="7">
        <v>30</v>
      </c>
      <c r="N1606" s="7">
        <v>60</v>
      </c>
      <c r="O1606" s="7">
        <v>400</v>
      </c>
      <c r="P1606" s="7">
        <v>565</v>
      </c>
    </row>
    <row r="1607" spans="1:16" s="10" customFormat="1">
      <c r="A1607" s="7">
        <f>IF(B1607="","",SUBTOTAL(103,$B$2:B1607))</f>
        <v>1606</v>
      </c>
      <c r="B1607" s="8" t="s">
        <v>4161</v>
      </c>
      <c r="C1607" s="7" t="s">
        <v>4409</v>
      </c>
      <c r="D1607" s="9" t="s">
        <v>4413</v>
      </c>
      <c r="E1607" s="7" t="s">
        <v>4163</v>
      </c>
      <c r="F1607" s="7" t="s">
        <v>4414</v>
      </c>
      <c r="G1607" s="7" t="s">
        <v>4415</v>
      </c>
      <c r="H1607" s="7">
        <v>1.2749999999999999</v>
      </c>
      <c r="I1607" s="7">
        <v>5</v>
      </c>
      <c r="J1607" s="7">
        <v>800</v>
      </c>
      <c r="K1607" s="7">
        <v>600</v>
      </c>
      <c r="L1607" s="7">
        <v>150</v>
      </c>
      <c r="M1607" s="7">
        <v>30</v>
      </c>
      <c r="N1607" s="7">
        <v>60</v>
      </c>
      <c r="O1607" s="7">
        <v>400</v>
      </c>
      <c r="P1607" s="7">
        <v>565</v>
      </c>
    </row>
    <row r="1608" spans="1:16" s="10" customFormat="1">
      <c r="A1608" s="7">
        <f>IF(B1608="","",SUBTOTAL(103,$B$2:B1608))</f>
        <v>1607</v>
      </c>
      <c r="B1608" s="8" t="s">
        <v>4161</v>
      </c>
      <c r="C1608" s="7" t="s">
        <v>4416</v>
      </c>
      <c r="D1608" s="9" t="s">
        <v>4417</v>
      </c>
      <c r="E1608" s="7" t="s">
        <v>4163</v>
      </c>
      <c r="F1608" s="7" t="s">
        <v>4418</v>
      </c>
      <c r="G1608" s="7" t="s">
        <v>4419</v>
      </c>
      <c r="H1608" s="7">
        <v>1.3149999999999999</v>
      </c>
      <c r="I1608" s="7">
        <v>5</v>
      </c>
      <c r="J1608" s="7">
        <v>800</v>
      </c>
      <c r="K1608" s="7">
        <v>600</v>
      </c>
      <c r="L1608" s="7">
        <v>150</v>
      </c>
      <c r="M1608" s="7">
        <v>30</v>
      </c>
      <c r="N1608" s="7">
        <v>60</v>
      </c>
      <c r="O1608" s="7">
        <v>400</v>
      </c>
      <c r="P1608" s="7">
        <v>565</v>
      </c>
    </row>
    <row r="1609" spans="1:16" s="10" customFormat="1">
      <c r="A1609" s="7">
        <f>IF(B1609="","",SUBTOTAL(103,$B$2:B1609))</f>
        <v>1608</v>
      </c>
      <c r="B1609" s="8" t="s">
        <v>4161</v>
      </c>
      <c r="C1609" s="7" t="s">
        <v>4416</v>
      </c>
      <c r="D1609" s="9" t="s">
        <v>4420</v>
      </c>
      <c r="E1609" s="7" t="s">
        <v>4163</v>
      </c>
      <c r="F1609" s="7" t="s">
        <v>4421</v>
      </c>
      <c r="G1609" s="7" t="s">
        <v>4422</v>
      </c>
      <c r="H1609" s="7">
        <v>1.3149999999999999</v>
      </c>
      <c r="I1609" s="7">
        <v>5</v>
      </c>
      <c r="J1609" s="7">
        <v>800</v>
      </c>
      <c r="K1609" s="7">
        <v>600</v>
      </c>
      <c r="L1609" s="7">
        <v>150</v>
      </c>
      <c r="M1609" s="7">
        <v>30</v>
      </c>
      <c r="N1609" s="7">
        <v>60</v>
      </c>
      <c r="O1609" s="7">
        <v>400</v>
      </c>
      <c r="P1609" s="7">
        <v>565</v>
      </c>
    </row>
    <row r="1610" spans="1:16" s="10" customFormat="1">
      <c r="A1610" s="7">
        <f>IF(B1610="","",SUBTOTAL(103,$B$2:B1610))</f>
        <v>1609</v>
      </c>
      <c r="B1610" s="8" t="s">
        <v>4161</v>
      </c>
      <c r="C1610" s="7" t="s">
        <v>3842</v>
      </c>
      <c r="D1610" s="9" t="s">
        <v>4423</v>
      </c>
      <c r="E1610" s="7" t="s">
        <v>4163</v>
      </c>
      <c r="F1610" s="7" t="s">
        <v>4424</v>
      </c>
      <c r="G1610" s="7" t="s">
        <v>4425</v>
      </c>
      <c r="H1610" s="7">
        <v>6.4000000000000001E-2</v>
      </c>
      <c r="I1610" s="7">
        <v>5</v>
      </c>
      <c r="J1610" s="7">
        <v>800</v>
      </c>
      <c r="K1610" s="7">
        <v>600</v>
      </c>
      <c r="L1610" s="7">
        <v>150</v>
      </c>
      <c r="M1610" s="7">
        <v>30</v>
      </c>
      <c r="N1610" s="7">
        <v>60</v>
      </c>
      <c r="O1610" s="7">
        <v>400</v>
      </c>
      <c r="P1610" s="7">
        <v>565</v>
      </c>
    </row>
    <row r="1611" spans="1:16" s="10" customFormat="1">
      <c r="A1611" s="7">
        <f>IF(B1611="","",SUBTOTAL(103,$B$2:B1611))</f>
        <v>1610</v>
      </c>
      <c r="B1611" s="8" t="s">
        <v>4161</v>
      </c>
      <c r="C1611" s="7" t="s">
        <v>3842</v>
      </c>
      <c r="D1611" s="9" t="s">
        <v>4426</v>
      </c>
      <c r="E1611" s="7" t="s">
        <v>4163</v>
      </c>
      <c r="F1611" s="7" t="s">
        <v>3844</v>
      </c>
      <c r="G1611" s="7" t="s">
        <v>4427</v>
      </c>
      <c r="H1611" s="7">
        <v>6.4000000000000001E-2</v>
      </c>
      <c r="I1611" s="7">
        <v>5</v>
      </c>
      <c r="J1611" s="7">
        <v>800</v>
      </c>
      <c r="K1611" s="7">
        <v>600</v>
      </c>
      <c r="L1611" s="7">
        <v>150</v>
      </c>
      <c r="M1611" s="7">
        <v>30</v>
      </c>
      <c r="N1611" s="7">
        <v>60</v>
      </c>
      <c r="O1611" s="7">
        <v>400</v>
      </c>
      <c r="P1611" s="7">
        <v>565</v>
      </c>
    </row>
    <row r="1612" spans="1:16" s="10" customFormat="1">
      <c r="A1612" s="7">
        <f>IF(B1612="","",SUBTOTAL(103,$B$2:B1612))</f>
        <v>1611</v>
      </c>
      <c r="B1612" s="8" t="s">
        <v>4161</v>
      </c>
      <c r="C1612" s="7" t="s">
        <v>4428</v>
      </c>
      <c r="D1612" s="9" t="s">
        <v>4429</v>
      </c>
      <c r="E1612" s="7" t="s">
        <v>4163</v>
      </c>
      <c r="F1612" s="7" t="s">
        <v>4430</v>
      </c>
      <c r="G1612" s="7" t="s">
        <v>4431</v>
      </c>
      <c r="H1612" s="7">
        <v>0.94699999999999995</v>
      </c>
      <c r="I1612" s="7">
        <v>6</v>
      </c>
      <c r="J1612" s="7">
        <v>800</v>
      </c>
      <c r="K1612" s="7">
        <v>600</v>
      </c>
      <c r="L1612" s="7">
        <v>150</v>
      </c>
      <c r="M1612" s="7">
        <v>30</v>
      </c>
      <c r="N1612" s="7">
        <v>60</v>
      </c>
      <c r="O1612" s="7">
        <v>310</v>
      </c>
      <c r="P1612" s="7">
        <v>350</v>
      </c>
    </row>
    <row r="1613" spans="1:16" s="10" customFormat="1">
      <c r="A1613" s="7">
        <f>IF(B1613="","",SUBTOTAL(103,$B$2:B1613))</f>
        <v>1612</v>
      </c>
      <c r="B1613" s="8" t="s">
        <v>4161</v>
      </c>
      <c r="C1613" s="7" t="s">
        <v>4428</v>
      </c>
      <c r="D1613" s="9" t="s">
        <v>4432</v>
      </c>
      <c r="E1613" s="7" t="s">
        <v>4163</v>
      </c>
      <c r="F1613" s="7" t="s">
        <v>4433</v>
      </c>
      <c r="G1613" s="7" t="s">
        <v>4434</v>
      </c>
      <c r="H1613" s="7">
        <v>0.94699999999999995</v>
      </c>
      <c r="I1613" s="7">
        <v>6</v>
      </c>
      <c r="J1613" s="7">
        <v>800</v>
      </c>
      <c r="K1613" s="7">
        <v>600</v>
      </c>
      <c r="L1613" s="7">
        <v>150</v>
      </c>
      <c r="M1613" s="7">
        <v>30</v>
      </c>
      <c r="N1613" s="7">
        <v>60</v>
      </c>
      <c r="O1613" s="7">
        <v>310</v>
      </c>
      <c r="P1613" s="7">
        <v>350</v>
      </c>
    </row>
    <row r="1614" spans="1:16" s="10" customFormat="1">
      <c r="A1614" s="7">
        <f>IF(B1614="","",SUBTOTAL(103,$B$2:B1614))</f>
        <v>1613</v>
      </c>
      <c r="B1614" s="8" t="s">
        <v>4161</v>
      </c>
      <c r="C1614" s="7" t="s">
        <v>4428</v>
      </c>
      <c r="D1614" s="9" t="s">
        <v>4435</v>
      </c>
      <c r="E1614" s="7" t="s">
        <v>3798</v>
      </c>
      <c r="F1614" s="7" t="s">
        <v>4433</v>
      </c>
      <c r="G1614" s="7" t="str">
        <f>E1614&amp;F1614</f>
        <v>KI 114  KI-09 HB3*21/2 CF8M NPT</v>
      </c>
      <c r="H1614" s="7">
        <v>0.94699999999999995</v>
      </c>
      <c r="I1614" s="7">
        <v>6</v>
      </c>
      <c r="J1614" s="7">
        <v>800</v>
      </c>
      <c r="K1614" s="7">
        <v>600</v>
      </c>
      <c r="L1614" s="7">
        <v>150</v>
      </c>
      <c r="M1614" s="7">
        <v>30</v>
      </c>
      <c r="N1614" s="7">
        <v>60</v>
      </c>
      <c r="O1614" s="7">
        <v>310</v>
      </c>
      <c r="P1614" s="7">
        <v>350</v>
      </c>
    </row>
    <row r="1615" spans="1:16" s="10" customFormat="1">
      <c r="A1615" s="7">
        <f>IF(B1615="","",SUBTOTAL(103,$B$2:B1615))</f>
        <v>1614</v>
      </c>
      <c r="B1615" s="8" t="s">
        <v>4161</v>
      </c>
      <c r="C1615" s="7" t="s">
        <v>4436</v>
      </c>
      <c r="D1615" s="9" t="s">
        <v>4437</v>
      </c>
      <c r="E1615" s="7" t="s">
        <v>4163</v>
      </c>
      <c r="F1615" s="7" t="s">
        <v>4438</v>
      </c>
      <c r="G1615" s="7" t="s">
        <v>4439</v>
      </c>
      <c r="H1615" s="7">
        <v>1.3149999999999999</v>
      </c>
      <c r="I1615" s="7">
        <v>4</v>
      </c>
      <c r="J1615" s="7">
        <v>800</v>
      </c>
      <c r="K1615" s="7">
        <v>600</v>
      </c>
      <c r="L1615" s="7">
        <v>150</v>
      </c>
      <c r="M1615" s="7">
        <v>30</v>
      </c>
      <c r="N1615" s="7">
        <v>60</v>
      </c>
      <c r="O1615" s="7">
        <v>500</v>
      </c>
      <c r="P1615" s="7">
        <v>600</v>
      </c>
    </row>
    <row r="1616" spans="1:16" s="10" customFormat="1">
      <c r="A1616" s="7">
        <f>IF(B1616="","",SUBTOTAL(103,$B$2:B1616))</f>
        <v>1615</v>
      </c>
      <c r="B1616" s="8" t="s">
        <v>4161</v>
      </c>
      <c r="C1616" s="7" t="s">
        <v>4436</v>
      </c>
      <c r="D1616" s="9" t="s">
        <v>4440</v>
      </c>
      <c r="E1616" s="7" t="s">
        <v>4163</v>
      </c>
      <c r="F1616" s="7" t="s">
        <v>4441</v>
      </c>
      <c r="G1616" s="7" t="s">
        <v>4442</v>
      </c>
      <c r="H1616" s="7">
        <v>1.3149999999999999</v>
      </c>
      <c r="I1616" s="7">
        <v>4</v>
      </c>
      <c r="J1616" s="7">
        <v>800</v>
      </c>
      <c r="K1616" s="7">
        <v>600</v>
      </c>
      <c r="L1616" s="7">
        <v>150</v>
      </c>
      <c r="M1616" s="7">
        <v>30</v>
      </c>
      <c r="N1616" s="7">
        <v>60</v>
      </c>
      <c r="O1616" s="7">
        <v>500</v>
      </c>
      <c r="P1616" s="7">
        <v>600</v>
      </c>
    </row>
    <row r="1617" spans="1:16" s="10" customFormat="1">
      <c r="A1617" s="7">
        <f>IF(B1617="","",SUBTOTAL(103,$B$2:B1617))</f>
        <v>1616</v>
      </c>
      <c r="B1617" s="8" t="s">
        <v>4161</v>
      </c>
      <c r="C1617" s="7" t="s">
        <v>3846</v>
      </c>
      <c r="D1617" s="9" t="s">
        <v>4443</v>
      </c>
      <c r="E1617" s="7" t="s">
        <v>4163</v>
      </c>
      <c r="F1617" s="7" t="s">
        <v>4444</v>
      </c>
      <c r="G1617" s="7" t="s">
        <v>4445</v>
      </c>
      <c r="H1617" s="7">
        <v>6.4000000000000001E-2</v>
      </c>
      <c r="I1617" s="7">
        <v>48</v>
      </c>
      <c r="J1617" s="7">
        <v>800</v>
      </c>
      <c r="K1617" s="7">
        <v>600</v>
      </c>
      <c r="L1617" s="7">
        <v>150</v>
      </c>
      <c r="M1617" s="7">
        <v>30</v>
      </c>
      <c r="N1617" s="7">
        <v>60</v>
      </c>
      <c r="O1617" s="7">
        <v>41</v>
      </c>
      <c r="P1617" s="7">
        <v>140</v>
      </c>
    </row>
    <row r="1618" spans="1:16" s="10" customFormat="1">
      <c r="A1618" s="7">
        <f>IF(B1618="","",SUBTOTAL(103,$B$2:B1618))</f>
        <v>1617</v>
      </c>
      <c r="B1618" s="8" t="s">
        <v>4161</v>
      </c>
      <c r="C1618" s="7" t="s">
        <v>3846</v>
      </c>
      <c r="D1618" s="9" t="s">
        <v>4446</v>
      </c>
      <c r="E1618" s="7" t="s">
        <v>4163</v>
      </c>
      <c r="F1618" s="7" t="s">
        <v>3848</v>
      </c>
      <c r="G1618" s="7" t="s">
        <v>4447</v>
      </c>
      <c r="H1618" s="7">
        <v>6.4000000000000001E-2</v>
      </c>
      <c r="I1618" s="7">
        <v>48</v>
      </c>
      <c r="J1618" s="7">
        <v>800</v>
      </c>
      <c r="K1618" s="7">
        <v>600</v>
      </c>
      <c r="L1618" s="7">
        <v>150</v>
      </c>
      <c r="M1618" s="7">
        <v>30</v>
      </c>
      <c r="N1618" s="7">
        <v>60</v>
      </c>
      <c r="O1618" s="7">
        <v>41</v>
      </c>
      <c r="P1618" s="7">
        <v>140</v>
      </c>
    </row>
    <row r="1619" spans="1:16" s="10" customFormat="1">
      <c r="A1619" s="7">
        <f>IF(B1619="","",SUBTOTAL(103,$B$2:B1619))</f>
        <v>1618</v>
      </c>
      <c r="B1619" s="8" t="s">
        <v>4161</v>
      </c>
      <c r="C1619" s="7" t="s">
        <v>4448</v>
      </c>
      <c r="D1619" s="9" t="s">
        <v>4449</v>
      </c>
      <c r="E1619" s="7" t="s">
        <v>4163</v>
      </c>
      <c r="F1619" s="7" t="s">
        <v>4450</v>
      </c>
      <c r="G1619" s="7" t="s">
        <v>4451</v>
      </c>
      <c r="H1619" s="7">
        <v>8.2000000000000003E-2</v>
      </c>
      <c r="I1619" s="7">
        <v>48</v>
      </c>
      <c r="J1619" s="7">
        <v>800</v>
      </c>
      <c r="K1619" s="7">
        <v>600</v>
      </c>
      <c r="L1619" s="7">
        <v>150</v>
      </c>
      <c r="M1619" s="7">
        <v>30</v>
      </c>
      <c r="N1619" s="7">
        <v>60</v>
      </c>
      <c r="O1619" s="7">
        <v>41</v>
      </c>
      <c r="P1619" s="7">
        <v>140</v>
      </c>
    </row>
    <row r="1620" spans="1:16" s="10" customFormat="1">
      <c r="A1620" s="7">
        <f>IF(B1620="","",SUBTOTAL(103,$B$2:B1620))</f>
        <v>1619</v>
      </c>
      <c r="B1620" s="8" t="s">
        <v>4161</v>
      </c>
      <c r="C1620" s="7" t="s">
        <v>4448</v>
      </c>
      <c r="D1620" s="9" t="s">
        <v>4452</v>
      </c>
      <c r="E1620" s="7" t="s">
        <v>3798</v>
      </c>
      <c r="F1620" s="7" t="s">
        <v>4450</v>
      </c>
      <c r="G1620" s="7" t="s">
        <v>4453</v>
      </c>
      <c r="H1620" s="7">
        <v>8.2000000000000003E-2</v>
      </c>
      <c r="I1620" s="7">
        <v>48</v>
      </c>
      <c r="J1620" s="7">
        <v>800</v>
      </c>
      <c r="K1620" s="7">
        <v>600</v>
      </c>
      <c r="L1620" s="7">
        <v>150</v>
      </c>
      <c r="M1620" s="7">
        <v>30</v>
      </c>
      <c r="N1620" s="7">
        <v>60</v>
      </c>
      <c r="O1620" s="7">
        <v>41</v>
      </c>
      <c r="P1620" s="7">
        <v>140</v>
      </c>
    </row>
    <row r="1621" spans="1:16" s="10" customFormat="1">
      <c r="A1621" s="7">
        <f>IF(B1621="","",SUBTOTAL(103,$B$2:B1621))</f>
        <v>1620</v>
      </c>
      <c r="B1621" s="8" t="s">
        <v>4161</v>
      </c>
      <c r="C1621" s="7" t="s">
        <v>4448</v>
      </c>
      <c r="D1621" s="9" t="s">
        <v>4454</v>
      </c>
      <c r="E1621" s="7" t="s">
        <v>4163</v>
      </c>
      <c r="F1621" s="7" t="s">
        <v>4455</v>
      </c>
      <c r="G1621" s="7" t="s">
        <v>4456</v>
      </c>
      <c r="H1621" s="7">
        <v>8.2000000000000003E-2</v>
      </c>
      <c r="I1621" s="7">
        <v>48</v>
      </c>
      <c r="J1621" s="7">
        <v>800</v>
      </c>
      <c r="K1621" s="7">
        <v>600</v>
      </c>
      <c r="L1621" s="7">
        <v>150</v>
      </c>
      <c r="M1621" s="7">
        <v>30</v>
      </c>
      <c r="N1621" s="7">
        <v>60</v>
      </c>
      <c r="O1621" s="7">
        <v>41</v>
      </c>
      <c r="P1621" s="7">
        <v>140</v>
      </c>
    </row>
    <row r="1622" spans="1:16" s="10" customFormat="1">
      <c r="A1622" s="7">
        <f>IF(B1622="","",SUBTOTAL(103,$B$2:B1622))</f>
        <v>1621</v>
      </c>
      <c r="B1622" s="8" t="s">
        <v>4161</v>
      </c>
      <c r="C1622" s="7" t="s">
        <v>4448</v>
      </c>
      <c r="D1622" s="9" t="s">
        <v>4457</v>
      </c>
      <c r="E1622" s="7" t="s">
        <v>3798</v>
      </c>
      <c r="F1622" s="7" t="s">
        <v>4455</v>
      </c>
      <c r="G1622" s="7" t="str">
        <f>E1622&amp;F1622</f>
        <v>KI 114  KI-09 HB3/4*1/4 CF8M NPT</v>
      </c>
      <c r="H1622" s="7">
        <v>8.2000000000000003E-2</v>
      </c>
      <c r="I1622" s="7">
        <v>48</v>
      </c>
      <c r="J1622" s="7">
        <v>800</v>
      </c>
      <c r="K1622" s="7">
        <v>600</v>
      </c>
      <c r="L1622" s="7">
        <v>150</v>
      </c>
      <c r="M1622" s="7">
        <v>30</v>
      </c>
      <c r="N1622" s="7">
        <v>60</v>
      </c>
      <c r="O1622" s="7">
        <v>41</v>
      </c>
      <c r="P1622" s="7">
        <v>140</v>
      </c>
    </row>
    <row r="1623" spans="1:16" s="10" customFormat="1">
      <c r="A1623" s="7">
        <f>IF(B1623="","",SUBTOTAL(103,$B$2:B1623))</f>
        <v>1622</v>
      </c>
      <c r="B1623" s="8" t="s">
        <v>4161</v>
      </c>
      <c r="C1623" s="7" t="s">
        <v>4458</v>
      </c>
      <c r="D1623" s="9" t="s">
        <v>4459</v>
      </c>
      <c r="E1623" s="7" t="s">
        <v>4163</v>
      </c>
      <c r="F1623" s="7" t="s">
        <v>4460</v>
      </c>
      <c r="G1623" s="7" t="s">
        <v>4461</v>
      </c>
      <c r="H1623" s="7">
        <v>9.2999999999999999E-2</v>
      </c>
      <c r="I1623" s="7">
        <v>48</v>
      </c>
      <c r="J1623" s="7">
        <v>800</v>
      </c>
      <c r="K1623" s="7">
        <v>600</v>
      </c>
      <c r="L1623" s="7">
        <v>150</v>
      </c>
      <c r="M1623" s="7">
        <v>30</v>
      </c>
      <c r="N1623" s="7">
        <v>60</v>
      </c>
      <c r="O1623" s="7">
        <v>41</v>
      </c>
      <c r="P1623" s="7">
        <v>140</v>
      </c>
    </row>
    <row r="1624" spans="1:16" s="10" customFormat="1">
      <c r="A1624" s="7">
        <f>IF(B1624="","",SUBTOTAL(103,$B$2:B1624))</f>
        <v>1623</v>
      </c>
      <c r="B1624" s="8" t="s">
        <v>4161</v>
      </c>
      <c r="C1624" s="7" t="s">
        <v>4458</v>
      </c>
      <c r="D1624" s="9" t="s">
        <v>4462</v>
      </c>
      <c r="E1624" s="7" t="s">
        <v>4163</v>
      </c>
      <c r="F1624" s="7" t="s">
        <v>4463</v>
      </c>
      <c r="G1624" s="7" t="s">
        <v>4464</v>
      </c>
      <c r="H1624" s="7">
        <v>9.2999999999999999E-2</v>
      </c>
      <c r="I1624" s="7">
        <v>48</v>
      </c>
      <c r="J1624" s="7">
        <v>800</v>
      </c>
      <c r="K1624" s="7">
        <v>600</v>
      </c>
      <c r="L1624" s="7">
        <v>150</v>
      </c>
      <c r="M1624" s="7">
        <v>30</v>
      </c>
      <c r="N1624" s="7">
        <v>60</v>
      </c>
      <c r="O1624" s="7">
        <v>41</v>
      </c>
      <c r="P1624" s="7">
        <v>140</v>
      </c>
    </row>
    <row r="1625" spans="1:16" s="10" customFormat="1">
      <c r="A1625" s="7">
        <f>IF(B1625="","",SUBTOTAL(103,$B$2:B1625))</f>
        <v>1624</v>
      </c>
      <c r="B1625" s="8" t="s">
        <v>4161</v>
      </c>
      <c r="C1625" s="7" t="s">
        <v>4458</v>
      </c>
      <c r="D1625" s="9" t="s">
        <v>4465</v>
      </c>
      <c r="E1625" s="7" t="s">
        <v>3798</v>
      </c>
      <c r="F1625" s="7" t="s">
        <v>4463</v>
      </c>
      <c r="G1625" s="7" t="str">
        <f>E1625&amp;F1625</f>
        <v>KI 114  KI-09 HB3/4*1/8 CF8M NPT</v>
      </c>
      <c r="H1625" s="7">
        <v>9.2999999999999999E-2</v>
      </c>
      <c r="I1625" s="7">
        <v>48</v>
      </c>
      <c r="J1625" s="7">
        <v>800</v>
      </c>
      <c r="K1625" s="7">
        <v>600</v>
      </c>
      <c r="L1625" s="7">
        <v>150</v>
      </c>
      <c r="M1625" s="7">
        <v>30</v>
      </c>
      <c r="N1625" s="7">
        <v>60</v>
      </c>
      <c r="O1625" s="7">
        <v>41</v>
      </c>
      <c r="P1625" s="7">
        <v>140</v>
      </c>
    </row>
    <row r="1626" spans="1:16" s="10" customFormat="1">
      <c r="A1626" s="7">
        <f>IF(B1626="","",SUBTOTAL(103,$B$2:B1626))</f>
        <v>1625</v>
      </c>
      <c r="B1626" s="8" t="s">
        <v>4161</v>
      </c>
      <c r="C1626" s="7" t="s">
        <v>4466</v>
      </c>
      <c r="D1626" s="9" t="s">
        <v>4467</v>
      </c>
      <c r="E1626" s="7" t="s">
        <v>4163</v>
      </c>
      <c r="F1626" s="7" t="s">
        <v>4468</v>
      </c>
      <c r="G1626" s="7" t="s">
        <v>4469</v>
      </c>
      <c r="H1626" s="7">
        <v>0.08</v>
      </c>
      <c r="I1626" s="7">
        <v>48</v>
      </c>
      <c r="J1626" s="7">
        <v>800</v>
      </c>
      <c r="K1626" s="7">
        <v>600</v>
      </c>
      <c r="L1626" s="7">
        <v>150</v>
      </c>
      <c r="M1626" s="7">
        <v>30</v>
      </c>
      <c r="N1626" s="7">
        <v>60</v>
      </c>
      <c r="O1626" s="7">
        <v>41</v>
      </c>
      <c r="P1626" s="7">
        <v>140</v>
      </c>
    </row>
    <row r="1627" spans="1:16" s="10" customFormat="1">
      <c r="A1627" s="7">
        <f>IF(B1627="","",SUBTOTAL(103,$B$2:B1627))</f>
        <v>1626</v>
      </c>
      <c r="B1627" s="8" t="s">
        <v>4161</v>
      </c>
      <c r="C1627" s="7" t="s">
        <v>4466</v>
      </c>
      <c r="D1627" s="9" t="s">
        <v>4470</v>
      </c>
      <c r="E1627" s="7" t="s">
        <v>4163</v>
      </c>
      <c r="F1627" s="7" t="s">
        <v>4471</v>
      </c>
      <c r="G1627" s="7" t="s">
        <v>4472</v>
      </c>
      <c r="H1627" s="7">
        <v>0.08</v>
      </c>
      <c r="I1627" s="7">
        <v>48</v>
      </c>
      <c r="J1627" s="7">
        <v>800</v>
      </c>
      <c r="K1627" s="7">
        <v>600</v>
      </c>
      <c r="L1627" s="7">
        <v>150</v>
      </c>
      <c r="M1627" s="7">
        <v>30</v>
      </c>
      <c r="N1627" s="7">
        <v>60</v>
      </c>
      <c r="O1627" s="7">
        <v>41</v>
      </c>
      <c r="P1627" s="7">
        <v>140</v>
      </c>
    </row>
    <row r="1628" spans="1:16" s="10" customFormat="1">
      <c r="A1628" s="7">
        <f>IF(B1628="","",SUBTOTAL(103,$B$2:B1628))</f>
        <v>1627</v>
      </c>
      <c r="B1628" s="8" t="s">
        <v>4161</v>
      </c>
      <c r="C1628" s="7" t="s">
        <v>3850</v>
      </c>
      <c r="D1628" s="9" t="s">
        <v>4473</v>
      </c>
      <c r="E1628" s="7" t="s">
        <v>4163</v>
      </c>
      <c r="F1628" s="7" t="s">
        <v>4474</v>
      </c>
      <c r="G1628" s="7" t="s">
        <v>4475</v>
      </c>
      <c r="H1628" s="7">
        <v>2.1000000000000001E-2</v>
      </c>
      <c r="I1628" s="7">
        <v>68</v>
      </c>
      <c r="J1628" s="7">
        <v>800</v>
      </c>
      <c r="K1628" s="7">
        <v>600</v>
      </c>
      <c r="L1628" s="7">
        <v>150</v>
      </c>
      <c r="M1628" s="7">
        <v>30</v>
      </c>
      <c r="N1628" s="7">
        <v>60</v>
      </c>
      <c r="O1628" s="7">
        <v>30</v>
      </c>
      <c r="P1628" s="7">
        <v>125</v>
      </c>
    </row>
    <row r="1629" spans="1:16" s="10" customFormat="1">
      <c r="A1629" s="7">
        <f>IF(B1629="","",SUBTOTAL(103,$B$2:B1629))</f>
        <v>1628</v>
      </c>
      <c r="B1629" s="8" t="s">
        <v>4161</v>
      </c>
      <c r="C1629" s="7" t="s">
        <v>3850</v>
      </c>
      <c r="D1629" s="9" t="s">
        <v>4476</v>
      </c>
      <c r="E1629" s="7" t="s">
        <v>4163</v>
      </c>
      <c r="F1629" s="7" t="s">
        <v>4477</v>
      </c>
      <c r="G1629" s="7" t="s">
        <v>4478</v>
      </c>
      <c r="H1629" s="7">
        <v>2.1000000000000001E-2</v>
      </c>
      <c r="I1629" s="7">
        <v>68</v>
      </c>
      <c r="J1629" s="7">
        <v>800</v>
      </c>
      <c r="K1629" s="7">
        <v>600</v>
      </c>
      <c r="L1629" s="7">
        <v>150</v>
      </c>
      <c r="M1629" s="7">
        <v>30</v>
      </c>
      <c r="N1629" s="7">
        <v>60</v>
      </c>
      <c r="O1629" s="7">
        <v>30</v>
      </c>
      <c r="P1629" s="7">
        <v>125</v>
      </c>
    </row>
    <row r="1630" spans="1:16" s="10" customFormat="1">
      <c r="A1630" s="7">
        <f>IF(B1630="","",SUBTOTAL(103,$B$2:B1630))</f>
        <v>1629</v>
      </c>
      <c r="B1630" s="8" t="s">
        <v>4161</v>
      </c>
      <c r="C1630" s="7" t="s">
        <v>3850</v>
      </c>
      <c r="D1630" s="9" t="s">
        <v>4479</v>
      </c>
      <c r="E1630" s="7" t="s">
        <v>4163</v>
      </c>
      <c r="F1630" s="7" t="s">
        <v>3852</v>
      </c>
      <c r="G1630" s="7" t="s">
        <v>4480</v>
      </c>
      <c r="H1630" s="7">
        <v>2.1000000000000001E-2</v>
      </c>
      <c r="I1630" s="7">
        <v>68</v>
      </c>
      <c r="J1630" s="7">
        <v>800</v>
      </c>
      <c r="K1630" s="7">
        <v>600</v>
      </c>
      <c r="L1630" s="7">
        <v>150</v>
      </c>
      <c r="M1630" s="7">
        <v>30</v>
      </c>
      <c r="N1630" s="7">
        <v>60</v>
      </c>
      <c r="O1630" s="7">
        <v>30</v>
      </c>
      <c r="P1630" s="7">
        <v>125</v>
      </c>
    </row>
    <row r="1631" spans="1:16" s="10" customFormat="1">
      <c r="A1631" s="7">
        <f>IF(B1631="","",SUBTOTAL(103,$B$2:B1631))</f>
        <v>1630</v>
      </c>
      <c r="B1631" s="8" t="s">
        <v>4161</v>
      </c>
      <c r="C1631" s="7" t="s">
        <v>3854</v>
      </c>
      <c r="D1631" s="9" t="s">
        <v>4481</v>
      </c>
      <c r="E1631" s="7" t="s">
        <v>4163</v>
      </c>
      <c r="F1631" s="7" t="s">
        <v>4482</v>
      </c>
      <c r="G1631" s="7" t="s">
        <v>4483</v>
      </c>
      <c r="H1631" s="7">
        <v>2.8000000000000001E-2</v>
      </c>
      <c r="I1631" s="7">
        <v>80</v>
      </c>
      <c r="J1631" s="7">
        <v>800</v>
      </c>
      <c r="K1631" s="7">
        <v>600</v>
      </c>
      <c r="L1631" s="7">
        <v>150</v>
      </c>
      <c r="M1631" s="7">
        <v>30</v>
      </c>
      <c r="N1631" s="7">
        <v>60</v>
      </c>
      <c r="O1631" s="7">
        <v>25</v>
      </c>
      <c r="P1631" s="7">
        <v>115</v>
      </c>
    </row>
    <row r="1632" spans="1:16" s="10" customFormat="1">
      <c r="A1632" s="7">
        <f>IF(B1632="","",SUBTOTAL(103,$B$2:B1632))</f>
        <v>1631</v>
      </c>
      <c r="B1632" s="8" t="s">
        <v>4161</v>
      </c>
      <c r="C1632" s="7" t="s">
        <v>3854</v>
      </c>
      <c r="D1632" s="9" t="s">
        <v>4484</v>
      </c>
      <c r="E1632" s="7" t="s">
        <v>4163</v>
      </c>
      <c r="F1632" s="7" t="s">
        <v>4485</v>
      </c>
      <c r="G1632" s="7" t="s">
        <v>4486</v>
      </c>
      <c r="H1632" s="7">
        <v>2.8000000000000001E-2</v>
      </c>
      <c r="I1632" s="7">
        <v>80</v>
      </c>
      <c r="J1632" s="7">
        <v>800</v>
      </c>
      <c r="K1632" s="7">
        <v>600</v>
      </c>
      <c r="L1632" s="7">
        <v>150</v>
      </c>
      <c r="M1632" s="7">
        <v>30</v>
      </c>
      <c r="N1632" s="7">
        <v>60</v>
      </c>
      <c r="O1632" s="7">
        <v>25</v>
      </c>
      <c r="P1632" s="7">
        <v>115</v>
      </c>
    </row>
    <row r="1633" spans="1:16" s="15" customFormat="1">
      <c r="A1633" s="7">
        <f>IF(B1633="","",SUBTOTAL(103,$B$2:B1633))</f>
        <v>1632</v>
      </c>
      <c r="B1633" s="8" t="s">
        <v>4161</v>
      </c>
      <c r="C1633" s="14" t="s">
        <v>3854</v>
      </c>
      <c r="D1633" s="9" t="s">
        <v>4487</v>
      </c>
      <c r="E1633" s="14" t="s">
        <v>4163</v>
      </c>
      <c r="F1633" s="14" t="s">
        <v>3856</v>
      </c>
      <c r="G1633" s="7" t="s">
        <v>4488</v>
      </c>
      <c r="H1633" s="14">
        <v>2.8000000000000001E-2</v>
      </c>
      <c r="I1633" s="14">
        <v>80</v>
      </c>
      <c r="J1633" s="7">
        <v>800</v>
      </c>
      <c r="K1633" s="7">
        <v>600</v>
      </c>
      <c r="L1633" s="7">
        <v>150</v>
      </c>
      <c r="M1633" s="7">
        <v>30</v>
      </c>
      <c r="N1633" s="7">
        <v>60</v>
      </c>
      <c r="O1633" s="7">
        <v>25</v>
      </c>
      <c r="P1633" s="7">
        <v>115</v>
      </c>
    </row>
    <row r="1634" spans="1:16" s="10" customFormat="1">
      <c r="A1634" s="7">
        <f>IF(B1634="","",SUBTOTAL(103,$B$2:B1634))</f>
        <v>1633</v>
      </c>
      <c r="B1634" s="8" t="s">
        <v>4161</v>
      </c>
      <c r="C1634" s="7" t="s">
        <v>4489</v>
      </c>
      <c r="D1634" s="9" t="s">
        <v>4490</v>
      </c>
      <c r="E1634" s="7" t="s">
        <v>4163</v>
      </c>
      <c r="F1634" s="7" t="s">
        <v>4491</v>
      </c>
      <c r="G1634" s="7" t="s">
        <v>4492</v>
      </c>
      <c r="H1634" s="7">
        <v>1.3149999999999999</v>
      </c>
      <c r="I1634" s="7">
        <v>4</v>
      </c>
      <c r="J1634" s="7">
        <v>800</v>
      </c>
      <c r="K1634" s="7">
        <v>600</v>
      </c>
      <c r="L1634" s="7">
        <v>150</v>
      </c>
      <c r="M1634" s="7">
        <v>30</v>
      </c>
      <c r="N1634" s="7">
        <v>60</v>
      </c>
      <c r="O1634" s="7">
        <v>500</v>
      </c>
      <c r="P1634" s="7">
        <v>600</v>
      </c>
    </row>
    <row r="1635" spans="1:16" s="10" customFormat="1">
      <c r="A1635" s="7">
        <f>IF(B1635="","",SUBTOTAL(103,$B$2:B1635))</f>
        <v>1634</v>
      </c>
      <c r="B1635" s="8" t="s">
        <v>4161</v>
      </c>
      <c r="C1635" s="7" t="s">
        <v>4489</v>
      </c>
      <c r="D1635" s="9" t="s">
        <v>4493</v>
      </c>
      <c r="E1635" s="7" t="s">
        <v>4163</v>
      </c>
      <c r="F1635" s="7" t="s">
        <v>4494</v>
      </c>
      <c r="G1635" s="7" t="s">
        <v>4495</v>
      </c>
      <c r="H1635" s="7">
        <v>1.3149999999999999</v>
      </c>
      <c r="I1635" s="7">
        <v>4</v>
      </c>
      <c r="J1635" s="7">
        <v>800</v>
      </c>
      <c r="K1635" s="7">
        <v>600</v>
      </c>
      <c r="L1635" s="7">
        <v>150</v>
      </c>
      <c r="M1635" s="7">
        <v>30</v>
      </c>
      <c r="N1635" s="7">
        <v>60</v>
      </c>
      <c r="O1635" s="7">
        <v>500</v>
      </c>
      <c r="P1635" s="7">
        <v>600</v>
      </c>
    </row>
    <row r="1636" spans="1:16" s="10" customFormat="1">
      <c r="A1636" s="7">
        <f>IF(B1636="","",SUBTOTAL(103,$B$2:B1636))</f>
        <v>1635</v>
      </c>
      <c r="B1636" s="8" t="s">
        <v>4161</v>
      </c>
      <c r="C1636" s="7" t="s">
        <v>4496</v>
      </c>
      <c r="D1636" s="9" t="s">
        <v>4497</v>
      </c>
      <c r="E1636" s="7" t="s">
        <v>4163</v>
      </c>
      <c r="F1636" s="7" t="s">
        <v>4498</v>
      </c>
      <c r="G1636" s="7" t="s">
        <v>4499</v>
      </c>
      <c r="H1636" s="7">
        <v>2.4430000000000001</v>
      </c>
      <c r="I1636" s="7">
        <v>4</v>
      </c>
      <c r="J1636" s="7">
        <v>800</v>
      </c>
      <c r="K1636" s="7">
        <v>600</v>
      </c>
      <c r="L1636" s="7">
        <v>150</v>
      </c>
      <c r="M1636" s="7">
        <v>30</v>
      </c>
      <c r="N1636" s="7">
        <v>60</v>
      </c>
      <c r="O1636" s="7">
        <v>500</v>
      </c>
      <c r="P1636" s="7">
        <v>600</v>
      </c>
    </row>
    <row r="1637" spans="1:16" s="10" customFormat="1">
      <c r="A1637" s="7">
        <f>IF(B1637="","",SUBTOTAL(103,$B$2:B1637))</f>
        <v>1636</v>
      </c>
      <c r="B1637" s="8" t="s">
        <v>4161</v>
      </c>
      <c r="C1637" s="7" t="s">
        <v>4496</v>
      </c>
      <c r="D1637" s="9" t="s">
        <v>4500</v>
      </c>
      <c r="E1637" s="7" t="s">
        <v>4163</v>
      </c>
      <c r="F1637" s="7" t="s">
        <v>4501</v>
      </c>
      <c r="G1637" s="7" t="s">
        <v>4502</v>
      </c>
      <c r="H1637" s="7">
        <v>2.4430000000000001</v>
      </c>
      <c r="I1637" s="7">
        <v>4</v>
      </c>
      <c r="J1637" s="7">
        <v>800</v>
      </c>
      <c r="K1637" s="7">
        <v>600</v>
      </c>
      <c r="L1637" s="7">
        <v>150</v>
      </c>
      <c r="M1637" s="7">
        <v>30</v>
      </c>
      <c r="N1637" s="7">
        <v>60</v>
      </c>
      <c r="O1637" s="7">
        <v>500</v>
      </c>
      <c r="P1637" s="7">
        <v>600</v>
      </c>
    </row>
    <row r="1638" spans="1:16" s="10" customFormat="1">
      <c r="A1638" s="7">
        <f>IF(B1638="","",SUBTOTAL(103,$B$2:B1638))</f>
        <v>1637</v>
      </c>
      <c r="B1638" s="8" t="s">
        <v>4161</v>
      </c>
      <c r="C1638" s="7" t="s">
        <v>4503</v>
      </c>
      <c r="D1638" s="9" t="s">
        <v>4504</v>
      </c>
      <c r="E1638" s="7" t="s">
        <v>4163</v>
      </c>
      <c r="F1638" s="7" t="s">
        <v>4505</v>
      </c>
      <c r="G1638" s="7" t="s">
        <v>4506</v>
      </c>
      <c r="H1638" s="7">
        <v>2.4430000000000001</v>
      </c>
      <c r="I1638" s="7">
        <v>4</v>
      </c>
      <c r="J1638" s="7">
        <v>800</v>
      </c>
      <c r="K1638" s="7">
        <v>600</v>
      </c>
      <c r="L1638" s="7">
        <v>150</v>
      </c>
      <c r="M1638" s="7">
        <v>30</v>
      </c>
      <c r="N1638" s="7">
        <v>60</v>
      </c>
      <c r="O1638" s="7">
        <v>500</v>
      </c>
      <c r="P1638" s="7">
        <v>600</v>
      </c>
    </row>
    <row r="1639" spans="1:16" s="10" customFormat="1">
      <c r="A1639" s="7">
        <f>IF(B1639="","",SUBTOTAL(103,$B$2:B1639))</f>
        <v>1638</v>
      </c>
      <c r="B1639" s="8" t="s">
        <v>4161</v>
      </c>
      <c r="C1639" s="7" t="s">
        <v>4503</v>
      </c>
      <c r="D1639" s="9" t="s">
        <v>4507</v>
      </c>
      <c r="E1639" s="7" t="s">
        <v>4163</v>
      </c>
      <c r="F1639" s="7" t="s">
        <v>4508</v>
      </c>
      <c r="G1639" s="7" t="s">
        <v>4509</v>
      </c>
      <c r="H1639" s="7">
        <v>2.4430000000000001</v>
      </c>
      <c r="I1639" s="7">
        <v>4</v>
      </c>
      <c r="J1639" s="7">
        <v>800</v>
      </c>
      <c r="K1639" s="7">
        <v>600</v>
      </c>
      <c r="L1639" s="7">
        <v>150</v>
      </c>
      <c r="M1639" s="7">
        <v>30</v>
      </c>
      <c r="N1639" s="7">
        <v>60</v>
      </c>
      <c r="O1639" s="7">
        <v>500</v>
      </c>
      <c r="P1639" s="7">
        <v>600</v>
      </c>
    </row>
    <row r="1640" spans="1:16" s="10" customFormat="1">
      <c r="A1640" s="7">
        <f>IF(B1640="","",SUBTOTAL(103,$B$2:B1640))</f>
        <v>1639</v>
      </c>
      <c r="B1640" s="8" t="s">
        <v>4161</v>
      </c>
      <c r="C1640" s="7" t="s">
        <v>4510</v>
      </c>
      <c r="D1640" s="9" t="s">
        <v>4511</v>
      </c>
      <c r="E1640" s="7" t="s">
        <v>4163</v>
      </c>
      <c r="F1640" s="7" t="s">
        <v>4512</v>
      </c>
      <c r="G1640" s="7" t="s">
        <v>4513</v>
      </c>
      <c r="H1640" s="7">
        <v>2.1469999999999998</v>
      </c>
      <c r="I1640" s="7">
        <v>4</v>
      </c>
      <c r="J1640" s="7">
        <v>800</v>
      </c>
      <c r="K1640" s="7">
        <v>600</v>
      </c>
      <c r="L1640" s="7">
        <v>150</v>
      </c>
      <c r="M1640" s="7">
        <v>30</v>
      </c>
      <c r="N1640" s="7">
        <v>60</v>
      </c>
      <c r="O1640" s="7">
        <v>500</v>
      </c>
      <c r="P1640" s="7">
        <v>600</v>
      </c>
    </row>
    <row r="1641" spans="1:16" s="10" customFormat="1">
      <c r="A1641" s="7">
        <f>IF(B1641="","",SUBTOTAL(103,$B$2:B1641))</f>
        <v>1640</v>
      </c>
      <c r="B1641" s="8" t="s">
        <v>4161</v>
      </c>
      <c r="C1641" s="7" t="s">
        <v>4510</v>
      </c>
      <c r="D1641" s="9" t="s">
        <v>4514</v>
      </c>
      <c r="E1641" s="7" t="s">
        <v>4163</v>
      </c>
      <c r="F1641" s="7" t="s">
        <v>4515</v>
      </c>
      <c r="G1641" s="7" t="s">
        <v>4516</v>
      </c>
      <c r="H1641" s="7">
        <v>2.1469999999999998</v>
      </c>
      <c r="I1641" s="7">
        <v>4</v>
      </c>
      <c r="J1641" s="7">
        <v>800</v>
      </c>
      <c r="K1641" s="7">
        <v>600</v>
      </c>
      <c r="L1641" s="7">
        <v>150</v>
      </c>
      <c r="M1641" s="7">
        <v>30</v>
      </c>
      <c r="N1641" s="7">
        <v>60</v>
      </c>
      <c r="O1641" s="7">
        <v>500</v>
      </c>
      <c r="P1641" s="7">
        <v>600</v>
      </c>
    </row>
    <row r="1642" spans="1:16" s="10" customFormat="1">
      <c r="A1642" s="7">
        <f>IF(B1642="","",SUBTOTAL(103,$B$2:B1642))</f>
        <v>1641</v>
      </c>
      <c r="B1642" s="8" t="s">
        <v>4161</v>
      </c>
      <c r="C1642" s="7" t="s">
        <v>4517</v>
      </c>
      <c r="D1642" s="9" t="s">
        <v>4518</v>
      </c>
      <c r="E1642" s="7" t="s">
        <v>4163</v>
      </c>
      <c r="F1642" s="7" t="s">
        <v>4519</v>
      </c>
      <c r="G1642" s="7" t="s">
        <v>4520</v>
      </c>
      <c r="H1642" s="7">
        <v>2.1709999999999998</v>
      </c>
      <c r="I1642" s="7">
        <v>4</v>
      </c>
      <c r="J1642" s="7">
        <v>800</v>
      </c>
      <c r="K1642" s="7">
        <v>600</v>
      </c>
      <c r="L1642" s="7">
        <v>150</v>
      </c>
      <c r="M1642" s="7">
        <v>30</v>
      </c>
      <c r="N1642" s="7">
        <v>60</v>
      </c>
      <c r="O1642" s="7">
        <v>500</v>
      </c>
      <c r="P1642" s="7">
        <v>600</v>
      </c>
    </row>
    <row r="1643" spans="1:16" s="10" customFormat="1">
      <c r="A1643" s="7">
        <f>IF(B1643="","",SUBTOTAL(103,$B$2:B1643))</f>
        <v>1642</v>
      </c>
      <c r="B1643" s="8" t="s">
        <v>4161</v>
      </c>
      <c r="C1643" s="7" t="s">
        <v>4517</v>
      </c>
      <c r="D1643" s="9" t="s">
        <v>4521</v>
      </c>
      <c r="E1643" s="7" t="s">
        <v>4163</v>
      </c>
      <c r="F1643" s="7" t="s">
        <v>4522</v>
      </c>
      <c r="G1643" s="7" t="s">
        <v>4523</v>
      </c>
      <c r="H1643" s="7">
        <v>2.1709999999999998</v>
      </c>
      <c r="I1643" s="7">
        <v>4</v>
      </c>
      <c r="J1643" s="7">
        <v>800</v>
      </c>
      <c r="K1643" s="7">
        <v>600</v>
      </c>
      <c r="L1643" s="7">
        <v>150</v>
      </c>
      <c r="M1643" s="7">
        <v>30</v>
      </c>
      <c r="N1643" s="7">
        <v>60</v>
      </c>
      <c r="O1643" s="7">
        <v>500</v>
      </c>
      <c r="P1643" s="7">
        <v>600</v>
      </c>
    </row>
    <row r="1644" spans="1:16" s="10" customFormat="1">
      <c r="A1644" s="7">
        <f>IF(B1644="","",SUBTOTAL(103,$B$2:B1644))</f>
        <v>1643</v>
      </c>
      <c r="B1644" s="8" t="s">
        <v>4524</v>
      </c>
      <c r="C1644" s="7" t="s">
        <v>4525</v>
      </c>
      <c r="D1644" s="9" t="s">
        <v>4526</v>
      </c>
      <c r="E1644" s="7" t="s">
        <v>4527</v>
      </c>
      <c r="F1644" s="7" t="s">
        <v>1008</v>
      </c>
      <c r="G1644" s="7" t="s">
        <v>4528</v>
      </c>
      <c r="H1644" s="7">
        <v>0.159</v>
      </c>
      <c r="I1644" s="7">
        <v>24</v>
      </c>
      <c r="J1644" s="7">
        <v>800</v>
      </c>
      <c r="K1644" s="7">
        <v>600</v>
      </c>
      <c r="L1644" s="7">
        <v>150</v>
      </c>
      <c r="M1644" s="7">
        <v>30</v>
      </c>
      <c r="N1644" s="7">
        <v>60</v>
      </c>
      <c r="O1644" s="7">
        <v>75</v>
      </c>
      <c r="P1644" s="7">
        <v>165</v>
      </c>
    </row>
    <row r="1645" spans="1:16" s="10" customFormat="1">
      <c r="A1645" s="7">
        <f>IF(B1645="","",SUBTOTAL(103,$B$2:B1645))</f>
        <v>1644</v>
      </c>
      <c r="B1645" s="8" t="s">
        <v>4524</v>
      </c>
      <c r="C1645" s="7" t="s">
        <v>4525</v>
      </c>
      <c r="D1645" s="9" t="s">
        <v>4529</v>
      </c>
      <c r="E1645" s="7" t="s">
        <v>4527</v>
      </c>
      <c r="F1645" s="7" t="s">
        <v>1011</v>
      </c>
      <c r="G1645" s="7" t="s">
        <v>4530</v>
      </c>
      <c r="H1645" s="7">
        <v>0.159</v>
      </c>
      <c r="I1645" s="7">
        <v>24</v>
      </c>
      <c r="J1645" s="7">
        <v>800</v>
      </c>
      <c r="K1645" s="7">
        <v>600</v>
      </c>
      <c r="L1645" s="7">
        <v>150</v>
      </c>
      <c r="M1645" s="7">
        <v>30</v>
      </c>
      <c r="N1645" s="7">
        <v>60</v>
      </c>
      <c r="O1645" s="7">
        <v>75</v>
      </c>
      <c r="P1645" s="7">
        <v>165</v>
      </c>
    </row>
    <row r="1646" spans="1:16" s="10" customFormat="1">
      <c r="A1646" s="7">
        <f>IF(B1646="","",SUBTOTAL(103,$B$2:B1646))</f>
        <v>1645</v>
      </c>
      <c r="B1646" s="8" t="s">
        <v>4524</v>
      </c>
      <c r="C1646" s="7" t="s">
        <v>4531</v>
      </c>
      <c r="D1646" s="9" t="s">
        <v>4532</v>
      </c>
      <c r="E1646" s="7" t="s">
        <v>4527</v>
      </c>
      <c r="F1646" s="7" t="s">
        <v>1018</v>
      </c>
      <c r="G1646" s="7" t="s">
        <v>4533</v>
      </c>
      <c r="H1646" s="7">
        <v>6.2E-2</v>
      </c>
      <c r="I1646" s="7">
        <v>56</v>
      </c>
      <c r="J1646" s="7">
        <v>800</v>
      </c>
      <c r="K1646" s="7">
        <v>600</v>
      </c>
      <c r="L1646" s="7">
        <v>150</v>
      </c>
      <c r="M1646" s="7">
        <v>30</v>
      </c>
      <c r="N1646" s="7">
        <v>60</v>
      </c>
      <c r="O1646" s="7">
        <v>34</v>
      </c>
      <c r="P1646" s="7">
        <v>145</v>
      </c>
    </row>
    <row r="1647" spans="1:16" s="10" customFormat="1">
      <c r="A1647" s="7">
        <f>IF(B1647="","",SUBTOTAL(103,$B$2:B1647))</f>
        <v>1646</v>
      </c>
      <c r="B1647" s="8" t="s">
        <v>4524</v>
      </c>
      <c r="C1647" s="7" t="s">
        <v>4534</v>
      </c>
      <c r="D1647" s="9" t="s">
        <v>4535</v>
      </c>
      <c r="E1647" s="7" t="s">
        <v>4527</v>
      </c>
      <c r="F1647" s="7" t="s">
        <v>1923</v>
      </c>
      <c r="G1647" s="7" t="s">
        <v>4536</v>
      </c>
      <c r="H1647" s="7">
        <v>0.02</v>
      </c>
      <c r="I1647" s="7">
        <v>82</v>
      </c>
      <c r="J1647" s="7">
        <v>800</v>
      </c>
      <c r="K1647" s="7">
        <v>600</v>
      </c>
      <c r="L1647" s="7">
        <v>150</v>
      </c>
      <c r="M1647" s="7">
        <v>30</v>
      </c>
      <c r="N1647" s="7">
        <v>60</v>
      </c>
      <c r="O1647" s="7">
        <v>30</v>
      </c>
      <c r="P1647" s="7">
        <v>115</v>
      </c>
    </row>
    <row r="1648" spans="1:16" s="10" customFormat="1">
      <c r="A1648" s="7">
        <f>IF(B1648="","",SUBTOTAL(103,$B$2:B1648))</f>
        <v>1647</v>
      </c>
      <c r="B1648" s="8" t="s">
        <v>4524</v>
      </c>
      <c r="C1648" s="7" t="s">
        <v>4537</v>
      </c>
      <c r="D1648" s="9" t="s">
        <v>4538</v>
      </c>
      <c r="E1648" s="7" t="s">
        <v>4527</v>
      </c>
      <c r="F1648" s="7" t="s">
        <v>1029</v>
      </c>
      <c r="G1648" s="7" t="s">
        <v>4539</v>
      </c>
      <c r="H1648" s="7">
        <v>0.34599999999999997</v>
      </c>
      <c r="I1648" s="7">
        <v>12</v>
      </c>
      <c r="J1648" s="7">
        <v>800</v>
      </c>
      <c r="K1648" s="7">
        <v>600</v>
      </c>
      <c r="L1648" s="7">
        <v>150</v>
      </c>
      <c r="M1648" s="7">
        <v>30</v>
      </c>
      <c r="N1648" s="7">
        <v>60</v>
      </c>
      <c r="O1648" s="7">
        <v>150</v>
      </c>
      <c r="P1648" s="7">
        <v>225</v>
      </c>
    </row>
    <row r="1649" spans="1:16" s="10" customFormat="1">
      <c r="A1649" s="7">
        <f>IF(B1649="","",SUBTOTAL(103,$B$2:B1649))</f>
        <v>1648</v>
      </c>
      <c r="B1649" s="8" t="s">
        <v>4524</v>
      </c>
      <c r="C1649" s="7" t="s">
        <v>4540</v>
      </c>
      <c r="D1649" s="9" t="s">
        <v>4541</v>
      </c>
      <c r="E1649" s="7" t="s">
        <v>4527</v>
      </c>
      <c r="F1649" s="7" t="s">
        <v>1757</v>
      </c>
      <c r="G1649" s="7" t="s">
        <v>4542</v>
      </c>
      <c r="H1649" s="7">
        <v>9.5000000000000001E-2</v>
      </c>
      <c r="I1649" s="7">
        <v>32</v>
      </c>
      <c r="J1649" s="7">
        <v>800</v>
      </c>
      <c r="K1649" s="7">
        <v>600</v>
      </c>
      <c r="L1649" s="7">
        <v>150</v>
      </c>
      <c r="M1649" s="7">
        <v>30</v>
      </c>
      <c r="N1649" s="7">
        <v>60</v>
      </c>
      <c r="O1649" s="7">
        <v>54</v>
      </c>
      <c r="P1649" s="7">
        <v>155</v>
      </c>
    </row>
    <row r="1650" spans="1:16" s="10" customFormat="1">
      <c r="A1650" s="7">
        <f>IF(B1650="","",SUBTOTAL(103,$B$2:B1650))</f>
        <v>1649</v>
      </c>
      <c r="B1650" s="8" t="s">
        <v>4524</v>
      </c>
      <c r="C1650" s="7" t="s">
        <v>4540</v>
      </c>
      <c r="D1650" s="9" t="s">
        <v>4543</v>
      </c>
      <c r="E1650" s="7" t="s">
        <v>4527</v>
      </c>
      <c r="F1650" s="7" t="s">
        <v>1052</v>
      </c>
      <c r="G1650" s="7" t="s">
        <v>4544</v>
      </c>
      <c r="H1650" s="7">
        <v>9.5000000000000001E-2</v>
      </c>
      <c r="I1650" s="7">
        <v>32</v>
      </c>
      <c r="J1650" s="7">
        <v>800</v>
      </c>
      <c r="K1650" s="7">
        <v>600</v>
      </c>
      <c r="L1650" s="7">
        <v>150</v>
      </c>
      <c r="M1650" s="7">
        <v>30</v>
      </c>
      <c r="N1650" s="7">
        <v>60</v>
      </c>
      <c r="O1650" s="7">
        <v>54</v>
      </c>
      <c r="P1650" s="7">
        <v>155</v>
      </c>
    </row>
    <row r="1651" spans="1:16" s="10" customFormat="1">
      <c r="A1651" s="7">
        <f>IF(B1651="","",SUBTOTAL(103,$B$2:B1651))</f>
        <v>1650</v>
      </c>
      <c r="B1651" s="8" t="s">
        <v>4545</v>
      </c>
      <c r="C1651" s="7" t="s">
        <v>4546</v>
      </c>
      <c r="D1651" s="9" t="s">
        <v>4547</v>
      </c>
      <c r="E1651" s="7" t="s">
        <v>4548</v>
      </c>
      <c r="F1651" s="7" t="s">
        <v>1066</v>
      </c>
      <c r="G1651" s="7" t="s">
        <v>4549</v>
      </c>
      <c r="H1651" s="7">
        <v>0.14299999999999999</v>
      </c>
      <c r="I1651" s="7">
        <v>30</v>
      </c>
      <c r="J1651" s="7">
        <v>800</v>
      </c>
      <c r="K1651" s="7">
        <v>600</v>
      </c>
      <c r="L1651" s="7">
        <v>150</v>
      </c>
      <c r="M1651" s="7">
        <v>30</v>
      </c>
      <c r="N1651" s="7">
        <v>60</v>
      </c>
      <c r="O1651" s="7">
        <v>65</v>
      </c>
      <c r="P1651" s="7">
        <v>165</v>
      </c>
    </row>
    <row r="1652" spans="1:16" s="10" customFormat="1">
      <c r="A1652" s="7">
        <f>IF(B1652="","",SUBTOTAL(103,$B$2:B1652))</f>
        <v>1651</v>
      </c>
      <c r="B1652" s="8" t="s">
        <v>4545</v>
      </c>
      <c r="C1652" s="7" t="s">
        <v>4546</v>
      </c>
      <c r="D1652" s="9" t="s">
        <v>4550</v>
      </c>
      <c r="E1652" s="7" t="s">
        <v>4548</v>
      </c>
      <c r="F1652" s="7" t="s">
        <v>1069</v>
      </c>
      <c r="G1652" s="7" t="s">
        <v>4551</v>
      </c>
      <c r="H1652" s="7">
        <v>0.14299999999999999</v>
      </c>
      <c r="I1652" s="7">
        <v>30</v>
      </c>
      <c r="J1652" s="7">
        <v>800</v>
      </c>
      <c r="K1652" s="7">
        <v>600</v>
      </c>
      <c r="L1652" s="7">
        <v>150</v>
      </c>
      <c r="M1652" s="7">
        <v>30</v>
      </c>
      <c r="N1652" s="7">
        <v>60</v>
      </c>
      <c r="O1652" s="7">
        <v>65</v>
      </c>
      <c r="P1652" s="7">
        <v>165</v>
      </c>
    </row>
    <row r="1653" spans="1:16" s="10" customFormat="1">
      <c r="A1653" s="7">
        <f>IF(B1653="","",SUBTOTAL(103,$B$2:B1653))</f>
        <v>1652</v>
      </c>
      <c r="B1653" s="8" t="s">
        <v>4545</v>
      </c>
      <c r="C1653" s="7" t="s">
        <v>4552</v>
      </c>
      <c r="D1653" s="9" t="s">
        <v>4553</v>
      </c>
      <c r="E1653" s="7" t="s">
        <v>4548</v>
      </c>
      <c r="F1653" s="7" t="s">
        <v>1073</v>
      </c>
      <c r="G1653" s="7" t="s">
        <v>4554</v>
      </c>
      <c r="H1653" s="7">
        <v>4.4999999999999998E-2</v>
      </c>
      <c r="I1653" s="7">
        <v>60</v>
      </c>
      <c r="J1653" s="7">
        <v>800</v>
      </c>
      <c r="K1653" s="7">
        <v>600</v>
      </c>
      <c r="L1653" s="7">
        <v>150</v>
      </c>
      <c r="M1653" s="7">
        <v>30</v>
      </c>
      <c r="N1653" s="7">
        <v>60</v>
      </c>
      <c r="O1653" s="7">
        <v>45</v>
      </c>
      <c r="P1653" s="7">
        <v>145</v>
      </c>
    </row>
    <row r="1654" spans="1:16" s="10" customFormat="1">
      <c r="A1654" s="7">
        <f>IF(B1654="","",SUBTOTAL(103,$B$2:B1654))</f>
        <v>1653</v>
      </c>
      <c r="B1654" s="8" t="s">
        <v>4545</v>
      </c>
      <c r="C1654" s="7" t="s">
        <v>4552</v>
      </c>
      <c r="D1654" s="9" t="s">
        <v>4555</v>
      </c>
      <c r="E1654" s="7" t="s">
        <v>4548</v>
      </c>
      <c r="F1654" s="7" t="s">
        <v>1076</v>
      </c>
      <c r="G1654" s="7" t="s">
        <v>4556</v>
      </c>
      <c r="H1654" s="7">
        <v>4.7E-2</v>
      </c>
      <c r="I1654" s="7">
        <v>60</v>
      </c>
      <c r="J1654" s="7">
        <v>800</v>
      </c>
      <c r="K1654" s="7">
        <v>600</v>
      </c>
      <c r="L1654" s="7">
        <v>150</v>
      </c>
      <c r="M1654" s="7">
        <v>30</v>
      </c>
      <c r="N1654" s="7">
        <v>60</v>
      </c>
      <c r="O1654" s="7">
        <v>45</v>
      </c>
      <c r="P1654" s="7">
        <v>145</v>
      </c>
    </row>
    <row r="1655" spans="1:16" s="10" customFormat="1">
      <c r="A1655" s="7">
        <f>IF(B1655="","",SUBTOTAL(103,$B$2:B1655))</f>
        <v>1654</v>
      </c>
      <c r="B1655" s="8" t="s">
        <v>4545</v>
      </c>
      <c r="C1655" s="7" t="s">
        <v>4557</v>
      </c>
      <c r="D1655" s="9" t="s">
        <v>4558</v>
      </c>
      <c r="E1655" s="7" t="s">
        <v>4548</v>
      </c>
      <c r="F1655" s="7" t="s">
        <v>998</v>
      </c>
      <c r="G1655" s="7" t="s">
        <v>4559</v>
      </c>
      <c r="H1655" s="7">
        <v>2.8000000000000001E-2</v>
      </c>
      <c r="I1655" s="7">
        <v>68</v>
      </c>
      <c r="J1655" s="7">
        <v>800</v>
      </c>
      <c r="K1655" s="7">
        <v>600</v>
      </c>
      <c r="L1655" s="7">
        <v>150</v>
      </c>
      <c r="M1655" s="7">
        <v>30</v>
      </c>
      <c r="N1655" s="7">
        <v>60</v>
      </c>
      <c r="O1655" s="7">
        <v>30</v>
      </c>
      <c r="P1655" s="7">
        <v>125</v>
      </c>
    </row>
    <row r="1656" spans="1:16" s="10" customFormat="1">
      <c r="A1656" s="7">
        <f>IF(B1656="","",SUBTOTAL(103,$B$2:B1656))</f>
        <v>1655</v>
      </c>
      <c r="B1656" s="8" t="s">
        <v>4545</v>
      </c>
      <c r="C1656" s="7" t="s">
        <v>4557</v>
      </c>
      <c r="D1656" s="9" t="s">
        <v>4560</v>
      </c>
      <c r="E1656" s="7" t="s">
        <v>4548</v>
      </c>
      <c r="F1656" s="7" t="s">
        <v>1081</v>
      </c>
      <c r="G1656" s="7" t="s">
        <v>4561</v>
      </c>
      <c r="H1656" s="7">
        <v>2.8000000000000001E-2</v>
      </c>
      <c r="I1656" s="7">
        <v>68</v>
      </c>
      <c r="J1656" s="7">
        <v>800</v>
      </c>
      <c r="K1656" s="7">
        <v>600</v>
      </c>
      <c r="L1656" s="7">
        <v>150</v>
      </c>
      <c r="M1656" s="7">
        <v>30</v>
      </c>
      <c r="N1656" s="7">
        <v>60</v>
      </c>
      <c r="O1656" s="7">
        <v>30</v>
      </c>
      <c r="P1656" s="7">
        <v>125</v>
      </c>
    </row>
    <row r="1657" spans="1:16" s="10" customFormat="1">
      <c r="A1657" s="7">
        <f>IF(B1657="","",SUBTOTAL(103,$B$2:B1657))</f>
        <v>1656</v>
      </c>
      <c r="B1657" s="8" t="s">
        <v>4545</v>
      </c>
      <c r="C1657" s="7" t="s">
        <v>4562</v>
      </c>
      <c r="D1657" s="9" t="s">
        <v>4563</v>
      </c>
      <c r="E1657" s="7" t="s">
        <v>4548</v>
      </c>
      <c r="F1657" s="7" t="s">
        <v>1085</v>
      </c>
      <c r="G1657" s="7" t="s">
        <v>4564</v>
      </c>
      <c r="H1657" s="7">
        <v>1.9E-2</v>
      </c>
      <c r="I1657" s="7">
        <v>80</v>
      </c>
      <c r="J1657" s="7">
        <v>800</v>
      </c>
      <c r="K1657" s="7">
        <v>600</v>
      </c>
      <c r="L1657" s="7">
        <v>150</v>
      </c>
      <c r="M1657" s="7">
        <v>30</v>
      </c>
      <c r="N1657" s="7">
        <v>60</v>
      </c>
      <c r="O1657" s="7">
        <v>25</v>
      </c>
      <c r="P1657" s="7">
        <v>115</v>
      </c>
    </row>
    <row r="1658" spans="1:16" s="10" customFormat="1">
      <c r="A1658" s="7">
        <f>IF(B1658="","",SUBTOTAL(103,$B$2:B1658))</f>
        <v>1657</v>
      </c>
      <c r="B1658" s="8" t="s">
        <v>4545</v>
      </c>
      <c r="C1658" s="7" t="s">
        <v>4562</v>
      </c>
      <c r="D1658" s="9" t="s">
        <v>4565</v>
      </c>
      <c r="E1658" s="7" t="s">
        <v>4548</v>
      </c>
      <c r="F1658" s="7" t="s">
        <v>1088</v>
      </c>
      <c r="G1658" s="7" t="s">
        <v>4566</v>
      </c>
      <c r="H1658" s="7">
        <v>1.9E-2</v>
      </c>
      <c r="I1658" s="7">
        <v>80</v>
      </c>
      <c r="J1658" s="7">
        <v>800</v>
      </c>
      <c r="K1658" s="7">
        <v>600</v>
      </c>
      <c r="L1658" s="7">
        <v>150</v>
      </c>
      <c r="M1658" s="7">
        <v>30</v>
      </c>
      <c r="N1658" s="7">
        <v>60</v>
      </c>
      <c r="O1658" s="7">
        <v>25</v>
      </c>
      <c r="P1658" s="7">
        <v>115</v>
      </c>
    </row>
    <row r="1659" spans="1:16" s="10" customFormat="1">
      <c r="A1659" s="7">
        <f>IF(B1659="","",SUBTOTAL(103,$B$2:B1659))</f>
        <v>1658</v>
      </c>
      <c r="B1659" s="8" t="s">
        <v>4545</v>
      </c>
      <c r="C1659" s="7" t="s">
        <v>4567</v>
      </c>
      <c r="D1659" s="9" t="s">
        <v>4568</v>
      </c>
      <c r="E1659" s="7" t="s">
        <v>4548</v>
      </c>
      <c r="F1659" s="7" t="s">
        <v>1092</v>
      </c>
      <c r="G1659" s="7" t="s">
        <v>4569</v>
      </c>
      <c r="H1659" s="7">
        <v>0.28699999999999998</v>
      </c>
      <c r="I1659" s="7">
        <v>12</v>
      </c>
      <c r="J1659" s="7">
        <v>800</v>
      </c>
      <c r="K1659" s="7">
        <v>600</v>
      </c>
      <c r="L1659" s="7">
        <v>150</v>
      </c>
      <c r="M1659" s="7">
        <v>30</v>
      </c>
      <c r="N1659" s="7">
        <v>60</v>
      </c>
      <c r="O1659" s="7">
        <v>150</v>
      </c>
      <c r="P1659" s="7">
        <v>225</v>
      </c>
    </row>
    <row r="1660" spans="1:16" s="10" customFormat="1">
      <c r="A1660" s="7">
        <f>IF(B1660="","",SUBTOTAL(103,$B$2:B1660))</f>
        <v>1659</v>
      </c>
      <c r="B1660" s="8" t="s">
        <v>4545</v>
      </c>
      <c r="C1660" s="7" t="s">
        <v>4567</v>
      </c>
      <c r="D1660" s="9" t="s">
        <v>4570</v>
      </c>
      <c r="E1660" s="7" t="s">
        <v>4548</v>
      </c>
      <c r="F1660" s="7" t="s">
        <v>1095</v>
      </c>
      <c r="G1660" s="7" t="s">
        <v>4571</v>
      </c>
      <c r="H1660" s="7">
        <v>0.28699999999999998</v>
      </c>
      <c r="I1660" s="7">
        <v>12</v>
      </c>
      <c r="J1660" s="7">
        <v>800</v>
      </c>
      <c r="K1660" s="7">
        <v>600</v>
      </c>
      <c r="L1660" s="7">
        <v>150</v>
      </c>
      <c r="M1660" s="7">
        <v>30</v>
      </c>
      <c r="N1660" s="7">
        <v>60</v>
      </c>
      <c r="O1660" s="7">
        <v>150</v>
      </c>
      <c r="P1660" s="7">
        <v>225</v>
      </c>
    </row>
    <row r="1661" spans="1:16" s="10" customFormat="1">
      <c r="A1661" s="7">
        <f>IF(B1661="","",SUBTOTAL(103,$B$2:B1661))</f>
        <v>1660</v>
      </c>
      <c r="B1661" s="8" t="s">
        <v>4545</v>
      </c>
      <c r="C1661" s="7" t="s">
        <v>4572</v>
      </c>
      <c r="D1661" s="9" t="s">
        <v>4573</v>
      </c>
      <c r="E1661" s="7" t="s">
        <v>4548</v>
      </c>
      <c r="F1661" s="7" t="s">
        <v>1099</v>
      </c>
      <c r="G1661" s="7" t="s">
        <v>4574</v>
      </c>
      <c r="H1661" s="7">
        <v>0.23899999999999999</v>
      </c>
      <c r="I1661" s="7">
        <v>24</v>
      </c>
      <c r="J1661" s="7">
        <v>800</v>
      </c>
      <c r="K1661" s="7">
        <v>600</v>
      </c>
      <c r="L1661" s="7">
        <v>150</v>
      </c>
      <c r="M1661" s="7">
        <v>30</v>
      </c>
      <c r="N1661" s="7">
        <v>60</v>
      </c>
      <c r="O1661" s="7">
        <v>75</v>
      </c>
      <c r="P1661" s="7">
        <v>200</v>
      </c>
    </row>
    <row r="1662" spans="1:16" s="10" customFormat="1">
      <c r="A1662" s="7">
        <f>IF(B1662="","",SUBTOTAL(103,$B$2:B1662))</f>
        <v>1661</v>
      </c>
      <c r="B1662" s="8" t="s">
        <v>4545</v>
      </c>
      <c r="C1662" s="7" t="s">
        <v>4572</v>
      </c>
      <c r="D1662" s="9" t="s">
        <v>4575</v>
      </c>
      <c r="E1662" s="7" t="s">
        <v>4548</v>
      </c>
      <c r="F1662" s="7" t="s">
        <v>1102</v>
      </c>
      <c r="G1662" s="7" t="s">
        <v>4576</v>
      </c>
      <c r="H1662" s="7">
        <v>0.23899999999999999</v>
      </c>
      <c r="I1662" s="7">
        <v>24</v>
      </c>
      <c r="J1662" s="7">
        <v>800</v>
      </c>
      <c r="K1662" s="7">
        <v>600</v>
      </c>
      <c r="L1662" s="7">
        <v>150</v>
      </c>
      <c r="M1662" s="7">
        <v>30</v>
      </c>
      <c r="N1662" s="7">
        <v>60</v>
      </c>
      <c r="O1662" s="7">
        <v>75</v>
      </c>
      <c r="P1662" s="7">
        <v>200</v>
      </c>
    </row>
    <row r="1663" spans="1:16" s="10" customFormat="1">
      <c r="A1663" s="7">
        <f>IF(B1663="","",SUBTOTAL(103,$B$2:B1663))</f>
        <v>1662</v>
      </c>
      <c r="B1663" s="8" t="s">
        <v>4545</v>
      </c>
      <c r="C1663" s="7" t="s">
        <v>4577</v>
      </c>
      <c r="D1663" s="9" t="s">
        <v>4578</v>
      </c>
      <c r="E1663" s="7" t="s">
        <v>4548</v>
      </c>
      <c r="F1663" s="7" t="s">
        <v>1106</v>
      </c>
      <c r="G1663" s="7" t="s">
        <v>4579</v>
      </c>
      <c r="H1663" s="7">
        <v>0.43099999999999999</v>
      </c>
      <c r="I1663" s="7">
        <v>12</v>
      </c>
      <c r="J1663" s="7">
        <v>800</v>
      </c>
      <c r="K1663" s="7">
        <v>600</v>
      </c>
      <c r="L1663" s="7">
        <v>150</v>
      </c>
      <c r="M1663" s="7">
        <v>30</v>
      </c>
      <c r="N1663" s="7">
        <v>60</v>
      </c>
      <c r="O1663" s="7">
        <v>150</v>
      </c>
      <c r="P1663" s="7">
        <v>500</v>
      </c>
    </row>
    <row r="1664" spans="1:16" s="10" customFormat="1">
      <c r="A1664" s="7">
        <f>IF(B1664="","",SUBTOTAL(103,$B$2:B1664))</f>
        <v>1663</v>
      </c>
      <c r="B1664" s="8" t="s">
        <v>4545</v>
      </c>
      <c r="C1664" s="7" t="s">
        <v>4577</v>
      </c>
      <c r="D1664" s="9" t="s">
        <v>4580</v>
      </c>
      <c r="E1664" s="7" t="s">
        <v>4548</v>
      </c>
      <c r="F1664" s="7" t="s">
        <v>1109</v>
      </c>
      <c r="G1664" s="7" t="s">
        <v>4581</v>
      </c>
      <c r="H1664" s="7">
        <v>0.43099999999999999</v>
      </c>
      <c r="I1664" s="7">
        <v>12</v>
      </c>
      <c r="J1664" s="7">
        <v>800</v>
      </c>
      <c r="K1664" s="7">
        <v>600</v>
      </c>
      <c r="L1664" s="7">
        <v>150</v>
      </c>
      <c r="M1664" s="7">
        <v>30</v>
      </c>
      <c r="N1664" s="7">
        <v>60</v>
      </c>
      <c r="O1664" s="7">
        <v>150</v>
      </c>
      <c r="P1664" s="7">
        <v>500</v>
      </c>
    </row>
    <row r="1665" spans="1:16" s="10" customFormat="1">
      <c r="A1665" s="7">
        <f>IF(B1665="","",SUBTOTAL(103,$B$2:B1665))</f>
        <v>1664</v>
      </c>
      <c r="B1665" s="8" t="s">
        <v>4545</v>
      </c>
      <c r="C1665" s="7" t="s">
        <v>4582</v>
      </c>
      <c r="D1665" s="9" t="s">
        <v>4583</v>
      </c>
      <c r="E1665" s="7" t="s">
        <v>4548</v>
      </c>
      <c r="F1665" s="7" t="s">
        <v>1113</v>
      </c>
      <c r="G1665" s="7" t="s">
        <v>4584</v>
      </c>
      <c r="H1665" s="7">
        <v>0.93500000000000005</v>
      </c>
      <c r="I1665" s="7">
        <v>6</v>
      </c>
      <c r="J1665" s="7">
        <v>800</v>
      </c>
      <c r="K1665" s="7">
        <v>600</v>
      </c>
      <c r="L1665" s="7">
        <v>150</v>
      </c>
      <c r="M1665" s="7">
        <v>30</v>
      </c>
      <c r="N1665" s="7">
        <v>60</v>
      </c>
      <c r="O1665" s="7">
        <v>310</v>
      </c>
      <c r="P1665" s="7">
        <v>350</v>
      </c>
    </row>
    <row r="1666" spans="1:16" s="10" customFormat="1">
      <c r="A1666" s="7">
        <f>IF(B1666="","",SUBTOTAL(103,$B$2:B1666))</f>
        <v>1665</v>
      </c>
      <c r="B1666" s="8" t="s">
        <v>4545</v>
      </c>
      <c r="C1666" s="7" t="s">
        <v>4582</v>
      </c>
      <c r="D1666" s="9" t="s">
        <v>4585</v>
      </c>
      <c r="E1666" s="7" t="s">
        <v>4548</v>
      </c>
      <c r="F1666" s="7" t="s">
        <v>1116</v>
      </c>
      <c r="G1666" s="7" t="s">
        <v>4586</v>
      </c>
      <c r="H1666" s="7">
        <v>0.93</v>
      </c>
      <c r="I1666" s="7">
        <v>6</v>
      </c>
      <c r="J1666" s="7">
        <v>800</v>
      </c>
      <c r="K1666" s="7">
        <v>600</v>
      </c>
      <c r="L1666" s="7">
        <v>150</v>
      </c>
      <c r="M1666" s="7">
        <v>30</v>
      </c>
      <c r="N1666" s="7">
        <v>60</v>
      </c>
      <c r="O1666" s="7">
        <v>310</v>
      </c>
      <c r="P1666" s="7">
        <v>350</v>
      </c>
    </row>
    <row r="1667" spans="1:16" s="10" customFormat="1">
      <c r="A1667" s="7">
        <f>IF(B1667="","",SUBTOTAL(103,$B$2:B1667))</f>
        <v>1666</v>
      </c>
      <c r="B1667" s="8" t="s">
        <v>4545</v>
      </c>
      <c r="C1667" s="7" t="s">
        <v>4587</v>
      </c>
      <c r="D1667" s="9" t="s">
        <v>4588</v>
      </c>
      <c r="E1667" s="7" t="s">
        <v>4548</v>
      </c>
      <c r="F1667" s="7" t="s">
        <v>1120</v>
      </c>
      <c r="G1667" s="7" t="s">
        <v>4589</v>
      </c>
      <c r="H1667" s="7">
        <v>1.542</v>
      </c>
      <c r="I1667" s="7">
        <v>4</v>
      </c>
      <c r="J1667" s="7">
        <v>800</v>
      </c>
      <c r="K1667" s="7">
        <v>600</v>
      </c>
      <c r="L1667" s="7">
        <v>150</v>
      </c>
      <c r="M1667" s="7">
        <v>30</v>
      </c>
      <c r="N1667" s="7">
        <v>60</v>
      </c>
      <c r="O1667" s="7">
        <v>500</v>
      </c>
      <c r="P1667" s="7">
        <v>600</v>
      </c>
    </row>
    <row r="1668" spans="1:16" s="10" customFormat="1">
      <c r="A1668" s="7">
        <f>IF(B1668="","",SUBTOTAL(103,$B$2:B1668))</f>
        <v>1667</v>
      </c>
      <c r="B1668" s="8" t="s">
        <v>4545</v>
      </c>
      <c r="C1668" s="7" t="s">
        <v>4587</v>
      </c>
      <c r="D1668" s="9" t="s">
        <v>4590</v>
      </c>
      <c r="E1668" s="7" t="s">
        <v>4548</v>
      </c>
      <c r="F1668" s="7" t="s">
        <v>1123</v>
      </c>
      <c r="G1668" s="7" t="s">
        <v>4591</v>
      </c>
      <c r="H1668" s="7">
        <v>1.542</v>
      </c>
      <c r="I1668" s="7">
        <v>4</v>
      </c>
      <c r="J1668" s="7">
        <v>800</v>
      </c>
      <c r="K1668" s="7">
        <v>600</v>
      </c>
      <c r="L1668" s="7">
        <v>150</v>
      </c>
      <c r="M1668" s="7">
        <v>30</v>
      </c>
      <c r="N1668" s="7">
        <v>60</v>
      </c>
      <c r="O1668" s="7">
        <v>500</v>
      </c>
      <c r="P1668" s="7">
        <v>600</v>
      </c>
    </row>
    <row r="1669" spans="1:16" s="10" customFormat="1">
      <c r="A1669" s="7">
        <f>IF(B1669="","",SUBTOTAL(103,$B$2:B1669))</f>
        <v>1668</v>
      </c>
      <c r="B1669" s="8" t="s">
        <v>4545</v>
      </c>
      <c r="C1669" s="7" t="s">
        <v>4592</v>
      </c>
      <c r="D1669" s="9" t="s">
        <v>4593</v>
      </c>
      <c r="E1669" s="7" t="s">
        <v>4548</v>
      </c>
      <c r="F1669" s="7" t="s">
        <v>1127</v>
      </c>
      <c r="G1669" s="7" t="s">
        <v>4594</v>
      </c>
      <c r="H1669" s="7">
        <v>8.5000000000000006E-2</v>
      </c>
      <c r="I1669" s="7">
        <v>32</v>
      </c>
      <c r="J1669" s="7">
        <v>800</v>
      </c>
      <c r="K1669" s="7">
        <v>600</v>
      </c>
      <c r="L1669" s="7">
        <v>150</v>
      </c>
      <c r="M1669" s="7">
        <v>30</v>
      </c>
      <c r="N1669" s="7">
        <v>60</v>
      </c>
      <c r="O1669" s="7">
        <v>54</v>
      </c>
      <c r="P1669" s="7">
        <v>155</v>
      </c>
    </row>
    <row r="1670" spans="1:16" s="10" customFormat="1">
      <c r="A1670" s="7">
        <f>IF(B1670="","",SUBTOTAL(103,$B$2:B1670))</f>
        <v>1669</v>
      </c>
      <c r="B1670" s="8" t="s">
        <v>4545</v>
      </c>
      <c r="C1670" s="7" t="s">
        <v>4592</v>
      </c>
      <c r="D1670" s="9" t="s">
        <v>4595</v>
      </c>
      <c r="E1670" s="7" t="s">
        <v>4548</v>
      </c>
      <c r="F1670" s="7" t="s">
        <v>1130</v>
      </c>
      <c r="G1670" s="7" t="s">
        <v>4596</v>
      </c>
      <c r="H1670" s="7">
        <v>8.5000000000000006E-2</v>
      </c>
      <c r="I1670" s="7">
        <v>32</v>
      </c>
      <c r="J1670" s="7">
        <v>800</v>
      </c>
      <c r="K1670" s="7">
        <v>600</v>
      </c>
      <c r="L1670" s="7">
        <v>150</v>
      </c>
      <c r="M1670" s="7">
        <v>30</v>
      </c>
      <c r="N1670" s="7">
        <v>60</v>
      </c>
      <c r="O1670" s="7">
        <v>54</v>
      </c>
      <c r="P1670" s="7">
        <v>155</v>
      </c>
    </row>
    <row r="1671" spans="1:16" s="10" customFormat="1">
      <c r="A1671" s="7">
        <f>IF(B1671="","",SUBTOTAL(103,$B$2:B1671))</f>
        <v>1670</v>
      </c>
      <c r="B1671" s="8" t="s">
        <v>4545</v>
      </c>
      <c r="C1671" s="7" t="s">
        <v>4597</v>
      </c>
      <c r="D1671" s="9" t="s">
        <v>4598</v>
      </c>
      <c r="E1671" s="7" t="s">
        <v>4548</v>
      </c>
      <c r="F1671" s="7" t="s">
        <v>1002</v>
      </c>
      <c r="G1671" s="7" t="s">
        <v>4599</v>
      </c>
      <c r="H1671" s="7">
        <v>3.7999999999999999E-2</v>
      </c>
      <c r="I1671" s="7">
        <v>68</v>
      </c>
      <c r="J1671" s="7">
        <v>800</v>
      </c>
      <c r="K1671" s="7">
        <v>600</v>
      </c>
      <c r="L1671" s="7">
        <v>150</v>
      </c>
      <c r="M1671" s="7">
        <v>30</v>
      </c>
      <c r="N1671" s="7">
        <v>60</v>
      </c>
      <c r="O1671" s="7">
        <v>30</v>
      </c>
      <c r="P1671" s="7">
        <v>135</v>
      </c>
    </row>
    <row r="1672" spans="1:16" s="10" customFormat="1">
      <c r="A1672" s="7">
        <f>IF(B1672="","",SUBTOTAL(103,$B$2:B1672))</f>
        <v>1671</v>
      </c>
      <c r="B1672" s="8" t="s">
        <v>4545</v>
      </c>
      <c r="C1672" s="7" t="s">
        <v>4597</v>
      </c>
      <c r="D1672" s="9" t="s">
        <v>4600</v>
      </c>
      <c r="E1672" s="7" t="s">
        <v>4548</v>
      </c>
      <c r="F1672" s="7" t="s">
        <v>1135</v>
      </c>
      <c r="G1672" s="7" t="s">
        <v>4601</v>
      </c>
      <c r="H1672" s="7">
        <v>3.7999999999999999E-2</v>
      </c>
      <c r="I1672" s="7">
        <v>68</v>
      </c>
      <c r="J1672" s="7">
        <v>800</v>
      </c>
      <c r="K1672" s="7">
        <v>600</v>
      </c>
      <c r="L1672" s="7">
        <v>150</v>
      </c>
      <c r="M1672" s="7">
        <v>30</v>
      </c>
      <c r="N1672" s="7">
        <v>60</v>
      </c>
      <c r="O1672" s="7">
        <v>30</v>
      </c>
      <c r="P1672" s="7">
        <v>135</v>
      </c>
    </row>
    <row r="1673" spans="1:16" s="10" customFormat="1">
      <c r="A1673" s="7">
        <f>IF(B1673="","",SUBTOTAL(103,$B$2:B1673))</f>
        <v>1672</v>
      </c>
      <c r="B1673" s="8" t="s">
        <v>4545</v>
      </c>
      <c r="C1673" s="7" t="s">
        <v>4602</v>
      </c>
      <c r="D1673" s="9" t="s">
        <v>4603</v>
      </c>
      <c r="E1673" s="7" t="s">
        <v>4548</v>
      </c>
      <c r="F1673" s="7" t="s">
        <v>1139</v>
      </c>
      <c r="G1673" s="7" t="s">
        <v>4604</v>
      </c>
      <c r="H1673" s="7">
        <v>2.1970000000000001</v>
      </c>
      <c r="I1673" s="7">
        <v>2</v>
      </c>
      <c r="J1673" s="7">
        <v>800</v>
      </c>
      <c r="K1673" s="7">
        <v>600</v>
      </c>
      <c r="L1673" s="7">
        <v>150</v>
      </c>
      <c r="M1673" s="7">
        <v>30</v>
      </c>
      <c r="N1673" s="7">
        <v>60</v>
      </c>
      <c r="O1673" s="7">
        <v>1000</v>
      </c>
      <c r="P1673" s="7">
        <v>1100</v>
      </c>
    </row>
    <row r="1674" spans="1:16" s="10" customFormat="1">
      <c r="A1674" s="7">
        <f>IF(B1674="","",SUBTOTAL(103,$B$2:B1674))</f>
        <v>1673</v>
      </c>
      <c r="B1674" s="8" t="s">
        <v>4545</v>
      </c>
      <c r="C1674" s="7" t="s">
        <v>4602</v>
      </c>
      <c r="D1674" s="9" t="s">
        <v>4605</v>
      </c>
      <c r="E1674" s="7" t="s">
        <v>4548</v>
      </c>
      <c r="F1674" s="7" t="s">
        <v>1142</v>
      </c>
      <c r="G1674" s="7" t="s">
        <v>4606</v>
      </c>
      <c r="H1674" s="7">
        <v>2.1970000000000001</v>
      </c>
      <c r="I1674" s="7">
        <v>2</v>
      </c>
      <c r="J1674" s="7">
        <v>800</v>
      </c>
      <c r="K1674" s="7">
        <v>600</v>
      </c>
      <c r="L1674" s="7">
        <v>150</v>
      </c>
      <c r="M1674" s="7">
        <v>30</v>
      </c>
      <c r="N1674" s="7">
        <v>60</v>
      </c>
      <c r="O1674" s="7">
        <v>1000</v>
      </c>
      <c r="P1674" s="7">
        <v>1100</v>
      </c>
    </row>
    <row r="1675" spans="1:16" s="10" customFormat="1">
      <c r="A1675" s="7">
        <f>IF(B1675="","",SUBTOTAL(103,$B$2:B1675))</f>
        <v>1674</v>
      </c>
      <c r="B1675" s="8" t="s">
        <v>4607</v>
      </c>
      <c r="C1675" s="7" t="s">
        <v>4525</v>
      </c>
      <c r="D1675" s="9" t="s">
        <v>4608</v>
      </c>
      <c r="E1675" s="7" t="s">
        <v>4609</v>
      </c>
      <c r="F1675" s="7" t="s">
        <v>1008</v>
      </c>
      <c r="G1675" s="7" t="s">
        <v>4610</v>
      </c>
      <c r="H1675" s="7">
        <v>0.159</v>
      </c>
      <c r="I1675" s="7">
        <v>24</v>
      </c>
      <c r="J1675" s="7">
        <v>800</v>
      </c>
      <c r="K1675" s="7">
        <v>600</v>
      </c>
      <c r="L1675" s="7">
        <v>150</v>
      </c>
      <c r="M1675" s="7">
        <v>30</v>
      </c>
      <c r="N1675" s="7">
        <v>60</v>
      </c>
      <c r="O1675" s="7">
        <v>75</v>
      </c>
      <c r="P1675" s="7">
        <v>165</v>
      </c>
    </row>
    <row r="1676" spans="1:16" s="10" customFormat="1">
      <c r="A1676" s="7">
        <f>IF(B1676="","",SUBTOTAL(103,$B$2:B1676))</f>
        <v>1675</v>
      </c>
      <c r="B1676" s="8" t="s">
        <v>4607</v>
      </c>
      <c r="C1676" s="7" t="s">
        <v>4525</v>
      </c>
      <c r="D1676" s="9" t="s">
        <v>4611</v>
      </c>
      <c r="E1676" s="7" t="s">
        <v>4609</v>
      </c>
      <c r="F1676" s="7" t="s">
        <v>1011</v>
      </c>
      <c r="G1676" s="7" t="s">
        <v>4612</v>
      </c>
      <c r="H1676" s="7">
        <v>0.159</v>
      </c>
      <c r="I1676" s="7">
        <v>24</v>
      </c>
      <c r="J1676" s="7">
        <v>800</v>
      </c>
      <c r="K1676" s="7">
        <v>600</v>
      </c>
      <c r="L1676" s="7">
        <v>150</v>
      </c>
      <c r="M1676" s="7">
        <v>30</v>
      </c>
      <c r="N1676" s="7">
        <v>60</v>
      </c>
      <c r="O1676" s="7">
        <v>75</v>
      </c>
      <c r="P1676" s="7">
        <v>165</v>
      </c>
    </row>
    <row r="1677" spans="1:16" s="10" customFormat="1">
      <c r="A1677" s="7">
        <f>IF(B1677="","",SUBTOTAL(103,$B$2:B1677))</f>
        <v>1676</v>
      </c>
      <c r="B1677" s="8" t="s">
        <v>4607</v>
      </c>
      <c r="C1677" s="7" t="s">
        <v>4531</v>
      </c>
      <c r="D1677" s="9" t="s">
        <v>4613</v>
      </c>
      <c r="E1677" s="7" t="s">
        <v>4609</v>
      </c>
      <c r="F1677" s="7" t="s">
        <v>1015</v>
      </c>
      <c r="G1677" s="7" t="s">
        <v>4614</v>
      </c>
      <c r="H1677" s="7">
        <v>6.2E-2</v>
      </c>
      <c r="I1677" s="7">
        <v>56</v>
      </c>
      <c r="J1677" s="7">
        <v>800</v>
      </c>
      <c r="K1677" s="7">
        <v>600</v>
      </c>
      <c r="L1677" s="7">
        <v>150</v>
      </c>
      <c r="M1677" s="7">
        <v>30</v>
      </c>
      <c r="N1677" s="7">
        <v>60</v>
      </c>
      <c r="O1677" s="7">
        <v>34</v>
      </c>
      <c r="P1677" s="7">
        <v>145</v>
      </c>
    </row>
    <row r="1678" spans="1:16" s="10" customFormat="1">
      <c r="A1678" s="7">
        <f>IF(B1678="","",SUBTOTAL(103,$B$2:B1678))</f>
        <v>1677</v>
      </c>
      <c r="B1678" s="8" t="s">
        <v>4607</v>
      </c>
      <c r="C1678" s="7" t="s">
        <v>4531</v>
      </c>
      <c r="D1678" s="9" t="s">
        <v>4615</v>
      </c>
      <c r="E1678" s="7" t="s">
        <v>4609</v>
      </c>
      <c r="F1678" s="7" t="s">
        <v>1018</v>
      </c>
      <c r="G1678" s="7" t="s">
        <v>4616</v>
      </c>
      <c r="H1678" s="7">
        <v>6.2E-2</v>
      </c>
      <c r="I1678" s="7">
        <v>56</v>
      </c>
      <c r="J1678" s="7">
        <v>800</v>
      </c>
      <c r="K1678" s="7">
        <v>600</v>
      </c>
      <c r="L1678" s="7">
        <v>150</v>
      </c>
      <c r="M1678" s="7">
        <v>30</v>
      </c>
      <c r="N1678" s="7">
        <v>60</v>
      </c>
      <c r="O1678" s="7">
        <v>34</v>
      </c>
      <c r="P1678" s="7">
        <v>145</v>
      </c>
    </row>
    <row r="1679" spans="1:16" s="10" customFormat="1">
      <c r="A1679" s="7">
        <f>IF(B1679="","",SUBTOTAL(103,$B$2:B1679))</f>
        <v>1678</v>
      </c>
      <c r="B1679" s="8" t="s">
        <v>4607</v>
      </c>
      <c r="C1679" s="7" t="s">
        <v>4617</v>
      </c>
      <c r="D1679" s="9" t="s">
        <v>4618</v>
      </c>
      <c r="E1679" s="7" t="s">
        <v>4609</v>
      </c>
      <c r="F1679" s="7" t="s">
        <v>1732</v>
      </c>
      <c r="G1679" s="7" t="s">
        <v>4619</v>
      </c>
      <c r="H1679" s="7">
        <v>2.4E-2</v>
      </c>
      <c r="I1679" s="7">
        <v>80</v>
      </c>
      <c r="J1679" s="7">
        <v>800</v>
      </c>
      <c r="K1679" s="7">
        <v>600</v>
      </c>
      <c r="L1679" s="7">
        <v>150</v>
      </c>
      <c r="M1679" s="7">
        <v>30</v>
      </c>
      <c r="N1679" s="7">
        <v>60</v>
      </c>
      <c r="O1679" s="7">
        <v>25</v>
      </c>
      <c r="P1679" s="7">
        <v>125</v>
      </c>
    </row>
    <row r="1680" spans="1:16" s="10" customFormat="1">
      <c r="A1680" s="7">
        <f>IF(B1680="","",SUBTOTAL(103,$B$2:B1680))</f>
        <v>1679</v>
      </c>
      <c r="B1680" s="8" t="s">
        <v>4607</v>
      </c>
      <c r="C1680" s="7" t="s">
        <v>4617</v>
      </c>
      <c r="D1680" s="9" t="s">
        <v>4620</v>
      </c>
      <c r="E1680" s="7" t="s">
        <v>4609</v>
      </c>
      <c r="F1680" s="7" t="s">
        <v>1022</v>
      </c>
      <c r="G1680" s="7" t="s">
        <v>4621</v>
      </c>
      <c r="H1680" s="7">
        <v>2.4E-2</v>
      </c>
      <c r="I1680" s="7">
        <v>80</v>
      </c>
      <c r="J1680" s="7">
        <v>800</v>
      </c>
      <c r="K1680" s="7">
        <v>600</v>
      </c>
      <c r="L1680" s="7">
        <v>150</v>
      </c>
      <c r="M1680" s="7">
        <v>30</v>
      </c>
      <c r="N1680" s="7">
        <v>60</v>
      </c>
      <c r="O1680" s="7">
        <v>25</v>
      </c>
      <c r="P1680" s="7">
        <v>125</v>
      </c>
    </row>
    <row r="1681" spans="1:16" s="10" customFormat="1">
      <c r="A1681" s="7">
        <f>IF(B1681="","",SUBTOTAL(103,$B$2:B1681))</f>
        <v>1680</v>
      </c>
      <c r="B1681" s="8" t="s">
        <v>4607</v>
      </c>
      <c r="C1681" s="7" t="s">
        <v>4534</v>
      </c>
      <c r="D1681" s="9" t="s">
        <v>4622</v>
      </c>
      <c r="E1681" s="7" t="s">
        <v>4609</v>
      </c>
      <c r="F1681" s="7" t="s">
        <v>1923</v>
      </c>
      <c r="G1681" s="7" t="s">
        <v>4623</v>
      </c>
      <c r="H1681" s="7">
        <v>0.02</v>
      </c>
      <c r="I1681" s="7">
        <v>82</v>
      </c>
      <c r="J1681" s="7">
        <v>800</v>
      </c>
      <c r="K1681" s="7">
        <v>600</v>
      </c>
      <c r="L1681" s="7">
        <v>150</v>
      </c>
      <c r="M1681" s="7">
        <v>30</v>
      </c>
      <c r="N1681" s="7">
        <v>60</v>
      </c>
      <c r="O1681" s="7">
        <v>30</v>
      </c>
      <c r="P1681" s="7">
        <v>115</v>
      </c>
    </row>
    <row r="1682" spans="1:16" s="10" customFormat="1">
      <c r="A1682" s="7">
        <f>IF(B1682="","",SUBTOTAL(103,$B$2:B1682))</f>
        <v>1681</v>
      </c>
      <c r="B1682" s="8" t="s">
        <v>4607</v>
      </c>
      <c r="C1682" s="7" t="s">
        <v>4534</v>
      </c>
      <c r="D1682" s="9" t="s">
        <v>4624</v>
      </c>
      <c r="E1682" s="7" t="s">
        <v>4609</v>
      </c>
      <c r="F1682" s="7" t="s">
        <v>1738</v>
      </c>
      <c r="G1682" s="7" t="s">
        <v>4625</v>
      </c>
      <c r="H1682" s="7">
        <v>0.02</v>
      </c>
      <c r="I1682" s="7">
        <v>82</v>
      </c>
      <c r="J1682" s="7">
        <v>800</v>
      </c>
      <c r="K1682" s="7">
        <v>600</v>
      </c>
      <c r="L1682" s="7">
        <v>150</v>
      </c>
      <c r="M1682" s="7">
        <v>30</v>
      </c>
      <c r="N1682" s="7">
        <v>60</v>
      </c>
      <c r="O1682" s="7">
        <v>30</v>
      </c>
      <c r="P1682" s="7">
        <v>115</v>
      </c>
    </row>
    <row r="1683" spans="1:16" s="10" customFormat="1">
      <c r="A1683" s="7">
        <f>IF(B1683="","",SUBTOTAL(103,$B$2:B1683))</f>
        <v>1682</v>
      </c>
      <c r="B1683" s="8" t="s">
        <v>4607</v>
      </c>
      <c r="C1683" s="7" t="s">
        <v>4534</v>
      </c>
      <c r="D1683" s="9" t="s">
        <v>4626</v>
      </c>
      <c r="E1683" s="7" t="s">
        <v>4527</v>
      </c>
      <c r="F1683" s="7" t="s">
        <v>1738</v>
      </c>
      <c r="G1683" s="7" t="s">
        <v>4627</v>
      </c>
      <c r="H1683" s="7">
        <v>0.02</v>
      </c>
      <c r="I1683" s="7">
        <v>82</v>
      </c>
      <c r="J1683" s="7">
        <v>800</v>
      </c>
      <c r="K1683" s="7">
        <v>600</v>
      </c>
      <c r="L1683" s="7">
        <v>150</v>
      </c>
      <c r="M1683" s="7">
        <v>30</v>
      </c>
      <c r="N1683" s="7">
        <v>60</v>
      </c>
      <c r="O1683" s="7">
        <v>30</v>
      </c>
      <c r="P1683" s="7">
        <v>115</v>
      </c>
    </row>
    <row r="1684" spans="1:16" s="10" customFormat="1">
      <c r="A1684" s="7">
        <f>IF(B1684="","",SUBTOTAL(103,$B$2:B1684))</f>
        <v>1683</v>
      </c>
      <c r="B1684" s="8" t="s">
        <v>4607</v>
      </c>
      <c r="C1684" s="7" t="s">
        <v>4537</v>
      </c>
      <c r="D1684" s="9" t="s">
        <v>4628</v>
      </c>
      <c r="E1684" s="7" t="s">
        <v>4609</v>
      </c>
      <c r="F1684" s="7" t="s">
        <v>1026</v>
      </c>
      <c r="G1684" s="7" t="s">
        <v>4629</v>
      </c>
      <c r="H1684" s="7">
        <v>0.34599999999999997</v>
      </c>
      <c r="I1684" s="7">
        <v>12</v>
      </c>
      <c r="J1684" s="7">
        <v>800</v>
      </c>
      <c r="K1684" s="7">
        <v>600</v>
      </c>
      <c r="L1684" s="7">
        <v>150</v>
      </c>
      <c r="M1684" s="7">
        <v>30</v>
      </c>
      <c r="N1684" s="7">
        <v>60</v>
      </c>
      <c r="O1684" s="7">
        <v>150</v>
      </c>
      <c r="P1684" s="7">
        <v>225</v>
      </c>
    </row>
    <row r="1685" spans="1:16" s="10" customFormat="1">
      <c r="A1685" s="7">
        <f>IF(B1685="","",SUBTOTAL(103,$B$2:B1685))</f>
        <v>1684</v>
      </c>
      <c r="B1685" s="8" t="s">
        <v>4607</v>
      </c>
      <c r="C1685" s="7" t="s">
        <v>4537</v>
      </c>
      <c r="D1685" s="9" t="s">
        <v>4630</v>
      </c>
      <c r="E1685" s="7" t="s">
        <v>4609</v>
      </c>
      <c r="F1685" s="7" t="s">
        <v>1029</v>
      </c>
      <c r="G1685" s="7" t="s">
        <v>4631</v>
      </c>
      <c r="H1685" s="7">
        <v>0.34599999999999997</v>
      </c>
      <c r="I1685" s="7">
        <v>12</v>
      </c>
      <c r="J1685" s="7">
        <v>800</v>
      </c>
      <c r="K1685" s="7">
        <v>600</v>
      </c>
      <c r="L1685" s="7">
        <v>150</v>
      </c>
      <c r="M1685" s="7">
        <v>30</v>
      </c>
      <c r="N1685" s="7">
        <v>60</v>
      </c>
      <c r="O1685" s="7">
        <v>150</v>
      </c>
      <c r="P1685" s="7">
        <v>225</v>
      </c>
    </row>
    <row r="1686" spans="1:16" s="10" customFormat="1">
      <c r="A1686" s="7">
        <f>IF(B1686="","",SUBTOTAL(103,$B$2:B1686))</f>
        <v>1685</v>
      </c>
      <c r="B1686" s="8" t="s">
        <v>4607</v>
      </c>
      <c r="C1686" s="7" t="s">
        <v>4632</v>
      </c>
      <c r="D1686" s="9" t="s">
        <v>4633</v>
      </c>
      <c r="E1686" s="7" t="s">
        <v>4609</v>
      </c>
      <c r="F1686" s="7" t="s">
        <v>1033</v>
      </c>
      <c r="G1686" s="7" t="s">
        <v>4634</v>
      </c>
      <c r="H1686" s="7">
        <v>0.27</v>
      </c>
      <c r="I1686" s="7">
        <v>24</v>
      </c>
      <c r="J1686" s="7">
        <v>800</v>
      </c>
      <c r="K1686" s="7">
        <v>600</v>
      </c>
      <c r="L1686" s="7">
        <v>150</v>
      </c>
      <c r="M1686" s="7">
        <v>30</v>
      </c>
      <c r="N1686" s="7">
        <v>60</v>
      </c>
      <c r="O1686" s="7">
        <v>75</v>
      </c>
      <c r="P1686" s="7">
        <v>200</v>
      </c>
    </row>
    <row r="1687" spans="1:16" s="10" customFormat="1">
      <c r="A1687" s="7">
        <f>IF(B1687="","",SUBTOTAL(103,$B$2:B1687))</f>
        <v>1686</v>
      </c>
      <c r="B1687" s="8" t="s">
        <v>4607</v>
      </c>
      <c r="C1687" s="7" t="s">
        <v>4635</v>
      </c>
      <c r="D1687" s="9" t="s">
        <v>4636</v>
      </c>
      <c r="E1687" s="7" t="s">
        <v>4609</v>
      </c>
      <c r="F1687" s="7" t="s">
        <v>1037</v>
      </c>
      <c r="G1687" s="7" t="s">
        <v>4637</v>
      </c>
      <c r="H1687" s="7">
        <v>0.57299999999999995</v>
      </c>
      <c r="I1687" s="7">
        <v>9</v>
      </c>
      <c r="J1687" s="7">
        <v>800</v>
      </c>
      <c r="K1687" s="7">
        <v>600</v>
      </c>
      <c r="L1687" s="7">
        <v>150</v>
      </c>
      <c r="M1687" s="7">
        <v>30</v>
      </c>
      <c r="N1687" s="7">
        <v>60</v>
      </c>
      <c r="O1687" s="7">
        <v>190</v>
      </c>
      <c r="P1687" s="7">
        <v>500</v>
      </c>
    </row>
    <row r="1688" spans="1:16" s="10" customFormat="1">
      <c r="A1688" s="7">
        <f>IF(B1688="","",SUBTOTAL(103,$B$2:B1688))</f>
        <v>1687</v>
      </c>
      <c r="B1688" s="8" t="s">
        <v>4607</v>
      </c>
      <c r="C1688" s="7" t="s">
        <v>4635</v>
      </c>
      <c r="D1688" s="9" t="s">
        <v>4638</v>
      </c>
      <c r="E1688" s="7" t="s">
        <v>4609</v>
      </c>
      <c r="F1688" s="7" t="s">
        <v>1040</v>
      </c>
      <c r="G1688" s="7" t="s">
        <v>4639</v>
      </c>
      <c r="H1688" s="7">
        <v>0.57299999999999995</v>
      </c>
      <c r="I1688" s="7">
        <v>9</v>
      </c>
      <c r="J1688" s="7">
        <v>800</v>
      </c>
      <c r="K1688" s="7">
        <v>600</v>
      </c>
      <c r="L1688" s="7">
        <v>150</v>
      </c>
      <c r="M1688" s="7">
        <v>30</v>
      </c>
      <c r="N1688" s="7">
        <v>60</v>
      </c>
      <c r="O1688" s="7">
        <v>190</v>
      </c>
      <c r="P1688" s="7">
        <v>500</v>
      </c>
    </row>
    <row r="1689" spans="1:16" s="10" customFormat="1">
      <c r="A1689" s="7">
        <f>IF(B1689="","",SUBTOTAL(103,$B$2:B1689))</f>
        <v>1688</v>
      </c>
      <c r="B1689" s="8" t="s">
        <v>4607</v>
      </c>
      <c r="C1689" s="7" t="s">
        <v>4635</v>
      </c>
      <c r="D1689" s="9" t="s">
        <v>4640</v>
      </c>
      <c r="E1689" s="7" t="s">
        <v>4527</v>
      </c>
      <c r="F1689" s="7" t="s">
        <v>1040</v>
      </c>
      <c r="G1689" s="7" t="str">
        <f>E1689&amp;F1689</f>
        <v>KI 114  KI-10A CB2 CF8M</v>
      </c>
      <c r="H1689" s="7">
        <v>0.57299999999999995</v>
      </c>
      <c r="I1689" s="7">
        <v>9</v>
      </c>
      <c r="J1689" s="7">
        <v>800</v>
      </c>
      <c r="K1689" s="7">
        <v>600</v>
      </c>
      <c r="L1689" s="7">
        <v>150</v>
      </c>
      <c r="M1689" s="7">
        <v>30</v>
      </c>
      <c r="N1689" s="7">
        <v>60</v>
      </c>
      <c r="O1689" s="7">
        <v>190</v>
      </c>
      <c r="P1689" s="7">
        <v>500</v>
      </c>
    </row>
    <row r="1690" spans="1:16" s="10" customFormat="1">
      <c r="A1690" s="7">
        <f>IF(B1690="","",SUBTOTAL(103,$B$2:B1690))</f>
        <v>1689</v>
      </c>
      <c r="B1690" s="8" t="s">
        <v>4607</v>
      </c>
      <c r="C1690" s="7" t="s">
        <v>4641</v>
      </c>
      <c r="D1690" s="9" t="s">
        <v>4642</v>
      </c>
      <c r="E1690" s="7" t="s">
        <v>4609</v>
      </c>
      <c r="F1690" s="7" t="s">
        <v>1948</v>
      </c>
      <c r="G1690" s="7" t="s">
        <v>4643</v>
      </c>
      <c r="H1690" s="7">
        <v>0.84699999999999998</v>
      </c>
      <c r="I1690" s="7">
        <v>6</v>
      </c>
      <c r="J1690" s="7">
        <v>800</v>
      </c>
      <c r="K1690" s="7">
        <v>600</v>
      </c>
      <c r="L1690" s="7">
        <v>150</v>
      </c>
      <c r="M1690" s="7">
        <v>30</v>
      </c>
      <c r="N1690" s="7">
        <v>60</v>
      </c>
      <c r="O1690" s="7">
        <v>310</v>
      </c>
      <c r="P1690" s="7">
        <v>350</v>
      </c>
    </row>
    <row r="1691" spans="1:16" s="10" customFormat="1">
      <c r="A1691" s="7">
        <f>IF(B1691="","",SUBTOTAL(103,$B$2:B1691))</f>
        <v>1690</v>
      </c>
      <c r="B1691" s="8" t="s">
        <v>4607</v>
      </c>
      <c r="C1691" s="7" t="s">
        <v>4641</v>
      </c>
      <c r="D1691" s="9" t="s">
        <v>4644</v>
      </c>
      <c r="E1691" s="7" t="s">
        <v>4609</v>
      </c>
      <c r="F1691" s="7" t="s">
        <v>1044</v>
      </c>
      <c r="G1691" s="7" t="s">
        <v>4645</v>
      </c>
      <c r="H1691" s="7">
        <v>0.84699999999999998</v>
      </c>
      <c r="I1691" s="7">
        <v>6</v>
      </c>
      <c r="J1691" s="7">
        <v>800</v>
      </c>
      <c r="K1691" s="7">
        <v>600</v>
      </c>
      <c r="L1691" s="7">
        <v>150</v>
      </c>
      <c r="M1691" s="7">
        <v>30</v>
      </c>
      <c r="N1691" s="7">
        <v>60</v>
      </c>
      <c r="O1691" s="7">
        <v>310</v>
      </c>
      <c r="P1691" s="7">
        <v>350</v>
      </c>
    </row>
    <row r="1692" spans="1:16" s="10" customFormat="1">
      <c r="A1692" s="7">
        <f>IF(B1692="","",SUBTOTAL(103,$B$2:B1692))</f>
        <v>1691</v>
      </c>
      <c r="B1692" s="8" t="s">
        <v>4607</v>
      </c>
      <c r="C1692" s="7" t="s">
        <v>4641</v>
      </c>
      <c r="D1692" s="9" t="s">
        <v>4646</v>
      </c>
      <c r="E1692" s="7" t="s">
        <v>4527</v>
      </c>
      <c r="F1692" s="7" t="s">
        <v>1044</v>
      </c>
      <c r="G1692" s="7" t="str">
        <f>E1692&amp;F1692</f>
        <v>KI 114  KI-10A CB21/2 CF8M</v>
      </c>
      <c r="H1692" s="7">
        <v>0.84699999999999998</v>
      </c>
      <c r="I1692" s="7">
        <v>6</v>
      </c>
      <c r="J1692" s="7">
        <v>800</v>
      </c>
      <c r="K1692" s="7">
        <v>600</v>
      </c>
      <c r="L1692" s="7">
        <v>150</v>
      </c>
      <c r="M1692" s="7">
        <v>30</v>
      </c>
      <c r="N1692" s="7">
        <v>60</v>
      </c>
      <c r="O1692" s="7">
        <v>310</v>
      </c>
      <c r="P1692" s="7">
        <v>350</v>
      </c>
    </row>
    <row r="1693" spans="1:16" s="10" customFormat="1">
      <c r="A1693" s="7">
        <f>IF(B1693="","",SUBTOTAL(103,$B$2:B1693))</f>
        <v>1692</v>
      </c>
      <c r="B1693" s="8" t="s">
        <v>4607</v>
      </c>
      <c r="C1693" s="7" t="s">
        <v>4647</v>
      </c>
      <c r="D1693" s="9" t="s">
        <v>4648</v>
      </c>
      <c r="E1693" s="7" t="s">
        <v>4609</v>
      </c>
      <c r="F1693" s="7" t="s">
        <v>1953</v>
      </c>
      <c r="G1693" s="7" t="s">
        <v>4649</v>
      </c>
      <c r="H1693" s="7">
        <v>1.34</v>
      </c>
      <c r="I1693" s="7">
        <v>4</v>
      </c>
      <c r="J1693" s="7">
        <v>800</v>
      </c>
      <c r="K1693" s="7">
        <v>600</v>
      </c>
      <c r="L1693" s="7">
        <v>150</v>
      </c>
      <c r="M1693" s="7">
        <v>30</v>
      </c>
      <c r="N1693" s="7">
        <v>60</v>
      </c>
      <c r="O1693" s="7">
        <v>500</v>
      </c>
      <c r="P1693" s="7">
        <v>600</v>
      </c>
    </row>
    <row r="1694" spans="1:16" s="10" customFormat="1">
      <c r="A1694" s="7">
        <f>IF(B1694="","",SUBTOTAL(103,$B$2:B1694))</f>
        <v>1693</v>
      </c>
      <c r="B1694" s="8" t="s">
        <v>4607</v>
      </c>
      <c r="C1694" s="7" t="s">
        <v>4647</v>
      </c>
      <c r="D1694" s="9" t="s">
        <v>4650</v>
      </c>
      <c r="E1694" s="7" t="s">
        <v>4609</v>
      </c>
      <c r="F1694" s="7" t="s">
        <v>1048</v>
      </c>
      <c r="G1694" s="7" t="s">
        <v>4651</v>
      </c>
      <c r="H1694" s="7">
        <v>1.34</v>
      </c>
      <c r="I1694" s="7">
        <v>4</v>
      </c>
      <c r="J1694" s="7">
        <v>800</v>
      </c>
      <c r="K1694" s="7">
        <v>600</v>
      </c>
      <c r="L1694" s="7">
        <v>150</v>
      </c>
      <c r="M1694" s="7">
        <v>30</v>
      </c>
      <c r="N1694" s="7">
        <v>60</v>
      </c>
      <c r="O1694" s="7">
        <v>500</v>
      </c>
      <c r="P1694" s="7">
        <v>600</v>
      </c>
    </row>
    <row r="1695" spans="1:16" s="10" customFormat="1">
      <c r="A1695" s="7">
        <f>IF(B1695="","",SUBTOTAL(103,$B$2:B1695))</f>
        <v>1694</v>
      </c>
      <c r="B1695" s="8" t="s">
        <v>4607</v>
      </c>
      <c r="C1695" s="7" t="s">
        <v>4647</v>
      </c>
      <c r="D1695" s="9" t="s">
        <v>4652</v>
      </c>
      <c r="E1695" s="7" t="s">
        <v>4527</v>
      </c>
      <c r="F1695" s="7" t="s">
        <v>1048</v>
      </c>
      <c r="G1695" s="7" t="str">
        <f>E1695&amp;F1695</f>
        <v>KI 114  KI-10A CB3 CF8M</v>
      </c>
      <c r="H1695" s="7">
        <v>1.34</v>
      </c>
      <c r="I1695" s="7">
        <v>4</v>
      </c>
      <c r="J1695" s="7">
        <v>800</v>
      </c>
      <c r="K1695" s="7">
        <v>600</v>
      </c>
      <c r="L1695" s="7">
        <v>150</v>
      </c>
      <c r="M1695" s="7">
        <v>30</v>
      </c>
      <c r="N1695" s="7">
        <v>60</v>
      </c>
      <c r="O1695" s="7">
        <v>500</v>
      </c>
      <c r="P1695" s="7">
        <v>600</v>
      </c>
    </row>
    <row r="1696" spans="1:16" s="10" customFormat="1">
      <c r="A1696" s="7">
        <f>IF(B1696="","",SUBTOTAL(103,$B$2:B1696))</f>
        <v>1695</v>
      </c>
      <c r="B1696" s="8" t="s">
        <v>4607</v>
      </c>
      <c r="C1696" s="7" t="s">
        <v>4540</v>
      </c>
      <c r="D1696" s="9" t="s">
        <v>4653</v>
      </c>
      <c r="E1696" s="7" t="s">
        <v>4609</v>
      </c>
      <c r="F1696" s="7" t="s">
        <v>1757</v>
      </c>
      <c r="G1696" s="7" t="s">
        <v>4654</v>
      </c>
      <c r="H1696" s="7">
        <v>9.5000000000000001E-2</v>
      </c>
      <c r="I1696" s="7">
        <v>32</v>
      </c>
      <c r="J1696" s="7">
        <v>800</v>
      </c>
      <c r="K1696" s="7">
        <v>600</v>
      </c>
      <c r="L1696" s="7">
        <v>150</v>
      </c>
      <c r="M1696" s="7">
        <v>30</v>
      </c>
      <c r="N1696" s="7">
        <v>60</v>
      </c>
      <c r="O1696" s="7">
        <v>54</v>
      </c>
      <c r="P1696" s="7">
        <v>155</v>
      </c>
    </row>
    <row r="1697" spans="1:16" s="10" customFormat="1">
      <c r="A1697" s="7">
        <f>IF(B1697="","",SUBTOTAL(103,$B$2:B1697))</f>
        <v>1696</v>
      </c>
      <c r="B1697" s="8" t="s">
        <v>4607</v>
      </c>
      <c r="C1697" s="7" t="s">
        <v>4540</v>
      </c>
      <c r="D1697" s="9" t="s">
        <v>4655</v>
      </c>
      <c r="E1697" s="7" t="s">
        <v>4609</v>
      </c>
      <c r="F1697" s="7" t="s">
        <v>1052</v>
      </c>
      <c r="G1697" s="7" t="s">
        <v>4656</v>
      </c>
      <c r="H1697" s="7">
        <v>9.5000000000000001E-2</v>
      </c>
      <c r="I1697" s="7">
        <v>32</v>
      </c>
      <c r="J1697" s="7">
        <v>800</v>
      </c>
      <c r="K1697" s="7">
        <v>600</v>
      </c>
      <c r="L1697" s="7">
        <v>150</v>
      </c>
      <c r="M1697" s="7">
        <v>30</v>
      </c>
      <c r="N1697" s="7">
        <v>60</v>
      </c>
      <c r="O1697" s="7">
        <v>54</v>
      </c>
      <c r="P1697" s="7">
        <v>155</v>
      </c>
    </row>
    <row r="1698" spans="1:16" s="10" customFormat="1">
      <c r="A1698" s="7">
        <f>IF(B1698="","",SUBTOTAL(103,$B$2:B1698))</f>
        <v>1697</v>
      </c>
      <c r="B1698" s="8" t="s">
        <v>4607</v>
      </c>
      <c r="C1698" s="7" t="s">
        <v>4657</v>
      </c>
      <c r="D1698" s="9" t="s">
        <v>4658</v>
      </c>
      <c r="E1698" s="7" t="s">
        <v>4609</v>
      </c>
      <c r="F1698" s="7" t="s">
        <v>1763</v>
      </c>
      <c r="G1698" s="7" t="s">
        <v>4659</v>
      </c>
      <c r="H1698" s="7">
        <v>3.7999999999999999E-2</v>
      </c>
      <c r="I1698" s="7">
        <v>68</v>
      </c>
      <c r="J1698" s="7">
        <v>800</v>
      </c>
      <c r="K1698" s="7">
        <v>600</v>
      </c>
      <c r="L1698" s="7">
        <v>150</v>
      </c>
      <c r="M1698" s="7">
        <v>30</v>
      </c>
      <c r="N1698" s="7">
        <v>60</v>
      </c>
      <c r="O1698" s="7">
        <v>30</v>
      </c>
      <c r="P1698" s="7">
        <v>135</v>
      </c>
    </row>
    <row r="1699" spans="1:16" s="10" customFormat="1">
      <c r="A1699" s="7">
        <f>IF(B1699="","",SUBTOTAL(103,$B$2:B1699))</f>
        <v>1698</v>
      </c>
      <c r="B1699" s="8" t="s">
        <v>4607</v>
      </c>
      <c r="C1699" s="7" t="s">
        <v>4657</v>
      </c>
      <c r="D1699" s="9" t="s">
        <v>4660</v>
      </c>
      <c r="E1699" s="7" t="s">
        <v>4609</v>
      </c>
      <c r="F1699" s="7" t="s">
        <v>1056</v>
      </c>
      <c r="G1699" s="7" t="s">
        <v>4661</v>
      </c>
      <c r="H1699" s="7">
        <v>3.7999999999999999E-2</v>
      </c>
      <c r="I1699" s="7">
        <v>68</v>
      </c>
      <c r="J1699" s="7">
        <v>800</v>
      </c>
      <c r="K1699" s="7">
        <v>600</v>
      </c>
      <c r="L1699" s="7">
        <v>150</v>
      </c>
      <c r="M1699" s="7">
        <v>30</v>
      </c>
      <c r="N1699" s="7">
        <v>60</v>
      </c>
      <c r="O1699" s="7">
        <v>30</v>
      </c>
      <c r="P1699" s="7">
        <v>135</v>
      </c>
    </row>
    <row r="1700" spans="1:16" s="10" customFormat="1">
      <c r="A1700" s="7">
        <f>IF(B1700="","",SUBTOTAL(103,$B$2:B1700))</f>
        <v>1699</v>
      </c>
      <c r="B1700" s="8" t="s">
        <v>4607</v>
      </c>
      <c r="C1700" s="7" t="s">
        <v>4657</v>
      </c>
      <c r="D1700" s="9" t="s">
        <v>4662</v>
      </c>
      <c r="E1700" s="7" t="s">
        <v>4527</v>
      </c>
      <c r="F1700" s="7" t="s">
        <v>1056</v>
      </c>
      <c r="G1700" s="7" t="s">
        <v>4663</v>
      </c>
      <c r="H1700" s="7">
        <v>3.7999999999999999E-2</v>
      </c>
      <c r="I1700" s="7">
        <v>68</v>
      </c>
      <c r="J1700" s="7">
        <v>800</v>
      </c>
      <c r="K1700" s="7">
        <v>600</v>
      </c>
      <c r="L1700" s="7">
        <v>150</v>
      </c>
      <c r="M1700" s="7">
        <v>30</v>
      </c>
      <c r="N1700" s="7">
        <v>60</v>
      </c>
      <c r="O1700" s="7">
        <v>30</v>
      </c>
      <c r="P1700" s="7">
        <v>135</v>
      </c>
    </row>
    <row r="1701" spans="1:16" s="10" customFormat="1">
      <c r="A1701" s="7">
        <f>IF(B1701="","",SUBTOTAL(103,$B$2:B1701))</f>
        <v>1700</v>
      </c>
      <c r="B1701" s="8" t="s">
        <v>4607</v>
      </c>
      <c r="C1701" s="7" t="s">
        <v>4664</v>
      </c>
      <c r="D1701" s="9" t="s">
        <v>4665</v>
      </c>
      <c r="E1701" s="7" t="s">
        <v>4609</v>
      </c>
      <c r="F1701" s="7" t="s">
        <v>1970</v>
      </c>
      <c r="G1701" s="7" t="s">
        <v>4666</v>
      </c>
      <c r="H1701" s="7">
        <v>2.2589999999999999</v>
      </c>
      <c r="I1701" s="7">
        <v>4</v>
      </c>
      <c r="J1701" s="7">
        <v>800</v>
      </c>
      <c r="K1701" s="7">
        <v>600</v>
      </c>
      <c r="L1701" s="7">
        <v>150</v>
      </c>
      <c r="M1701" s="7">
        <v>30</v>
      </c>
      <c r="N1701" s="7">
        <v>60</v>
      </c>
      <c r="O1701" s="7">
        <v>500</v>
      </c>
      <c r="P1701" s="7">
        <v>600</v>
      </c>
    </row>
    <row r="1702" spans="1:16" s="10" customFormat="1">
      <c r="A1702" s="7">
        <f>IF(B1702="","",SUBTOTAL(103,$B$2:B1702))</f>
        <v>1701</v>
      </c>
      <c r="B1702" s="8" t="s">
        <v>4607</v>
      </c>
      <c r="C1702" s="7" t="s">
        <v>4664</v>
      </c>
      <c r="D1702" s="9" t="s">
        <v>4667</v>
      </c>
      <c r="E1702" s="7" t="s">
        <v>4609</v>
      </c>
      <c r="F1702" s="7" t="s">
        <v>1060</v>
      </c>
      <c r="G1702" s="7" t="s">
        <v>4668</v>
      </c>
      <c r="H1702" s="7">
        <v>2.2589999999999999</v>
      </c>
      <c r="I1702" s="7">
        <v>4</v>
      </c>
      <c r="J1702" s="7">
        <v>800</v>
      </c>
      <c r="K1702" s="7">
        <v>600</v>
      </c>
      <c r="L1702" s="7">
        <v>150</v>
      </c>
      <c r="M1702" s="7">
        <v>30</v>
      </c>
      <c r="N1702" s="7">
        <v>60</v>
      </c>
      <c r="O1702" s="7">
        <v>500</v>
      </c>
      <c r="P1702" s="7">
        <v>600</v>
      </c>
    </row>
    <row r="1703" spans="1:16" s="10" customFormat="1">
      <c r="A1703" s="7">
        <f>IF(B1703="","",SUBTOTAL(103,$B$2:B1703))</f>
        <v>1702</v>
      </c>
      <c r="B1703" s="8" t="s">
        <v>4607</v>
      </c>
      <c r="C1703" s="7" t="s">
        <v>4664</v>
      </c>
      <c r="D1703" s="9" t="s">
        <v>4669</v>
      </c>
      <c r="E1703" s="7" t="s">
        <v>4670</v>
      </c>
      <c r="F1703" s="7" t="s">
        <v>1372</v>
      </c>
      <c r="G1703" s="7" t="str">
        <f>E1703&amp;F1703</f>
        <v>KI 114 K-10A CB4 CF8M NPT</v>
      </c>
      <c r="H1703" s="7">
        <v>2.2799999999999998</v>
      </c>
      <c r="I1703" s="7">
        <v>4</v>
      </c>
      <c r="J1703" s="7">
        <v>800</v>
      </c>
      <c r="K1703" s="7">
        <v>600</v>
      </c>
      <c r="L1703" s="7">
        <v>150</v>
      </c>
      <c r="M1703" s="7">
        <v>30</v>
      </c>
      <c r="N1703" s="7">
        <v>60</v>
      </c>
      <c r="O1703" s="7">
        <v>500</v>
      </c>
      <c r="P1703" s="7">
        <v>600</v>
      </c>
    </row>
    <row r="1704" spans="1:16">
      <c r="A1704" s="7">
        <f>IF(B1704="","",SUBTOTAL(103,$B$2:B1704))</f>
        <v>1703</v>
      </c>
      <c r="B1704" s="8" t="s">
        <v>4607</v>
      </c>
      <c r="C1704" s="7" t="s">
        <v>4632</v>
      </c>
      <c r="D1704" s="9" t="s">
        <v>4671</v>
      </c>
      <c r="E1704" s="7" t="s">
        <v>4609</v>
      </c>
      <c r="F1704" s="7" t="s">
        <v>1337</v>
      </c>
      <c r="G1704" s="7" t="s">
        <v>4672</v>
      </c>
      <c r="H1704" s="7">
        <v>0.27</v>
      </c>
      <c r="I1704" s="7">
        <v>24</v>
      </c>
      <c r="J1704" s="7">
        <v>800</v>
      </c>
      <c r="K1704" s="7">
        <v>600</v>
      </c>
      <c r="L1704" s="7">
        <v>150</v>
      </c>
      <c r="M1704" s="7">
        <v>30</v>
      </c>
      <c r="N1704" s="7">
        <v>60</v>
      </c>
      <c r="O1704" s="7">
        <v>75</v>
      </c>
      <c r="P1704" s="7">
        <v>200</v>
      </c>
    </row>
    <row r="1705" spans="1:16">
      <c r="A1705" s="7">
        <f>IF(B1705="","",SUBTOTAL(103,$B$2:B1705))</f>
        <v>1704</v>
      </c>
      <c r="B1705" s="8" t="s">
        <v>4607</v>
      </c>
      <c r="C1705" s="7" t="s">
        <v>4632</v>
      </c>
      <c r="D1705" s="9" t="s">
        <v>4673</v>
      </c>
      <c r="E1705" s="7" t="s">
        <v>4527</v>
      </c>
      <c r="F1705" s="7" t="s">
        <v>1337</v>
      </c>
      <c r="G1705" s="7" t="str">
        <f>E1705&amp;F1705</f>
        <v>KI 114  KI-10A CB11/4 CF8M</v>
      </c>
      <c r="H1705" s="7">
        <v>0.27</v>
      </c>
      <c r="I1705" s="7">
        <v>24</v>
      </c>
      <c r="J1705" s="7">
        <v>800</v>
      </c>
      <c r="K1705" s="7">
        <v>600</v>
      </c>
      <c r="L1705" s="7">
        <v>150</v>
      </c>
      <c r="M1705" s="7">
        <v>30</v>
      </c>
      <c r="N1705" s="7">
        <v>60</v>
      </c>
      <c r="O1705" s="7">
        <v>75</v>
      </c>
      <c r="P1705" s="7">
        <v>200</v>
      </c>
    </row>
    <row r="1706" spans="1:16">
      <c r="A1706" s="7">
        <f>IF(B1706="","",SUBTOTAL(103,$B$2:B1706))</f>
        <v>1705</v>
      </c>
      <c r="B1706" s="8" t="s">
        <v>4524</v>
      </c>
      <c r="C1706" s="7" t="s">
        <v>4617</v>
      </c>
      <c r="D1706" s="9" t="s">
        <v>4674</v>
      </c>
      <c r="E1706" s="7" t="s">
        <v>4527</v>
      </c>
      <c r="F1706" s="7" t="s">
        <v>1022</v>
      </c>
      <c r="G1706" s="7" t="s">
        <v>4675</v>
      </c>
      <c r="H1706" s="7">
        <v>2.4E-2</v>
      </c>
      <c r="I1706" s="7">
        <v>80</v>
      </c>
      <c r="J1706" s="7">
        <v>800</v>
      </c>
      <c r="K1706" s="7">
        <v>600</v>
      </c>
      <c r="L1706" s="7">
        <v>150</v>
      </c>
      <c r="M1706" s="7">
        <v>30</v>
      </c>
      <c r="N1706" s="7">
        <v>60</v>
      </c>
      <c r="O1706" s="7">
        <v>25</v>
      </c>
      <c r="P1706" s="7">
        <v>125</v>
      </c>
    </row>
    <row r="1707" spans="1:16" s="10" customFormat="1">
      <c r="A1707" s="7">
        <f>IF(B1707="","",SUBTOTAL(103,$B$2:B1707))</f>
        <v>1706</v>
      </c>
      <c r="B1707" s="8" t="s">
        <v>4676</v>
      </c>
      <c r="C1707" s="7" t="s">
        <v>4677</v>
      </c>
      <c r="D1707" s="9" t="s">
        <v>4678</v>
      </c>
      <c r="E1707" s="7" t="s">
        <v>4679</v>
      </c>
      <c r="F1707" s="7" t="s">
        <v>1066</v>
      </c>
      <c r="G1707" s="7" t="s">
        <v>4680</v>
      </c>
      <c r="H1707" s="7">
        <v>0.17899999999999999</v>
      </c>
      <c r="I1707" s="7">
        <v>44</v>
      </c>
      <c r="J1707" s="7">
        <v>800</v>
      </c>
      <c r="K1707" s="7">
        <v>600</v>
      </c>
      <c r="L1707" s="7">
        <v>150</v>
      </c>
      <c r="M1707" s="7">
        <v>30</v>
      </c>
      <c r="N1707" s="7">
        <v>60</v>
      </c>
      <c r="O1707" s="7">
        <v>45</v>
      </c>
      <c r="P1707" s="7">
        <v>165</v>
      </c>
    </row>
    <row r="1708" spans="1:16" s="10" customFormat="1">
      <c r="A1708" s="7">
        <f>IF(B1708="","",SUBTOTAL(103,$B$2:B1708))</f>
        <v>1707</v>
      </c>
      <c r="B1708" s="8" t="s">
        <v>4676</v>
      </c>
      <c r="C1708" s="7" t="s">
        <v>4677</v>
      </c>
      <c r="D1708" s="9" t="s">
        <v>4681</v>
      </c>
      <c r="E1708" s="7" t="s">
        <v>4679</v>
      </c>
      <c r="F1708" s="7" t="s">
        <v>1069</v>
      </c>
      <c r="G1708" s="7" t="s">
        <v>4682</v>
      </c>
      <c r="H1708" s="7">
        <v>0.17899999999999999</v>
      </c>
      <c r="I1708" s="7">
        <v>44</v>
      </c>
      <c r="J1708" s="7">
        <v>800</v>
      </c>
      <c r="K1708" s="7">
        <v>600</v>
      </c>
      <c r="L1708" s="7">
        <v>150</v>
      </c>
      <c r="M1708" s="7">
        <v>30</v>
      </c>
      <c r="N1708" s="7">
        <v>60</v>
      </c>
      <c r="O1708" s="7">
        <v>45</v>
      </c>
      <c r="P1708" s="7">
        <v>165</v>
      </c>
    </row>
    <row r="1709" spans="1:16" s="10" customFormat="1">
      <c r="A1709" s="7">
        <f>IF(B1709="","",SUBTOTAL(103,$B$2:B1709))</f>
        <v>1708</v>
      </c>
      <c r="B1709" s="8" t="s">
        <v>4676</v>
      </c>
      <c r="C1709" s="7" t="s">
        <v>4683</v>
      </c>
      <c r="D1709" s="9" t="s">
        <v>4684</v>
      </c>
      <c r="E1709" s="7" t="s">
        <v>4679</v>
      </c>
      <c r="F1709" s="7" t="s">
        <v>1073</v>
      </c>
      <c r="G1709" s="7" t="s">
        <v>4685</v>
      </c>
      <c r="H1709" s="7">
        <v>8.5000000000000006E-2</v>
      </c>
      <c r="I1709" s="7">
        <v>28</v>
      </c>
      <c r="J1709" s="7">
        <v>800</v>
      </c>
      <c r="K1709" s="7">
        <v>600</v>
      </c>
      <c r="L1709" s="7">
        <v>150</v>
      </c>
      <c r="M1709" s="7">
        <v>30</v>
      </c>
      <c r="N1709" s="7">
        <v>60</v>
      </c>
      <c r="O1709" s="7">
        <v>70</v>
      </c>
      <c r="P1709" s="7">
        <v>145</v>
      </c>
    </row>
    <row r="1710" spans="1:16" s="10" customFormat="1">
      <c r="A1710" s="7">
        <f>IF(B1710="","",SUBTOTAL(103,$B$2:B1710))</f>
        <v>1709</v>
      </c>
      <c r="B1710" s="8" t="s">
        <v>4676</v>
      </c>
      <c r="C1710" s="7" t="s">
        <v>4683</v>
      </c>
      <c r="D1710" s="9" t="s">
        <v>4686</v>
      </c>
      <c r="E1710" s="7" t="s">
        <v>4679</v>
      </c>
      <c r="F1710" s="7" t="s">
        <v>1076</v>
      </c>
      <c r="G1710" s="7" t="s">
        <v>4687</v>
      </c>
      <c r="H1710" s="7">
        <v>8.5000000000000006E-2</v>
      </c>
      <c r="I1710" s="7">
        <v>28</v>
      </c>
      <c r="J1710" s="7">
        <v>800</v>
      </c>
      <c r="K1710" s="7">
        <v>600</v>
      </c>
      <c r="L1710" s="7">
        <v>150</v>
      </c>
      <c r="M1710" s="7">
        <v>30</v>
      </c>
      <c r="N1710" s="7">
        <v>60</v>
      </c>
      <c r="O1710" s="7">
        <v>70</v>
      </c>
      <c r="P1710" s="7">
        <v>145</v>
      </c>
    </row>
    <row r="1711" spans="1:16" s="10" customFormat="1">
      <c r="A1711" s="7">
        <f>IF(B1711="","",SUBTOTAL(103,$B$2:B1711))</f>
        <v>1710</v>
      </c>
      <c r="B1711" s="8" t="s">
        <v>4676</v>
      </c>
      <c r="C1711" s="7" t="s">
        <v>4688</v>
      </c>
      <c r="D1711" s="9" t="s">
        <v>4689</v>
      </c>
      <c r="E1711" s="7" t="s">
        <v>4679</v>
      </c>
      <c r="F1711" s="7" t="s">
        <v>998</v>
      </c>
      <c r="G1711" s="7" t="s">
        <v>4690</v>
      </c>
      <c r="H1711" s="7">
        <v>5.8000000000000003E-2</v>
      </c>
      <c r="I1711" s="7">
        <v>48</v>
      </c>
      <c r="J1711" s="7">
        <v>800</v>
      </c>
      <c r="K1711" s="7">
        <v>600</v>
      </c>
      <c r="L1711" s="7">
        <v>150</v>
      </c>
      <c r="M1711" s="7">
        <v>30</v>
      </c>
      <c r="N1711" s="7">
        <v>60</v>
      </c>
      <c r="O1711" s="7">
        <v>41</v>
      </c>
      <c r="P1711" s="7">
        <v>125</v>
      </c>
    </row>
    <row r="1712" spans="1:16" s="10" customFormat="1">
      <c r="A1712" s="7">
        <f>IF(B1712="","",SUBTOTAL(103,$B$2:B1712))</f>
        <v>1711</v>
      </c>
      <c r="B1712" s="8" t="s">
        <v>4676</v>
      </c>
      <c r="C1712" s="7" t="s">
        <v>4688</v>
      </c>
      <c r="D1712" s="9" t="s">
        <v>4691</v>
      </c>
      <c r="E1712" s="7" t="s">
        <v>4679</v>
      </c>
      <c r="F1712" s="7" t="s">
        <v>1081</v>
      </c>
      <c r="G1712" s="7" t="s">
        <v>4692</v>
      </c>
      <c r="H1712" s="7">
        <v>0.06</v>
      </c>
      <c r="I1712" s="7">
        <v>48</v>
      </c>
      <c r="J1712" s="7">
        <v>800</v>
      </c>
      <c r="K1712" s="7">
        <v>600</v>
      </c>
      <c r="L1712" s="7">
        <v>150</v>
      </c>
      <c r="M1712" s="7">
        <v>30</v>
      </c>
      <c r="N1712" s="7">
        <v>60</v>
      </c>
      <c r="O1712" s="7">
        <v>41</v>
      </c>
      <c r="P1712" s="7">
        <v>125</v>
      </c>
    </row>
    <row r="1713" spans="1:16" s="10" customFormat="1">
      <c r="A1713" s="7">
        <f>IF(B1713="","",SUBTOTAL(103,$B$2:B1713))</f>
        <v>1712</v>
      </c>
      <c r="B1713" s="8" t="s">
        <v>4676</v>
      </c>
      <c r="C1713" s="7" t="s">
        <v>4693</v>
      </c>
      <c r="D1713" s="9" t="s">
        <v>4694</v>
      </c>
      <c r="E1713" s="7" t="s">
        <v>4679</v>
      </c>
      <c r="F1713" s="7" t="s">
        <v>1085</v>
      </c>
      <c r="G1713" s="7" t="s">
        <v>4695</v>
      </c>
      <c r="H1713" s="7">
        <v>4.3999999999999997E-2</v>
      </c>
      <c r="I1713" s="7">
        <v>48</v>
      </c>
      <c r="J1713" s="7">
        <v>800</v>
      </c>
      <c r="K1713" s="7">
        <v>600</v>
      </c>
      <c r="L1713" s="7">
        <v>150</v>
      </c>
      <c r="M1713" s="7">
        <v>30</v>
      </c>
      <c r="N1713" s="7">
        <v>60</v>
      </c>
      <c r="O1713" s="7">
        <v>41</v>
      </c>
      <c r="P1713" s="7">
        <v>115</v>
      </c>
    </row>
    <row r="1714" spans="1:16" s="10" customFormat="1">
      <c r="A1714" s="7">
        <f>IF(B1714="","",SUBTOTAL(103,$B$2:B1714))</f>
        <v>1713</v>
      </c>
      <c r="B1714" s="8" t="s">
        <v>4676</v>
      </c>
      <c r="C1714" s="7" t="s">
        <v>4693</v>
      </c>
      <c r="D1714" s="9" t="s">
        <v>4696</v>
      </c>
      <c r="E1714" s="7" t="s">
        <v>4679</v>
      </c>
      <c r="F1714" s="7" t="s">
        <v>1088</v>
      </c>
      <c r="G1714" s="7" t="s">
        <v>4697</v>
      </c>
      <c r="H1714" s="7">
        <v>4.3999999999999997E-2</v>
      </c>
      <c r="I1714" s="7">
        <v>48</v>
      </c>
      <c r="J1714" s="7">
        <v>800</v>
      </c>
      <c r="K1714" s="7">
        <v>600</v>
      </c>
      <c r="L1714" s="7">
        <v>150</v>
      </c>
      <c r="M1714" s="7">
        <v>30</v>
      </c>
      <c r="N1714" s="7">
        <v>60</v>
      </c>
      <c r="O1714" s="7">
        <v>41</v>
      </c>
      <c r="P1714" s="7">
        <v>115</v>
      </c>
    </row>
    <row r="1715" spans="1:16" s="10" customFormat="1">
      <c r="A1715" s="7">
        <f>IF(B1715="","",SUBTOTAL(103,$B$2:B1715))</f>
        <v>1714</v>
      </c>
      <c r="B1715" s="8" t="s">
        <v>4676</v>
      </c>
      <c r="C1715" s="7" t="s">
        <v>4698</v>
      </c>
      <c r="D1715" s="9" t="s">
        <v>4699</v>
      </c>
      <c r="E1715" s="7" t="s">
        <v>4679</v>
      </c>
      <c r="F1715" s="7" t="s">
        <v>1092</v>
      </c>
      <c r="G1715" s="7" t="s">
        <v>4700</v>
      </c>
      <c r="H1715" s="7">
        <v>0.24099999999999999</v>
      </c>
      <c r="I1715" s="7">
        <v>18</v>
      </c>
      <c r="J1715" s="7">
        <v>800</v>
      </c>
      <c r="K1715" s="7">
        <v>600</v>
      </c>
      <c r="L1715" s="7">
        <v>150</v>
      </c>
      <c r="M1715" s="7">
        <v>30</v>
      </c>
      <c r="N1715" s="7">
        <v>60</v>
      </c>
      <c r="O1715" s="7">
        <v>100</v>
      </c>
      <c r="P1715" s="7">
        <v>225</v>
      </c>
    </row>
    <row r="1716" spans="1:16" s="10" customFormat="1">
      <c r="A1716" s="7">
        <f>IF(B1716="","",SUBTOTAL(103,$B$2:B1716))</f>
        <v>1715</v>
      </c>
      <c r="B1716" s="8" t="s">
        <v>4676</v>
      </c>
      <c r="C1716" s="7" t="s">
        <v>4698</v>
      </c>
      <c r="D1716" s="9" t="s">
        <v>4701</v>
      </c>
      <c r="E1716" s="7" t="s">
        <v>4679</v>
      </c>
      <c r="F1716" s="7" t="s">
        <v>1095</v>
      </c>
      <c r="G1716" s="7" t="s">
        <v>4702</v>
      </c>
      <c r="H1716" s="7">
        <v>0.24099999999999999</v>
      </c>
      <c r="I1716" s="7">
        <v>18</v>
      </c>
      <c r="J1716" s="7">
        <v>800</v>
      </c>
      <c r="K1716" s="7">
        <v>600</v>
      </c>
      <c r="L1716" s="7">
        <v>150</v>
      </c>
      <c r="M1716" s="7">
        <v>30</v>
      </c>
      <c r="N1716" s="7">
        <v>60</v>
      </c>
      <c r="O1716" s="7">
        <v>100</v>
      </c>
      <c r="P1716" s="7">
        <v>225</v>
      </c>
    </row>
    <row r="1717" spans="1:16" s="10" customFormat="1">
      <c r="A1717" s="7">
        <f>IF(B1717="","",SUBTOTAL(103,$B$2:B1717))</f>
        <v>1716</v>
      </c>
      <c r="B1717" s="8" t="s">
        <v>4676</v>
      </c>
      <c r="C1717" s="7" t="s">
        <v>4703</v>
      </c>
      <c r="D1717" s="9" t="s">
        <v>4704</v>
      </c>
      <c r="E1717" s="7" t="s">
        <v>4679</v>
      </c>
      <c r="F1717" s="7" t="s">
        <v>1099</v>
      </c>
      <c r="G1717" s="7" t="s">
        <v>4705</v>
      </c>
      <c r="H1717" s="7">
        <v>0.19700000000000001</v>
      </c>
      <c r="I1717" s="7">
        <v>18</v>
      </c>
      <c r="J1717" s="7">
        <v>800</v>
      </c>
      <c r="K1717" s="7">
        <v>600</v>
      </c>
      <c r="L1717" s="7">
        <v>150</v>
      </c>
      <c r="M1717" s="7">
        <v>30</v>
      </c>
      <c r="N1717" s="7">
        <v>60</v>
      </c>
      <c r="O1717" s="7">
        <v>100</v>
      </c>
      <c r="P1717" s="7">
        <v>215</v>
      </c>
    </row>
    <row r="1718" spans="1:16" s="10" customFormat="1">
      <c r="A1718" s="7">
        <f>IF(B1718="","",SUBTOTAL(103,$B$2:B1718))</f>
        <v>1717</v>
      </c>
      <c r="B1718" s="8" t="s">
        <v>4676</v>
      </c>
      <c r="C1718" s="7" t="s">
        <v>4703</v>
      </c>
      <c r="D1718" s="9" t="s">
        <v>4706</v>
      </c>
      <c r="E1718" s="7" t="s">
        <v>4679</v>
      </c>
      <c r="F1718" s="7" t="s">
        <v>1102</v>
      </c>
      <c r="G1718" s="7" t="s">
        <v>4707</v>
      </c>
      <c r="H1718" s="7">
        <v>0.19700000000000001</v>
      </c>
      <c r="I1718" s="7">
        <v>18</v>
      </c>
      <c r="J1718" s="7">
        <v>800</v>
      </c>
      <c r="K1718" s="7">
        <v>600</v>
      </c>
      <c r="L1718" s="7">
        <v>150</v>
      </c>
      <c r="M1718" s="7">
        <v>30</v>
      </c>
      <c r="N1718" s="7">
        <v>60</v>
      </c>
      <c r="O1718" s="7">
        <v>100</v>
      </c>
      <c r="P1718" s="7">
        <v>215</v>
      </c>
    </row>
    <row r="1719" spans="1:16" s="10" customFormat="1">
      <c r="A1719" s="7">
        <f>IF(B1719="","",SUBTOTAL(103,$B$2:B1719))</f>
        <v>1718</v>
      </c>
      <c r="B1719" s="8" t="s">
        <v>4676</v>
      </c>
      <c r="C1719" s="7" t="s">
        <v>4708</v>
      </c>
      <c r="D1719" s="9" t="s">
        <v>4709</v>
      </c>
      <c r="E1719" s="7" t="s">
        <v>4679</v>
      </c>
      <c r="F1719" s="7" t="s">
        <v>1106</v>
      </c>
      <c r="G1719" s="7" t="s">
        <v>4710</v>
      </c>
      <c r="H1719" s="7">
        <v>0.371</v>
      </c>
      <c r="I1719" s="7">
        <v>12</v>
      </c>
      <c r="J1719" s="7">
        <v>800</v>
      </c>
      <c r="K1719" s="7">
        <v>600</v>
      </c>
      <c r="L1719" s="7">
        <v>150</v>
      </c>
      <c r="M1719" s="7">
        <v>30</v>
      </c>
      <c r="N1719" s="7">
        <v>60</v>
      </c>
      <c r="O1719" s="7">
        <v>150</v>
      </c>
      <c r="P1719" s="7">
        <v>515</v>
      </c>
    </row>
    <row r="1720" spans="1:16" s="10" customFormat="1">
      <c r="A1720" s="7">
        <f>IF(B1720="","",SUBTOTAL(103,$B$2:B1720))</f>
        <v>1719</v>
      </c>
      <c r="B1720" s="8" t="s">
        <v>4676</v>
      </c>
      <c r="C1720" s="7" t="s">
        <v>4708</v>
      </c>
      <c r="D1720" s="9" t="s">
        <v>4711</v>
      </c>
      <c r="E1720" s="7" t="s">
        <v>4679</v>
      </c>
      <c r="F1720" s="7" t="s">
        <v>1109</v>
      </c>
      <c r="G1720" s="7" t="s">
        <v>4712</v>
      </c>
      <c r="H1720" s="7">
        <v>0.371</v>
      </c>
      <c r="I1720" s="7">
        <v>12</v>
      </c>
      <c r="J1720" s="7">
        <v>800</v>
      </c>
      <c r="K1720" s="7">
        <v>600</v>
      </c>
      <c r="L1720" s="7">
        <v>150</v>
      </c>
      <c r="M1720" s="7">
        <v>30</v>
      </c>
      <c r="N1720" s="7">
        <v>60</v>
      </c>
      <c r="O1720" s="7">
        <v>150</v>
      </c>
      <c r="P1720" s="7">
        <v>515</v>
      </c>
    </row>
    <row r="1721" spans="1:16" s="10" customFormat="1">
      <c r="A1721" s="7">
        <f>IF(B1721="","",SUBTOTAL(103,$B$2:B1721))</f>
        <v>1720</v>
      </c>
      <c r="B1721" s="8" t="s">
        <v>4676</v>
      </c>
      <c r="C1721" s="7" t="s">
        <v>4713</v>
      </c>
      <c r="D1721" s="9" t="s">
        <v>4714</v>
      </c>
      <c r="E1721" s="7" t="s">
        <v>4679</v>
      </c>
      <c r="F1721" s="7" t="s">
        <v>1113</v>
      </c>
      <c r="G1721" s="7" t="s">
        <v>4715</v>
      </c>
      <c r="H1721" s="7">
        <v>0.53300000000000003</v>
      </c>
      <c r="I1721" s="7">
        <v>8</v>
      </c>
      <c r="J1721" s="7">
        <v>800</v>
      </c>
      <c r="K1721" s="7">
        <v>600</v>
      </c>
      <c r="L1721" s="7">
        <v>150</v>
      </c>
      <c r="M1721" s="7">
        <v>30</v>
      </c>
      <c r="N1721" s="7">
        <v>60</v>
      </c>
      <c r="O1721" s="7">
        <v>225</v>
      </c>
      <c r="P1721" s="7">
        <v>250</v>
      </c>
    </row>
    <row r="1722" spans="1:16" s="10" customFormat="1">
      <c r="A1722" s="7">
        <f>IF(B1722="","",SUBTOTAL(103,$B$2:B1722))</f>
        <v>1721</v>
      </c>
      <c r="B1722" s="8" t="s">
        <v>4676</v>
      </c>
      <c r="C1722" s="7" t="s">
        <v>4713</v>
      </c>
      <c r="D1722" s="9" t="s">
        <v>4716</v>
      </c>
      <c r="E1722" s="7" t="s">
        <v>4679</v>
      </c>
      <c r="F1722" s="7" t="s">
        <v>1116</v>
      </c>
      <c r="G1722" s="7" t="s">
        <v>4717</v>
      </c>
      <c r="H1722" s="7">
        <v>0.53300000000000003</v>
      </c>
      <c r="I1722" s="7">
        <v>8</v>
      </c>
      <c r="J1722" s="7">
        <v>800</v>
      </c>
      <c r="K1722" s="7">
        <v>600</v>
      </c>
      <c r="L1722" s="7">
        <v>150</v>
      </c>
      <c r="M1722" s="7">
        <v>30</v>
      </c>
      <c r="N1722" s="7">
        <v>60</v>
      </c>
      <c r="O1722" s="7">
        <v>225</v>
      </c>
      <c r="P1722" s="7">
        <v>250</v>
      </c>
    </row>
    <row r="1723" spans="1:16" s="10" customFormat="1">
      <c r="A1723" s="7">
        <f>IF(B1723="","",SUBTOTAL(103,$B$2:B1723))</f>
        <v>1722</v>
      </c>
      <c r="B1723" s="8" t="s">
        <v>4676</v>
      </c>
      <c r="C1723" s="7" t="s">
        <v>4718</v>
      </c>
      <c r="D1723" s="9" t="s">
        <v>4719</v>
      </c>
      <c r="E1723" s="7" t="s">
        <v>4679</v>
      </c>
      <c r="F1723" s="7" t="s">
        <v>1120</v>
      </c>
      <c r="G1723" s="7" t="s">
        <v>4720</v>
      </c>
      <c r="H1723" s="7">
        <v>0.57099999999999995</v>
      </c>
      <c r="I1723" s="7">
        <v>8</v>
      </c>
      <c r="J1723" s="7">
        <v>800</v>
      </c>
      <c r="K1723" s="7">
        <v>600</v>
      </c>
      <c r="L1723" s="7">
        <v>150</v>
      </c>
      <c r="M1723" s="7">
        <v>30</v>
      </c>
      <c r="N1723" s="7">
        <v>60</v>
      </c>
      <c r="O1723" s="7">
        <v>225</v>
      </c>
      <c r="P1723" s="7">
        <v>250</v>
      </c>
    </row>
    <row r="1724" spans="1:16" s="10" customFormat="1">
      <c r="A1724" s="7">
        <f>IF(B1724="","",SUBTOTAL(103,$B$2:B1724))</f>
        <v>1723</v>
      </c>
      <c r="B1724" s="8" t="s">
        <v>4676</v>
      </c>
      <c r="C1724" s="7" t="s">
        <v>4718</v>
      </c>
      <c r="D1724" s="9" t="s">
        <v>4721</v>
      </c>
      <c r="E1724" s="7" t="s">
        <v>4679</v>
      </c>
      <c r="F1724" s="7" t="s">
        <v>1123</v>
      </c>
      <c r="G1724" s="7" t="s">
        <v>4722</v>
      </c>
      <c r="H1724" s="7">
        <v>0.57099999999999995</v>
      </c>
      <c r="I1724" s="7">
        <v>8</v>
      </c>
      <c r="J1724" s="7">
        <v>800</v>
      </c>
      <c r="K1724" s="7">
        <v>600</v>
      </c>
      <c r="L1724" s="7">
        <v>150</v>
      </c>
      <c r="M1724" s="7">
        <v>30</v>
      </c>
      <c r="N1724" s="7">
        <v>60</v>
      </c>
      <c r="O1724" s="7">
        <v>225</v>
      </c>
      <c r="P1724" s="7">
        <v>250</v>
      </c>
    </row>
    <row r="1725" spans="1:16" s="10" customFormat="1">
      <c r="A1725" s="7">
        <f>IF(B1725="","",SUBTOTAL(103,$B$2:B1725))</f>
        <v>1724</v>
      </c>
      <c r="B1725" s="8" t="s">
        <v>4676</v>
      </c>
      <c r="C1725" s="7" t="s">
        <v>4723</v>
      </c>
      <c r="D1725" s="9" t="s">
        <v>4724</v>
      </c>
      <c r="E1725" s="7" t="s">
        <v>4679</v>
      </c>
      <c r="F1725" s="7" t="s">
        <v>1127</v>
      </c>
      <c r="G1725" s="7" t="s">
        <v>4725</v>
      </c>
      <c r="H1725" s="7">
        <v>0.10199999999999999</v>
      </c>
      <c r="I1725" s="7">
        <v>24</v>
      </c>
      <c r="J1725" s="7">
        <v>800</v>
      </c>
      <c r="K1725" s="7">
        <v>600</v>
      </c>
      <c r="L1725" s="7">
        <v>150</v>
      </c>
      <c r="M1725" s="7">
        <v>30</v>
      </c>
      <c r="N1725" s="7">
        <v>60</v>
      </c>
      <c r="O1725" s="7">
        <v>75</v>
      </c>
      <c r="P1725" s="7">
        <v>155</v>
      </c>
    </row>
    <row r="1726" spans="1:16" s="10" customFormat="1">
      <c r="A1726" s="7">
        <f>IF(B1726="","",SUBTOTAL(103,$B$2:B1726))</f>
        <v>1725</v>
      </c>
      <c r="B1726" s="8" t="s">
        <v>4676</v>
      </c>
      <c r="C1726" s="7" t="s">
        <v>4723</v>
      </c>
      <c r="D1726" s="9" t="s">
        <v>4726</v>
      </c>
      <c r="E1726" s="7" t="s">
        <v>4679</v>
      </c>
      <c r="F1726" s="7" t="s">
        <v>1130</v>
      </c>
      <c r="G1726" s="7" t="s">
        <v>4727</v>
      </c>
      <c r="H1726" s="7">
        <v>0.10199999999999999</v>
      </c>
      <c r="I1726" s="7">
        <v>24</v>
      </c>
      <c r="J1726" s="7">
        <v>800</v>
      </c>
      <c r="K1726" s="7">
        <v>600</v>
      </c>
      <c r="L1726" s="7">
        <v>150</v>
      </c>
      <c r="M1726" s="7">
        <v>30</v>
      </c>
      <c r="N1726" s="7">
        <v>60</v>
      </c>
      <c r="O1726" s="7">
        <v>75</v>
      </c>
      <c r="P1726" s="7">
        <v>155</v>
      </c>
    </row>
    <row r="1727" spans="1:16" s="10" customFormat="1">
      <c r="A1727" s="7">
        <f>IF(B1727="","",SUBTOTAL(103,$B$2:B1727))</f>
        <v>1726</v>
      </c>
      <c r="B1727" s="8" t="s">
        <v>4676</v>
      </c>
      <c r="C1727" s="7" t="s">
        <v>4728</v>
      </c>
      <c r="D1727" s="9" t="s">
        <v>4729</v>
      </c>
      <c r="E1727" s="7" t="s">
        <v>4679</v>
      </c>
      <c r="F1727" s="7" t="s">
        <v>1002</v>
      </c>
      <c r="G1727" s="7" t="s">
        <v>4730</v>
      </c>
      <c r="H1727" s="7">
        <v>5.8000000000000003E-2</v>
      </c>
      <c r="I1727" s="7">
        <v>28</v>
      </c>
      <c r="J1727" s="7">
        <v>800</v>
      </c>
      <c r="K1727" s="7">
        <v>600</v>
      </c>
      <c r="L1727" s="7">
        <v>150</v>
      </c>
      <c r="M1727" s="7">
        <v>30</v>
      </c>
      <c r="N1727" s="7">
        <v>60</v>
      </c>
      <c r="O1727" s="7">
        <v>70</v>
      </c>
      <c r="P1727" s="7">
        <v>135</v>
      </c>
    </row>
    <row r="1728" spans="1:16" s="10" customFormat="1">
      <c r="A1728" s="7">
        <f>IF(B1728="","",SUBTOTAL(103,$B$2:B1728))</f>
        <v>1727</v>
      </c>
      <c r="B1728" s="8" t="s">
        <v>4676</v>
      </c>
      <c r="C1728" s="7" t="s">
        <v>4731</v>
      </c>
      <c r="D1728" s="9" t="s">
        <v>4732</v>
      </c>
      <c r="E1728" s="7" t="s">
        <v>4679</v>
      </c>
      <c r="F1728" s="7" t="s">
        <v>1139</v>
      </c>
      <c r="G1728" s="7" t="s">
        <v>4733</v>
      </c>
      <c r="H1728" s="7">
        <v>0.93</v>
      </c>
      <c r="I1728" s="7">
        <v>5</v>
      </c>
      <c r="J1728" s="7">
        <v>800</v>
      </c>
      <c r="K1728" s="7">
        <v>600</v>
      </c>
      <c r="L1728" s="7">
        <v>150</v>
      </c>
      <c r="M1728" s="7">
        <v>30</v>
      </c>
      <c r="N1728" s="7">
        <v>60</v>
      </c>
      <c r="O1728" s="7">
        <v>400</v>
      </c>
      <c r="P1728" s="7">
        <v>565</v>
      </c>
    </row>
    <row r="1729" spans="1:16" s="10" customFormat="1">
      <c r="A1729" s="7">
        <f>IF(B1729="","",SUBTOTAL(103,$B$2:B1729))</f>
        <v>1728</v>
      </c>
      <c r="B1729" s="8" t="s">
        <v>4676</v>
      </c>
      <c r="C1729" s="7" t="s">
        <v>4731</v>
      </c>
      <c r="D1729" s="9" t="s">
        <v>4734</v>
      </c>
      <c r="E1729" s="7" t="s">
        <v>4679</v>
      </c>
      <c r="F1729" s="7" t="s">
        <v>1142</v>
      </c>
      <c r="G1729" s="7" t="s">
        <v>4735</v>
      </c>
      <c r="H1729" s="7">
        <v>0.93</v>
      </c>
      <c r="I1729" s="7">
        <v>5</v>
      </c>
      <c r="J1729" s="7">
        <v>800</v>
      </c>
      <c r="K1729" s="7">
        <v>600</v>
      </c>
      <c r="L1729" s="7">
        <v>150</v>
      </c>
      <c r="M1729" s="7">
        <v>30</v>
      </c>
      <c r="N1729" s="7">
        <v>60</v>
      </c>
      <c r="O1729" s="7">
        <v>400</v>
      </c>
      <c r="P1729" s="7">
        <v>565</v>
      </c>
    </row>
    <row r="1730" spans="1:16" s="10" customFormat="1">
      <c r="A1730" s="7">
        <f>IF(B1730="","",SUBTOTAL(103,$B$2:B1730))</f>
        <v>1729</v>
      </c>
      <c r="B1730" s="8" t="s">
        <v>4736</v>
      </c>
      <c r="C1730" s="7" t="s">
        <v>4737</v>
      </c>
      <c r="D1730" s="9" t="s">
        <v>4738</v>
      </c>
      <c r="E1730" s="7" t="s">
        <v>4739</v>
      </c>
      <c r="F1730" s="7" t="s">
        <v>4740</v>
      </c>
      <c r="G1730" s="7" t="s">
        <v>4741</v>
      </c>
      <c r="H1730" s="7">
        <v>9.7000000000000003E-2</v>
      </c>
      <c r="I1730" s="7">
        <v>64</v>
      </c>
      <c r="J1730" s="7">
        <v>800</v>
      </c>
      <c r="K1730" s="7">
        <v>600</v>
      </c>
      <c r="L1730" s="7">
        <v>150</v>
      </c>
      <c r="M1730" s="7">
        <v>30</v>
      </c>
      <c r="N1730" s="7">
        <v>60</v>
      </c>
      <c r="O1730" s="7">
        <v>45</v>
      </c>
      <c r="P1730" s="7">
        <v>165</v>
      </c>
    </row>
    <row r="1731" spans="1:16" s="10" customFormat="1">
      <c r="A1731" s="7">
        <f>IF(B1731="","",SUBTOTAL(103,$B$2:B1731))</f>
        <v>1730</v>
      </c>
      <c r="B1731" s="8" t="s">
        <v>4736</v>
      </c>
      <c r="C1731" s="7" t="s">
        <v>4737</v>
      </c>
      <c r="D1731" s="9" t="s">
        <v>4742</v>
      </c>
      <c r="E1731" s="7" t="s">
        <v>4739</v>
      </c>
      <c r="F1731" s="7" t="s">
        <v>1066</v>
      </c>
      <c r="G1731" s="7" t="s">
        <v>4743</v>
      </c>
      <c r="H1731" s="7">
        <v>9.7000000000000003E-2</v>
      </c>
      <c r="I1731" s="7">
        <v>64</v>
      </c>
      <c r="J1731" s="7">
        <v>800</v>
      </c>
      <c r="K1731" s="7">
        <v>600</v>
      </c>
      <c r="L1731" s="7">
        <v>150</v>
      </c>
      <c r="M1731" s="7">
        <v>30</v>
      </c>
      <c r="N1731" s="7">
        <v>60</v>
      </c>
      <c r="O1731" s="7">
        <v>45</v>
      </c>
      <c r="P1731" s="7">
        <v>165</v>
      </c>
    </row>
    <row r="1732" spans="1:16" s="10" customFormat="1">
      <c r="A1732" s="7">
        <f>IF(B1732="","",SUBTOTAL(103,$B$2:B1732))</f>
        <v>1731</v>
      </c>
      <c r="B1732" s="8" t="s">
        <v>4736</v>
      </c>
      <c r="C1732" s="7" t="s">
        <v>4744</v>
      </c>
      <c r="D1732" s="9" t="s">
        <v>4745</v>
      </c>
      <c r="E1732" s="7" t="s">
        <v>4739</v>
      </c>
      <c r="F1732" s="7" t="s">
        <v>1073</v>
      </c>
      <c r="G1732" s="7" t="s">
        <v>4746</v>
      </c>
      <c r="H1732" s="7">
        <v>0.05</v>
      </c>
      <c r="I1732" s="7">
        <v>86</v>
      </c>
      <c r="J1732" s="7">
        <v>800</v>
      </c>
      <c r="K1732" s="7">
        <v>600</v>
      </c>
      <c r="L1732" s="7">
        <v>150</v>
      </c>
      <c r="M1732" s="7">
        <v>30</v>
      </c>
      <c r="N1732" s="7">
        <v>60</v>
      </c>
      <c r="O1732" s="7">
        <v>33</v>
      </c>
      <c r="P1732" s="7">
        <v>145</v>
      </c>
    </row>
    <row r="1733" spans="1:16" s="10" customFormat="1">
      <c r="A1733" s="7">
        <f>IF(B1733="","",SUBTOTAL(103,$B$2:B1733))</f>
        <v>1732</v>
      </c>
      <c r="B1733" s="8" t="s">
        <v>4736</v>
      </c>
      <c r="C1733" s="7" t="s">
        <v>4744</v>
      </c>
      <c r="D1733" s="9" t="s">
        <v>4747</v>
      </c>
      <c r="E1733" s="7" t="s">
        <v>4739</v>
      </c>
      <c r="F1733" s="7" t="s">
        <v>4748</v>
      </c>
      <c r="G1733" s="7" t="s">
        <v>4749</v>
      </c>
      <c r="H1733" s="7">
        <v>0.05</v>
      </c>
      <c r="I1733" s="7">
        <v>86</v>
      </c>
      <c r="J1733" s="7">
        <v>800</v>
      </c>
      <c r="K1733" s="7">
        <v>600</v>
      </c>
      <c r="L1733" s="7">
        <v>150</v>
      </c>
      <c r="M1733" s="7">
        <v>30</v>
      </c>
      <c r="N1733" s="7">
        <v>60</v>
      </c>
      <c r="O1733" s="7">
        <v>33</v>
      </c>
      <c r="P1733" s="7">
        <v>145</v>
      </c>
    </row>
    <row r="1734" spans="1:16" s="10" customFormat="1">
      <c r="A1734" s="7">
        <f>IF(B1734="","",SUBTOTAL(103,$B$2:B1734))</f>
        <v>1733</v>
      </c>
      <c r="B1734" s="8" t="s">
        <v>4736</v>
      </c>
      <c r="C1734" s="7" t="s">
        <v>4750</v>
      </c>
      <c r="D1734" s="9" t="s">
        <v>4751</v>
      </c>
      <c r="E1734" s="7" t="s">
        <v>4739</v>
      </c>
      <c r="F1734" s="7" t="s">
        <v>998</v>
      </c>
      <c r="G1734" s="7" t="s">
        <v>4752</v>
      </c>
      <c r="H1734" s="7">
        <v>0.02</v>
      </c>
      <c r="I1734" s="7">
        <v>128</v>
      </c>
      <c r="J1734" s="7">
        <v>800</v>
      </c>
      <c r="K1734" s="7">
        <v>600</v>
      </c>
      <c r="L1734" s="7">
        <v>150</v>
      </c>
      <c r="M1734" s="7">
        <v>30</v>
      </c>
      <c r="N1734" s="7">
        <v>60</v>
      </c>
      <c r="O1734" s="7">
        <v>19</v>
      </c>
      <c r="P1734" s="7">
        <v>125</v>
      </c>
    </row>
    <row r="1735" spans="1:16" s="10" customFormat="1">
      <c r="A1735" s="7">
        <f>IF(B1735="","",SUBTOTAL(103,$B$2:B1735))</f>
        <v>1734</v>
      </c>
      <c r="B1735" s="8" t="s">
        <v>4736</v>
      </c>
      <c r="C1735" s="7" t="s">
        <v>4750</v>
      </c>
      <c r="D1735" s="9" t="s">
        <v>4753</v>
      </c>
      <c r="E1735" s="7" t="s">
        <v>4739</v>
      </c>
      <c r="F1735" s="7" t="s">
        <v>4754</v>
      </c>
      <c r="G1735" s="7" t="s">
        <v>4755</v>
      </c>
      <c r="H1735" s="7">
        <v>0.02</v>
      </c>
      <c r="I1735" s="7">
        <v>128</v>
      </c>
      <c r="J1735" s="7">
        <v>800</v>
      </c>
      <c r="K1735" s="7">
        <v>600</v>
      </c>
      <c r="L1735" s="7">
        <v>150</v>
      </c>
      <c r="M1735" s="7">
        <v>30</v>
      </c>
      <c r="N1735" s="7">
        <v>60</v>
      </c>
      <c r="O1735" s="7">
        <v>19</v>
      </c>
      <c r="P1735" s="7">
        <v>125</v>
      </c>
    </row>
    <row r="1736" spans="1:16" s="10" customFormat="1">
      <c r="A1736" s="7">
        <f>IF(B1736="","",SUBTOTAL(103,$B$2:B1736))</f>
        <v>1735</v>
      </c>
      <c r="B1736" s="8" t="s">
        <v>4736</v>
      </c>
      <c r="C1736" s="7" t="s">
        <v>4756</v>
      </c>
      <c r="D1736" s="9" t="s">
        <v>4757</v>
      </c>
      <c r="E1736" s="7" t="s">
        <v>4739</v>
      </c>
      <c r="F1736" s="7" t="s">
        <v>1085</v>
      </c>
      <c r="G1736" s="7" t="s">
        <v>4758</v>
      </c>
      <c r="H1736" s="7">
        <v>5.6000000000000001E-2</v>
      </c>
      <c r="I1736" s="7">
        <v>138</v>
      </c>
      <c r="J1736" s="7">
        <v>800</v>
      </c>
      <c r="K1736" s="7">
        <v>600</v>
      </c>
      <c r="L1736" s="7">
        <v>150</v>
      </c>
      <c r="M1736" s="7">
        <v>30</v>
      </c>
      <c r="N1736" s="7">
        <v>60</v>
      </c>
      <c r="O1736" s="7">
        <v>17</v>
      </c>
      <c r="P1736" s="7">
        <v>115</v>
      </c>
    </row>
    <row r="1737" spans="1:16" s="10" customFormat="1">
      <c r="A1737" s="7">
        <f>IF(B1737="","",SUBTOTAL(103,$B$2:B1737))</f>
        <v>1736</v>
      </c>
      <c r="B1737" s="8" t="s">
        <v>4736</v>
      </c>
      <c r="C1737" s="7" t="s">
        <v>4756</v>
      </c>
      <c r="D1737" s="9" t="s">
        <v>4759</v>
      </c>
      <c r="E1737" s="7" t="s">
        <v>4739</v>
      </c>
      <c r="F1737" s="7" t="s">
        <v>4760</v>
      </c>
      <c r="G1737" s="7" t="s">
        <v>4761</v>
      </c>
      <c r="H1737" s="7">
        <v>0.06</v>
      </c>
      <c r="I1737" s="7">
        <v>138</v>
      </c>
      <c r="J1737" s="7">
        <v>800</v>
      </c>
      <c r="K1737" s="7">
        <v>600</v>
      </c>
      <c r="L1737" s="7">
        <v>150</v>
      </c>
      <c r="M1737" s="7">
        <v>30</v>
      </c>
      <c r="N1737" s="7">
        <v>60</v>
      </c>
      <c r="O1737" s="7">
        <v>17</v>
      </c>
      <c r="P1737" s="7">
        <v>115</v>
      </c>
    </row>
    <row r="1738" spans="1:16" s="10" customFormat="1">
      <c r="A1738" s="7">
        <f>IF(B1738="","",SUBTOTAL(103,$B$2:B1738))</f>
        <v>1737</v>
      </c>
      <c r="B1738" s="8" t="s">
        <v>4736</v>
      </c>
      <c r="C1738" s="7" t="s">
        <v>4762</v>
      </c>
      <c r="D1738" s="9" t="s">
        <v>4763</v>
      </c>
      <c r="E1738" s="7" t="s">
        <v>4739</v>
      </c>
      <c r="F1738" s="7" t="s">
        <v>1092</v>
      </c>
      <c r="G1738" s="7" t="s">
        <v>4764</v>
      </c>
      <c r="H1738" s="7">
        <v>0.191</v>
      </c>
      <c r="I1738" s="7">
        <v>40</v>
      </c>
      <c r="J1738" s="7">
        <v>800</v>
      </c>
      <c r="K1738" s="7">
        <v>600</v>
      </c>
      <c r="L1738" s="7">
        <v>150</v>
      </c>
      <c r="M1738" s="7">
        <v>30</v>
      </c>
      <c r="N1738" s="7">
        <v>60</v>
      </c>
      <c r="O1738" s="7">
        <v>45</v>
      </c>
      <c r="P1738" s="7">
        <v>225</v>
      </c>
    </row>
    <row r="1739" spans="1:16" s="10" customFormat="1">
      <c r="A1739" s="7">
        <f>IF(B1739="","",SUBTOTAL(103,$B$2:B1739))</f>
        <v>1738</v>
      </c>
      <c r="B1739" s="8" t="s">
        <v>4736</v>
      </c>
      <c r="C1739" s="7" t="s">
        <v>4762</v>
      </c>
      <c r="D1739" s="9" t="s">
        <v>4765</v>
      </c>
      <c r="E1739" s="7" t="s">
        <v>4739</v>
      </c>
      <c r="F1739" s="7" t="s">
        <v>4766</v>
      </c>
      <c r="G1739" s="7" t="s">
        <v>4767</v>
      </c>
      <c r="H1739" s="7">
        <v>0.191</v>
      </c>
      <c r="I1739" s="7">
        <v>40</v>
      </c>
      <c r="J1739" s="7">
        <v>800</v>
      </c>
      <c r="K1739" s="7">
        <v>600</v>
      </c>
      <c r="L1739" s="7">
        <v>150</v>
      </c>
      <c r="M1739" s="7">
        <v>30</v>
      </c>
      <c r="N1739" s="7">
        <v>60</v>
      </c>
      <c r="O1739" s="7">
        <v>45</v>
      </c>
      <c r="P1739" s="7">
        <v>225</v>
      </c>
    </row>
    <row r="1740" spans="1:16" s="10" customFormat="1">
      <c r="A1740" s="7">
        <f>IF(B1740="","",SUBTOTAL(103,$B$2:B1740))</f>
        <v>1739</v>
      </c>
      <c r="B1740" s="8" t="s">
        <v>4736</v>
      </c>
      <c r="C1740" s="7" t="s">
        <v>4768</v>
      </c>
      <c r="D1740" s="9" t="s">
        <v>4769</v>
      </c>
      <c r="E1740" s="7" t="s">
        <v>4739</v>
      </c>
      <c r="F1740" s="7" t="s">
        <v>1099</v>
      </c>
      <c r="G1740" s="7" t="s">
        <v>4770</v>
      </c>
      <c r="H1740" s="7">
        <v>0.13300000000000001</v>
      </c>
      <c r="I1740" s="7">
        <v>48</v>
      </c>
      <c r="J1740" s="7">
        <v>800</v>
      </c>
      <c r="K1740" s="7">
        <v>600</v>
      </c>
      <c r="L1740" s="7">
        <v>150</v>
      </c>
      <c r="M1740" s="7">
        <v>30</v>
      </c>
      <c r="N1740" s="7">
        <v>60</v>
      </c>
      <c r="O1740" s="7">
        <v>41</v>
      </c>
      <c r="P1740" s="7">
        <v>200</v>
      </c>
    </row>
    <row r="1741" spans="1:16" s="10" customFormat="1">
      <c r="A1741" s="7">
        <f>IF(B1741="","",SUBTOTAL(103,$B$2:B1741))</f>
        <v>1740</v>
      </c>
      <c r="B1741" s="8" t="s">
        <v>4736</v>
      </c>
      <c r="C1741" s="7" t="s">
        <v>4768</v>
      </c>
      <c r="D1741" s="9" t="s">
        <v>4771</v>
      </c>
      <c r="E1741" s="7" t="s">
        <v>4739</v>
      </c>
      <c r="F1741" s="7" t="s">
        <v>4772</v>
      </c>
      <c r="G1741" s="7" t="s">
        <v>4773</v>
      </c>
      <c r="H1741" s="7">
        <v>0.13</v>
      </c>
      <c r="I1741" s="7">
        <v>48</v>
      </c>
      <c r="J1741" s="7">
        <v>800</v>
      </c>
      <c r="K1741" s="7">
        <v>600</v>
      </c>
      <c r="L1741" s="7">
        <v>150</v>
      </c>
      <c r="M1741" s="7">
        <v>30</v>
      </c>
      <c r="N1741" s="7">
        <v>60</v>
      </c>
      <c r="O1741" s="7">
        <v>41</v>
      </c>
      <c r="P1741" s="7">
        <v>200</v>
      </c>
    </row>
    <row r="1742" spans="1:16" s="10" customFormat="1">
      <c r="A1742" s="7">
        <f>IF(B1742="","",SUBTOTAL(103,$B$2:B1742))</f>
        <v>1741</v>
      </c>
      <c r="B1742" s="8" t="s">
        <v>4736</v>
      </c>
      <c r="C1742" s="7" t="s">
        <v>4774</v>
      </c>
      <c r="D1742" s="9" t="s">
        <v>4775</v>
      </c>
      <c r="E1742" s="7" t="s">
        <v>4739</v>
      </c>
      <c r="F1742" s="7" t="s">
        <v>1106</v>
      </c>
      <c r="G1742" s="7" t="s">
        <v>4776</v>
      </c>
      <c r="H1742" s="7">
        <v>0.27800000000000002</v>
      </c>
      <c r="I1742" s="7">
        <v>28</v>
      </c>
      <c r="J1742" s="7">
        <v>800</v>
      </c>
      <c r="K1742" s="7">
        <v>600</v>
      </c>
      <c r="L1742" s="7">
        <v>150</v>
      </c>
      <c r="M1742" s="7">
        <v>30</v>
      </c>
      <c r="N1742" s="7">
        <v>60</v>
      </c>
      <c r="O1742" s="7">
        <v>70</v>
      </c>
      <c r="P1742" s="7">
        <v>500</v>
      </c>
    </row>
    <row r="1743" spans="1:16" s="10" customFormat="1">
      <c r="A1743" s="7">
        <f>IF(B1743="","",SUBTOTAL(103,$B$2:B1743))</f>
        <v>1742</v>
      </c>
      <c r="B1743" s="8" t="s">
        <v>4736</v>
      </c>
      <c r="C1743" s="7" t="s">
        <v>4774</v>
      </c>
      <c r="D1743" s="9" t="s">
        <v>4777</v>
      </c>
      <c r="E1743" s="7" t="s">
        <v>4739</v>
      </c>
      <c r="F1743" s="7" t="s">
        <v>4778</v>
      </c>
      <c r="G1743" s="7" t="s">
        <v>4779</v>
      </c>
      <c r="H1743" s="7">
        <v>0.27800000000000002</v>
      </c>
      <c r="I1743" s="7">
        <v>28</v>
      </c>
      <c r="J1743" s="7">
        <v>800</v>
      </c>
      <c r="K1743" s="7">
        <v>600</v>
      </c>
      <c r="L1743" s="7">
        <v>150</v>
      </c>
      <c r="M1743" s="7">
        <v>30</v>
      </c>
      <c r="N1743" s="7">
        <v>60</v>
      </c>
      <c r="O1743" s="7">
        <v>70</v>
      </c>
      <c r="P1743" s="7">
        <v>500</v>
      </c>
    </row>
    <row r="1744" spans="1:16" s="10" customFormat="1">
      <c r="A1744" s="7">
        <f>IF(B1744="","",SUBTOTAL(103,$B$2:B1744))</f>
        <v>1743</v>
      </c>
      <c r="B1744" s="8" t="s">
        <v>4736</v>
      </c>
      <c r="C1744" s="7" t="s">
        <v>4780</v>
      </c>
      <c r="D1744" s="9" t="s">
        <v>4781</v>
      </c>
      <c r="E1744" s="7" t="s">
        <v>4739</v>
      </c>
      <c r="F1744" s="7" t="s">
        <v>4782</v>
      </c>
      <c r="G1744" s="7" t="s">
        <v>4783</v>
      </c>
      <c r="H1744" s="7">
        <v>0.49</v>
      </c>
      <c r="I1744" s="7">
        <v>12</v>
      </c>
      <c r="J1744" s="7">
        <v>800</v>
      </c>
      <c r="K1744" s="7">
        <v>600</v>
      </c>
      <c r="L1744" s="7">
        <v>150</v>
      </c>
      <c r="M1744" s="7">
        <v>30</v>
      </c>
      <c r="N1744" s="7">
        <v>60</v>
      </c>
      <c r="O1744" s="7">
        <v>150</v>
      </c>
      <c r="P1744" s="7">
        <v>615</v>
      </c>
    </row>
    <row r="1745" spans="1:16" s="10" customFormat="1">
      <c r="A1745" s="7">
        <f>IF(B1745="","",SUBTOTAL(103,$B$2:B1745))</f>
        <v>1744</v>
      </c>
      <c r="B1745" s="8" t="s">
        <v>4736</v>
      </c>
      <c r="C1745" s="7" t="s">
        <v>4780</v>
      </c>
      <c r="D1745" s="9" t="s">
        <v>4784</v>
      </c>
      <c r="E1745" s="7" t="s">
        <v>4739</v>
      </c>
      <c r="F1745" s="7" t="s">
        <v>4785</v>
      </c>
      <c r="G1745" s="7" t="str">
        <f>E1745&amp;F1745</f>
        <v>MB  K-11 LN21/2 316 NPSL</v>
      </c>
      <c r="H1745" s="7">
        <v>0.48699999999999999</v>
      </c>
      <c r="I1745" s="7">
        <v>12</v>
      </c>
      <c r="J1745" s="7">
        <v>800</v>
      </c>
      <c r="K1745" s="7">
        <v>600</v>
      </c>
      <c r="L1745" s="7">
        <v>150</v>
      </c>
      <c r="M1745" s="7">
        <v>30</v>
      </c>
      <c r="N1745" s="7">
        <v>60</v>
      </c>
      <c r="O1745" s="7">
        <v>150</v>
      </c>
      <c r="P1745" s="7">
        <v>615</v>
      </c>
    </row>
    <row r="1746" spans="1:16" s="10" customFormat="1">
      <c r="A1746" s="7">
        <f>IF(B1746="","",SUBTOTAL(103,$B$2:B1746))</f>
        <v>1745</v>
      </c>
      <c r="B1746" s="8" t="s">
        <v>4736</v>
      </c>
      <c r="C1746" s="7" t="s">
        <v>4786</v>
      </c>
      <c r="D1746" s="9" t="s">
        <v>4787</v>
      </c>
      <c r="E1746" s="7" t="s">
        <v>4739</v>
      </c>
      <c r="F1746" s="7" t="s">
        <v>1120</v>
      </c>
      <c r="G1746" s="7" t="s">
        <v>4788</v>
      </c>
      <c r="H1746" s="7">
        <v>0.67100000000000004</v>
      </c>
      <c r="I1746" s="7">
        <v>8</v>
      </c>
      <c r="J1746" s="7">
        <v>800</v>
      </c>
      <c r="K1746" s="7">
        <v>600</v>
      </c>
      <c r="L1746" s="7">
        <v>150</v>
      </c>
      <c r="M1746" s="7">
        <v>30</v>
      </c>
      <c r="N1746" s="7">
        <v>60</v>
      </c>
      <c r="O1746" s="7">
        <v>225</v>
      </c>
      <c r="P1746" s="7">
        <v>250</v>
      </c>
    </row>
    <row r="1747" spans="1:16" s="10" customFormat="1">
      <c r="A1747" s="7">
        <f>IF(B1747="","",SUBTOTAL(103,$B$2:B1747))</f>
        <v>1746</v>
      </c>
      <c r="B1747" s="8" t="s">
        <v>4736</v>
      </c>
      <c r="C1747" s="7" t="s">
        <v>4786</v>
      </c>
      <c r="D1747" s="9" t="s">
        <v>4789</v>
      </c>
      <c r="E1747" s="7" t="s">
        <v>4739</v>
      </c>
      <c r="F1747" s="7" t="s">
        <v>4790</v>
      </c>
      <c r="G1747" s="7" t="s">
        <v>4791</v>
      </c>
      <c r="H1747" s="7">
        <v>0.67100000000000004</v>
      </c>
      <c r="I1747" s="7">
        <v>8</v>
      </c>
      <c r="J1747" s="7">
        <v>800</v>
      </c>
      <c r="K1747" s="7">
        <v>600</v>
      </c>
      <c r="L1747" s="7">
        <v>150</v>
      </c>
      <c r="M1747" s="7">
        <v>30</v>
      </c>
      <c r="N1747" s="7">
        <v>60</v>
      </c>
      <c r="O1747" s="7">
        <v>225</v>
      </c>
      <c r="P1747" s="7">
        <v>250</v>
      </c>
    </row>
    <row r="1748" spans="1:16" s="10" customFormat="1">
      <c r="A1748" s="7">
        <f>IF(B1748="","",SUBTOTAL(103,$B$2:B1748))</f>
        <v>1747</v>
      </c>
      <c r="B1748" s="8" t="s">
        <v>4736</v>
      </c>
      <c r="C1748" s="7" t="s">
        <v>4792</v>
      </c>
      <c r="D1748" s="9" t="s">
        <v>4793</v>
      </c>
      <c r="E1748" s="7" t="s">
        <v>4739</v>
      </c>
      <c r="F1748" s="7" t="s">
        <v>1127</v>
      </c>
      <c r="G1748" s="7" t="s">
        <v>4794</v>
      </c>
      <c r="H1748" s="7">
        <v>6.5000000000000002E-2</v>
      </c>
      <c r="I1748" s="7">
        <v>68</v>
      </c>
      <c r="J1748" s="7">
        <v>800</v>
      </c>
      <c r="K1748" s="7">
        <v>600</v>
      </c>
      <c r="L1748" s="7">
        <v>150</v>
      </c>
      <c r="M1748" s="7">
        <v>30</v>
      </c>
      <c r="N1748" s="7">
        <v>60</v>
      </c>
      <c r="O1748" s="7">
        <v>30</v>
      </c>
      <c r="P1748" s="7">
        <v>155</v>
      </c>
    </row>
    <row r="1749" spans="1:16" s="10" customFormat="1">
      <c r="A1749" s="7">
        <f>IF(B1749="","",SUBTOTAL(103,$B$2:B1749))</f>
        <v>1748</v>
      </c>
      <c r="B1749" s="8" t="s">
        <v>4736</v>
      </c>
      <c r="C1749" s="7" t="s">
        <v>4792</v>
      </c>
      <c r="D1749" s="9" t="s">
        <v>4795</v>
      </c>
      <c r="E1749" s="7" t="s">
        <v>4739</v>
      </c>
      <c r="F1749" s="7" t="s">
        <v>4796</v>
      </c>
      <c r="G1749" s="7" t="s">
        <v>4797</v>
      </c>
      <c r="H1749" s="7">
        <v>6.5000000000000002E-2</v>
      </c>
      <c r="I1749" s="7">
        <v>68</v>
      </c>
      <c r="J1749" s="7">
        <v>800</v>
      </c>
      <c r="K1749" s="7">
        <v>600</v>
      </c>
      <c r="L1749" s="7">
        <v>150</v>
      </c>
      <c r="M1749" s="7">
        <v>30</v>
      </c>
      <c r="N1749" s="7">
        <v>60</v>
      </c>
      <c r="O1749" s="7">
        <v>30</v>
      </c>
      <c r="P1749" s="7">
        <v>155</v>
      </c>
    </row>
    <row r="1750" spans="1:16" s="10" customFormat="1">
      <c r="A1750" s="7">
        <f>IF(B1750="","",SUBTOTAL(103,$B$2:B1750))</f>
        <v>1749</v>
      </c>
      <c r="B1750" s="8" t="s">
        <v>4736</v>
      </c>
      <c r="C1750" s="7" t="s">
        <v>4798</v>
      </c>
      <c r="D1750" s="9" t="s">
        <v>4799</v>
      </c>
      <c r="E1750" s="7" t="s">
        <v>4739</v>
      </c>
      <c r="F1750" s="7" t="s">
        <v>1002</v>
      </c>
      <c r="G1750" s="7" t="s">
        <v>4800</v>
      </c>
      <c r="H1750" s="7">
        <v>0.03</v>
      </c>
      <c r="I1750" s="7">
        <v>128</v>
      </c>
      <c r="J1750" s="7">
        <v>800</v>
      </c>
      <c r="K1750" s="7">
        <v>600</v>
      </c>
      <c r="L1750" s="7">
        <v>150</v>
      </c>
      <c r="M1750" s="7">
        <v>30</v>
      </c>
      <c r="N1750" s="7">
        <v>60</v>
      </c>
      <c r="O1750" s="7">
        <v>19</v>
      </c>
      <c r="P1750" s="7">
        <v>135</v>
      </c>
    </row>
    <row r="1751" spans="1:16" s="10" customFormat="1">
      <c r="A1751" s="7">
        <f>IF(B1751="","",SUBTOTAL(103,$B$2:B1751))</f>
        <v>1750</v>
      </c>
      <c r="B1751" s="8" t="s">
        <v>4736</v>
      </c>
      <c r="C1751" s="7" t="s">
        <v>4801</v>
      </c>
      <c r="D1751" s="9" t="s">
        <v>4802</v>
      </c>
      <c r="E1751" s="7" t="s">
        <v>4739</v>
      </c>
      <c r="F1751" s="7" t="s">
        <v>1139</v>
      </c>
      <c r="G1751" s="7" t="s">
        <v>4803</v>
      </c>
      <c r="H1751" s="7">
        <v>0.92900000000000005</v>
      </c>
      <c r="I1751" s="7">
        <v>5</v>
      </c>
      <c r="J1751" s="7">
        <v>800</v>
      </c>
      <c r="K1751" s="7">
        <v>600</v>
      </c>
      <c r="L1751" s="7">
        <v>150</v>
      </c>
      <c r="M1751" s="7">
        <v>30</v>
      </c>
      <c r="N1751" s="7">
        <v>60</v>
      </c>
      <c r="O1751" s="7">
        <v>400</v>
      </c>
      <c r="P1751" s="7">
        <v>600</v>
      </c>
    </row>
    <row r="1752" spans="1:16" s="10" customFormat="1">
      <c r="A1752" s="7">
        <f>IF(B1752="","",SUBTOTAL(103,$B$2:B1752))</f>
        <v>1751</v>
      </c>
      <c r="B1752" s="8" t="s">
        <v>4804</v>
      </c>
      <c r="C1752" s="7" t="s">
        <v>4805</v>
      </c>
      <c r="D1752" s="9" t="s">
        <v>4806</v>
      </c>
      <c r="E1752" s="7" t="s">
        <v>4807</v>
      </c>
      <c r="F1752" s="7" t="s">
        <v>4808</v>
      </c>
      <c r="G1752" s="7" t="s">
        <v>4809</v>
      </c>
      <c r="H1752" s="7">
        <v>7.5999999999999998E-2</v>
      </c>
      <c r="I1752" s="7">
        <v>64</v>
      </c>
      <c r="J1752" s="7">
        <v>800</v>
      </c>
      <c r="K1752" s="7">
        <v>600</v>
      </c>
      <c r="L1752" s="7">
        <v>150</v>
      </c>
      <c r="M1752" s="7">
        <v>30</v>
      </c>
      <c r="N1752" s="7">
        <v>60</v>
      </c>
      <c r="O1752" s="7">
        <v>45</v>
      </c>
      <c r="P1752" s="7">
        <v>165</v>
      </c>
    </row>
    <row r="1753" spans="1:16" s="10" customFormat="1">
      <c r="A1753" s="7">
        <f>IF(B1753="","",SUBTOTAL(103,$B$2:B1753))</f>
        <v>1752</v>
      </c>
      <c r="B1753" s="8" t="s">
        <v>4804</v>
      </c>
      <c r="C1753" s="7" t="s">
        <v>4805</v>
      </c>
      <c r="D1753" s="9" t="s">
        <v>4810</v>
      </c>
      <c r="E1753" s="7" t="s">
        <v>4807</v>
      </c>
      <c r="F1753" s="7" t="s">
        <v>4811</v>
      </c>
      <c r="G1753" s="7" t="s">
        <v>4812</v>
      </c>
      <c r="H1753" s="7">
        <v>7.5999999999999998E-2</v>
      </c>
      <c r="I1753" s="7">
        <v>64</v>
      </c>
      <c r="J1753" s="7">
        <v>800</v>
      </c>
      <c r="K1753" s="7">
        <v>600</v>
      </c>
      <c r="L1753" s="7">
        <v>150</v>
      </c>
      <c r="M1753" s="7">
        <v>30</v>
      </c>
      <c r="N1753" s="7">
        <v>60</v>
      </c>
      <c r="O1753" s="7">
        <v>45</v>
      </c>
      <c r="P1753" s="7">
        <v>165</v>
      </c>
    </row>
    <row r="1754" spans="1:16" s="10" customFormat="1">
      <c r="A1754" s="7">
        <f>IF(B1754="","",SUBTOTAL(103,$B$2:B1754))</f>
        <v>1753</v>
      </c>
      <c r="B1754" s="8" t="s">
        <v>4804</v>
      </c>
      <c r="C1754" s="7" t="s">
        <v>4813</v>
      </c>
      <c r="D1754" s="9" t="s">
        <v>4814</v>
      </c>
      <c r="E1754" s="7" t="s">
        <v>4807</v>
      </c>
      <c r="F1754" s="7" t="s">
        <v>4815</v>
      </c>
      <c r="G1754" s="7" t="s">
        <v>4816</v>
      </c>
      <c r="H1754" s="7">
        <v>3.1E-2</v>
      </c>
      <c r="I1754" s="7">
        <v>88</v>
      </c>
      <c r="J1754" s="7">
        <v>800</v>
      </c>
      <c r="K1754" s="7">
        <v>600</v>
      </c>
      <c r="L1754" s="7">
        <v>150</v>
      </c>
      <c r="M1754" s="7">
        <v>30</v>
      </c>
      <c r="N1754" s="7">
        <v>60</v>
      </c>
      <c r="O1754" s="7">
        <v>33.5</v>
      </c>
      <c r="P1754" s="7">
        <v>145</v>
      </c>
    </row>
    <row r="1755" spans="1:16" s="10" customFormat="1">
      <c r="A1755" s="7">
        <f>IF(B1755="","",SUBTOTAL(103,$B$2:B1755))</f>
        <v>1754</v>
      </c>
      <c r="B1755" s="8" t="s">
        <v>4804</v>
      </c>
      <c r="C1755" s="7" t="s">
        <v>4813</v>
      </c>
      <c r="D1755" s="9" t="s">
        <v>4817</v>
      </c>
      <c r="E1755" s="7" t="s">
        <v>4807</v>
      </c>
      <c r="F1755" s="7" t="s">
        <v>4818</v>
      </c>
      <c r="G1755" s="7" t="s">
        <v>4819</v>
      </c>
      <c r="H1755" s="7">
        <v>3.1E-2</v>
      </c>
      <c r="I1755" s="7">
        <v>88</v>
      </c>
      <c r="J1755" s="7">
        <v>800</v>
      </c>
      <c r="K1755" s="7">
        <v>600</v>
      </c>
      <c r="L1755" s="7">
        <v>150</v>
      </c>
      <c r="M1755" s="7">
        <v>30</v>
      </c>
      <c r="N1755" s="7">
        <v>60</v>
      </c>
      <c r="O1755" s="7">
        <v>33.5</v>
      </c>
      <c r="P1755" s="7">
        <v>145</v>
      </c>
    </row>
    <row r="1756" spans="1:16" s="10" customFormat="1">
      <c r="A1756" s="7">
        <f>IF(B1756="","",SUBTOTAL(103,$B$2:B1756))</f>
        <v>1755</v>
      </c>
      <c r="B1756" s="8" t="s">
        <v>4804</v>
      </c>
      <c r="C1756" s="7" t="s">
        <v>4820</v>
      </c>
      <c r="D1756" s="9" t="s">
        <v>4821</v>
      </c>
      <c r="E1756" s="7" t="s">
        <v>4807</v>
      </c>
      <c r="F1756" s="7" t="s">
        <v>4822</v>
      </c>
      <c r="G1756" s="7" t="s">
        <v>4823</v>
      </c>
      <c r="H1756" s="7">
        <v>1.4E-2</v>
      </c>
      <c r="I1756" s="7">
        <v>116</v>
      </c>
      <c r="J1756" s="7">
        <v>800</v>
      </c>
      <c r="K1756" s="7">
        <v>600</v>
      </c>
      <c r="L1756" s="7">
        <v>150</v>
      </c>
      <c r="M1756" s="7">
        <v>30</v>
      </c>
      <c r="N1756" s="7">
        <v>60</v>
      </c>
      <c r="O1756" s="7">
        <v>20</v>
      </c>
      <c r="P1756" s="7">
        <v>125</v>
      </c>
    </row>
    <row r="1757" spans="1:16" s="10" customFormat="1">
      <c r="A1757" s="7">
        <f>IF(B1757="","",SUBTOTAL(103,$B$2:B1757))</f>
        <v>1756</v>
      </c>
      <c r="B1757" s="8" t="s">
        <v>4804</v>
      </c>
      <c r="C1757" s="7" t="s">
        <v>4820</v>
      </c>
      <c r="D1757" s="9" t="s">
        <v>4824</v>
      </c>
      <c r="E1757" s="7" t="s">
        <v>4807</v>
      </c>
      <c r="F1757" s="7" t="s">
        <v>4825</v>
      </c>
      <c r="G1757" s="7" t="s">
        <v>4826</v>
      </c>
      <c r="H1757" s="7">
        <v>1.4E-2</v>
      </c>
      <c r="I1757" s="7">
        <v>116</v>
      </c>
      <c r="J1757" s="7">
        <v>800</v>
      </c>
      <c r="K1757" s="7">
        <v>600</v>
      </c>
      <c r="L1757" s="7">
        <v>150</v>
      </c>
      <c r="M1757" s="7">
        <v>30</v>
      </c>
      <c r="N1757" s="7">
        <v>60</v>
      </c>
      <c r="O1757" s="7">
        <v>20</v>
      </c>
      <c r="P1757" s="7">
        <v>125</v>
      </c>
    </row>
    <row r="1758" spans="1:16" s="10" customFormat="1">
      <c r="A1758" s="7">
        <f>IF(B1758="","",SUBTOTAL(103,$B$2:B1758))</f>
        <v>1757</v>
      </c>
      <c r="B1758" s="8" t="s">
        <v>4804</v>
      </c>
      <c r="C1758" s="7" t="s">
        <v>4827</v>
      </c>
      <c r="D1758" s="9" t="s">
        <v>4828</v>
      </c>
      <c r="E1758" s="7" t="s">
        <v>4807</v>
      </c>
      <c r="F1758" s="7" t="s">
        <v>4829</v>
      </c>
      <c r="G1758" s="7" t="s">
        <v>4830</v>
      </c>
      <c r="H1758" s="7">
        <v>8.0000000000000002E-3</v>
      </c>
      <c r="I1758" s="7">
        <v>138</v>
      </c>
      <c r="J1758" s="7">
        <v>800</v>
      </c>
      <c r="K1758" s="7">
        <v>600</v>
      </c>
      <c r="L1758" s="7">
        <v>150</v>
      </c>
      <c r="M1758" s="7">
        <v>30</v>
      </c>
      <c r="N1758" s="7">
        <v>60</v>
      </c>
      <c r="O1758" s="7">
        <v>17</v>
      </c>
      <c r="P1758" s="7">
        <v>115</v>
      </c>
    </row>
    <row r="1759" spans="1:16" s="10" customFormat="1">
      <c r="A1759" s="7">
        <f>IF(B1759="","",SUBTOTAL(103,$B$2:B1759))</f>
        <v>1758</v>
      </c>
      <c r="B1759" s="8" t="s">
        <v>4804</v>
      </c>
      <c r="C1759" s="7" t="s">
        <v>4827</v>
      </c>
      <c r="D1759" s="9" t="s">
        <v>4831</v>
      </c>
      <c r="E1759" s="7" t="s">
        <v>4807</v>
      </c>
      <c r="F1759" s="7" t="s">
        <v>4832</v>
      </c>
      <c r="G1759" s="7" t="s">
        <v>4833</v>
      </c>
      <c r="H1759" s="7">
        <v>8.0000000000000002E-3</v>
      </c>
      <c r="I1759" s="7">
        <v>138</v>
      </c>
      <c r="J1759" s="7">
        <v>800</v>
      </c>
      <c r="K1759" s="7">
        <v>600</v>
      </c>
      <c r="L1759" s="7">
        <v>150</v>
      </c>
      <c r="M1759" s="7">
        <v>30</v>
      </c>
      <c r="N1759" s="7">
        <v>60</v>
      </c>
      <c r="O1759" s="7">
        <v>17</v>
      </c>
      <c r="P1759" s="7">
        <v>115</v>
      </c>
    </row>
    <row r="1760" spans="1:16" s="10" customFormat="1">
      <c r="A1760" s="7">
        <f>IF(B1760="","",SUBTOTAL(103,$B$2:B1760))</f>
        <v>1759</v>
      </c>
      <c r="B1760" s="8" t="s">
        <v>4804</v>
      </c>
      <c r="C1760" s="7" t="s">
        <v>4834</v>
      </c>
      <c r="D1760" s="9" t="s">
        <v>4835</v>
      </c>
      <c r="E1760" s="7" t="s">
        <v>4807</v>
      </c>
      <c r="F1760" s="7" t="s">
        <v>4836</v>
      </c>
      <c r="G1760" s="7" t="s">
        <v>4837</v>
      </c>
      <c r="H1760" s="7">
        <v>0.14299999999999999</v>
      </c>
      <c r="I1760" s="7">
        <v>40</v>
      </c>
      <c r="J1760" s="7">
        <v>800</v>
      </c>
      <c r="K1760" s="7">
        <v>600</v>
      </c>
      <c r="L1760" s="7">
        <v>150</v>
      </c>
      <c r="M1760" s="7">
        <v>30</v>
      </c>
      <c r="N1760" s="7">
        <v>60</v>
      </c>
      <c r="O1760" s="7">
        <v>45</v>
      </c>
      <c r="P1760" s="7">
        <v>225</v>
      </c>
    </row>
    <row r="1761" spans="1:16" s="10" customFormat="1">
      <c r="A1761" s="7">
        <f>IF(B1761="","",SUBTOTAL(103,$B$2:B1761))</f>
        <v>1760</v>
      </c>
      <c r="B1761" s="8" t="s">
        <v>4804</v>
      </c>
      <c r="C1761" s="7" t="s">
        <v>4834</v>
      </c>
      <c r="D1761" s="9" t="s">
        <v>4838</v>
      </c>
      <c r="E1761" s="7" t="s">
        <v>4807</v>
      </c>
      <c r="F1761" s="7" t="s">
        <v>4839</v>
      </c>
      <c r="G1761" s="7" t="s">
        <v>4840</v>
      </c>
      <c r="H1761" s="7">
        <v>0.14299999999999999</v>
      </c>
      <c r="I1761" s="7">
        <v>40</v>
      </c>
      <c r="J1761" s="7">
        <v>800</v>
      </c>
      <c r="K1761" s="7">
        <v>600</v>
      </c>
      <c r="L1761" s="7">
        <v>150</v>
      </c>
      <c r="M1761" s="7">
        <v>30</v>
      </c>
      <c r="N1761" s="7">
        <v>60</v>
      </c>
      <c r="O1761" s="7">
        <v>45</v>
      </c>
      <c r="P1761" s="7">
        <v>225</v>
      </c>
    </row>
    <row r="1762" spans="1:16" s="10" customFormat="1">
      <c r="A1762" s="7">
        <f>IF(B1762="","",SUBTOTAL(103,$B$2:B1762))</f>
        <v>1761</v>
      </c>
      <c r="B1762" s="8" t="s">
        <v>4804</v>
      </c>
      <c r="C1762" s="7" t="s">
        <v>4841</v>
      </c>
      <c r="D1762" s="9" t="s">
        <v>4842</v>
      </c>
      <c r="E1762" s="7" t="s">
        <v>4807</v>
      </c>
      <c r="F1762" s="7" t="s">
        <v>4843</v>
      </c>
      <c r="G1762" s="7" t="s">
        <v>4844</v>
      </c>
      <c r="H1762" s="7">
        <v>0.112</v>
      </c>
      <c r="I1762" s="7">
        <v>48</v>
      </c>
      <c r="J1762" s="7">
        <v>800</v>
      </c>
      <c r="K1762" s="7">
        <v>600</v>
      </c>
      <c r="L1762" s="7">
        <v>150</v>
      </c>
      <c r="M1762" s="7">
        <v>30</v>
      </c>
      <c r="N1762" s="7">
        <v>60</v>
      </c>
      <c r="O1762" s="7">
        <v>41</v>
      </c>
      <c r="P1762" s="7">
        <v>200</v>
      </c>
    </row>
    <row r="1763" spans="1:16" s="10" customFormat="1">
      <c r="A1763" s="7">
        <f>IF(B1763="","",SUBTOTAL(103,$B$2:B1763))</f>
        <v>1762</v>
      </c>
      <c r="B1763" s="8" t="s">
        <v>4804</v>
      </c>
      <c r="C1763" s="7" t="s">
        <v>4841</v>
      </c>
      <c r="D1763" s="9" t="s">
        <v>4845</v>
      </c>
      <c r="E1763" s="7" t="s">
        <v>4807</v>
      </c>
      <c r="F1763" s="7" t="s">
        <v>4846</v>
      </c>
      <c r="G1763" s="7" t="s">
        <v>4847</v>
      </c>
      <c r="H1763" s="7">
        <v>0.112</v>
      </c>
      <c r="I1763" s="7">
        <v>48</v>
      </c>
      <c r="J1763" s="7">
        <v>800</v>
      </c>
      <c r="K1763" s="7">
        <v>600</v>
      </c>
      <c r="L1763" s="7">
        <v>150</v>
      </c>
      <c r="M1763" s="7">
        <v>30</v>
      </c>
      <c r="N1763" s="7">
        <v>60</v>
      </c>
      <c r="O1763" s="7">
        <v>41</v>
      </c>
      <c r="P1763" s="7">
        <v>200</v>
      </c>
    </row>
    <row r="1764" spans="1:16" s="10" customFormat="1">
      <c r="A1764" s="7">
        <f>IF(B1764="","",SUBTOTAL(103,$B$2:B1764))</f>
        <v>1763</v>
      </c>
      <c r="B1764" s="8" t="s">
        <v>4804</v>
      </c>
      <c r="C1764" s="7" t="s">
        <v>4848</v>
      </c>
      <c r="D1764" s="9" t="s">
        <v>4849</v>
      </c>
      <c r="E1764" s="7" t="s">
        <v>4807</v>
      </c>
      <c r="F1764" s="7" t="s">
        <v>4850</v>
      </c>
      <c r="G1764" s="7" t="s">
        <v>4851</v>
      </c>
      <c r="H1764" s="7">
        <v>0.216</v>
      </c>
      <c r="I1764" s="7">
        <v>28</v>
      </c>
      <c r="J1764" s="7">
        <v>800</v>
      </c>
      <c r="K1764" s="7">
        <v>600</v>
      </c>
      <c r="L1764" s="7">
        <v>150</v>
      </c>
      <c r="M1764" s="7">
        <v>30</v>
      </c>
      <c r="N1764" s="7">
        <v>60</v>
      </c>
      <c r="O1764" s="7">
        <v>70</v>
      </c>
      <c r="P1764" s="7">
        <v>500</v>
      </c>
    </row>
    <row r="1765" spans="1:16" s="10" customFormat="1">
      <c r="A1765" s="7">
        <f>IF(B1765="","",SUBTOTAL(103,$B$2:B1765))</f>
        <v>1764</v>
      </c>
      <c r="B1765" s="8" t="s">
        <v>4804</v>
      </c>
      <c r="C1765" s="7" t="s">
        <v>4848</v>
      </c>
      <c r="D1765" s="9" t="s">
        <v>4852</v>
      </c>
      <c r="E1765" s="7" t="s">
        <v>4807</v>
      </c>
      <c r="F1765" s="7" t="s">
        <v>4853</v>
      </c>
      <c r="G1765" s="7" t="s">
        <v>4854</v>
      </c>
      <c r="H1765" s="7">
        <v>0.216</v>
      </c>
      <c r="I1765" s="7">
        <v>28</v>
      </c>
      <c r="J1765" s="7">
        <v>800</v>
      </c>
      <c r="K1765" s="7">
        <v>600</v>
      </c>
      <c r="L1765" s="7">
        <v>150</v>
      </c>
      <c r="M1765" s="7">
        <v>30</v>
      </c>
      <c r="N1765" s="7">
        <v>60</v>
      </c>
      <c r="O1765" s="7">
        <v>70</v>
      </c>
      <c r="P1765" s="7">
        <v>500</v>
      </c>
    </row>
    <row r="1766" spans="1:16" s="10" customFormat="1">
      <c r="A1766" s="7">
        <f>IF(B1766="","",SUBTOTAL(103,$B$2:B1766))</f>
        <v>1765</v>
      </c>
      <c r="B1766" s="8" t="s">
        <v>4804</v>
      </c>
      <c r="C1766" s="7" t="s">
        <v>4855</v>
      </c>
      <c r="D1766" s="9" t="s">
        <v>4856</v>
      </c>
      <c r="E1766" s="7" t="s">
        <v>4807</v>
      </c>
      <c r="F1766" s="7" t="s">
        <v>4857</v>
      </c>
      <c r="G1766" s="7" t="s">
        <v>4858</v>
      </c>
      <c r="H1766" s="7">
        <v>0.53800000000000003</v>
      </c>
      <c r="I1766" s="7">
        <v>12</v>
      </c>
      <c r="J1766" s="7">
        <v>800</v>
      </c>
      <c r="K1766" s="7">
        <v>600</v>
      </c>
      <c r="L1766" s="7">
        <v>150</v>
      </c>
      <c r="M1766" s="7">
        <v>30</v>
      </c>
      <c r="N1766" s="7">
        <v>60</v>
      </c>
      <c r="O1766" s="7">
        <v>150</v>
      </c>
      <c r="P1766" s="7">
        <v>615</v>
      </c>
    </row>
    <row r="1767" spans="1:16" s="10" customFormat="1">
      <c r="A1767" s="7">
        <f>IF(B1767="","",SUBTOTAL(103,$B$2:B1767))</f>
        <v>1766</v>
      </c>
      <c r="B1767" s="8" t="s">
        <v>4804</v>
      </c>
      <c r="C1767" s="7" t="s">
        <v>4855</v>
      </c>
      <c r="D1767" s="9" t="s">
        <v>4859</v>
      </c>
      <c r="E1767" s="7" t="s">
        <v>4807</v>
      </c>
      <c r="F1767" s="7" t="s">
        <v>4860</v>
      </c>
      <c r="G1767" s="7" t="s">
        <v>4861</v>
      </c>
      <c r="H1767" s="7">
        <v>0.53800000000000003</v>
      </c>
      <c r="I1767" s="7">
        <v>12</v>
      </c>
      <c r="J1767" s="7">
        <v>800</v>
      </c>
      <c r="K1767" s="7">
        <v>600</v>
      </c>
      <c r="L1767" s="7">
        <v>150</v>
      </c>
      <c r="M1767" s="7">
        <v>30</v>
      </c>
      <c r="N1767" s="7">
        <v>60</v>
      </c>
      <c r="O1767" s="7">
        <v>150</v>
      </c>
      <c r="P1767" s="7">
        <v>615</v>
      </c>
    </row>
    <row r="1768" spans="1:16" s="10" customFormat="1">
      <c r="A1768" s="7">
        <f>IF(B1768="","",SUBTOTAL(103,$B$2:B1768))</f>
        <v>1767</v>
      </c>
      <c r="B1768" s="8" t="s">
        <v>4804</v>
      </c>
      <c r="C1768" s="7" t="s">
        <v>4862</v>
      </c>
      <c r="D1768" s="9" t="s">
        <v>4863</v>
      </c>
      <c r="E1768" s="7" t="s">
        <v>4807</v>
      </c>
      <c r="F1768" s="7" t="s">
        <v>4864</v>
      </c>
      <c r="G1768" s="7" t="s">
        <v>4865</v>
      </c>
      <c r="H1768" s="7">
        <v>0.84399999999999997</v>
      </c>
      <c r="I1768" s="7">
        <v>8</v>
      </c>
      <c r="J1768" s="7">
        <v>800</v>
      </c>
      <c r="K1768" s="7">
        <v>600</v>
      </c>
      <c r="L1768" s="7">
        <v>150</v>
      </c>
      <c r="M1768" s="7">
        <v>30</v>
      </c>
      <c r="N1768" s="7">
        <v>60</v>
      </c>
      <c r="O1768" s="7">
        <v>225</v>
      </c>
      <c r="P1768" s="7">
        <v>250</v>
      </c>
    </row>
    <row r="1769" spans="1:16" s="10" customFormat="1">
      <c r="A1769" s="7">
        <f>IF(B1769="","",SUBTOTAL(103,$B$2:B1769))</f>
        <v>1768</v>
      </c>
      <c r="B1769" s="8" t="s">
        <v>4804</v>
      </c>
      <c r="C1769" s="7" t="s">
        <v>4862</v>
      </c>
      <c r="D1769" s="9" t="s">
        <v>4866</v>
      </c>
      <c r="E1769" s="7" t="s">
        <v>4807</v>
      </c>
      <c r="F1769" s="7" t="s">
        <v>4867</v>
      </c>
      <c r="G1769" s="7" t="s">
        <v>4868</v>
      </c>
      <c r="H1769" s="7">
        <v>0.84399999999999997</v>
      </c>
      <c r="I1769" s="7">
        <v>8</v>
      </c>
      <c r="J1769" s="7">
        <v>800</v>
      </c>
      <c r="K1769" s="7">
        <v>600</v>
      </c>
      <c r="L1769" s="7">
        <v>150</v>
      </c>
      <c r="M1769" s="7">
        <v>30</v>
      </c>
      <c r="N1769" s="7">
        <v>60</v>
      </c>
      <c r="O1769" s="7">
        <v>225</v>
      </c>
      <c r="P1769" s="7">
        <v>250</v>
      </c>
    </row>
    <row r="1770" spans="1:16" s="10" customFormat="1">
      <c r="A1770" s="7">
        <f>IF(B1770="","",SUBTOTAL(103,$B$2:B1770))</f>
        <v>1769</v>
      </c>
      <c r="B1770" s="8" t="s">
        <v>4804</v>
      </c>
      <c r="C1770" s="7" t="s">
        <v>4869</v>
      </c>
      <c r="D1770" s="9" t="s">
        <v>4870</v>
      </c>
      <c r="E1770" s="7" t="s">
        <v>4807</v>
      </c>
      <c r="F1770" s="7" t="s">
        <v>4871</v>
      </c>
      <c r="G1770" s="7" t="s">
        <v>4872</v>
      </c>
      <c r="H1770" s="7">
        <v>4.4999999999999998E-2</v>
      </c>
      <c r="I1770" s="7">
        <v>68</v>
      </c>
      <c r="J1770" s="7">
        <v>800</v>
      </c>
      <c r="K1770" s="7">
        <v>600</v>
      </c>
      <c r="L1770" s="7">
        <v>150</v>
      </c>
      <c r="M1770" s="7">
        <v>30</v>
      </c>
      <c r="N1770" s="7">
        <v>60</v>
      </c>
      <c r="O1770" s="7">
        <v>30</v>
      </c>
      <c r="P1770" s="7">
        <v>155</v>
      </c>
    </row>
    <row r="1771" spans="1:16" s="10" customFormat="1">
      <c r="A1771" s="7">
        <f>IF(B1771="","",SUBTOTAL(103,$B$2:B1771))</f>
        <v>1770</v>
      </c>
      <c r="B1771" s="8" t="s">
        <v>4804</v>
      </c>
      <c r="C1771" s="7" t="s">
        <v>4869</v>
      </c>
      <c r="D1771" s="9" t="s">
        <v>4873</v>
      </c>
      <c r="E1771" s="7" t="s">
        <v>4807</v>
      </c>
      <c r="F1771" s="7" t="s">
        <v>4874</v>
      </c>
      <c r="G1771" s="7" t="s">
        <v>4875</v>
      </c>
      <c r="H1771" s="7">
        <v>4.4999999999999998E-2</v>
      </c>
      <c r="I1771" s="7">
        <v>68</v>
      </c>
      <c r="J1771" s="7">
        <v>800</v>
      </c>
      <c r="K1771" s="7">
        <v>600</v>
      </c>
      <c r="L1771" s="7">
        <v>150</v>
      </c>
      <c r="M1771" s="7">
        <v>30</v>
      </c>
      <c r="N1771" s="7">
        <v>60</v>
      </c>
      <c r="O1771" s="7">
        <v>30</v>
      </c>
      <c r="P1771" s="7">
        <v>155</v>
      </c>
    </row>
    <row r="1772" spans="1:16" s="10" customFormat="1">
      <c r="A1772" s="7">
        <f>IF(B1772="","",SUBTOTAL(103,$B$2:B1772))</f>
        <v>1771</v>
      </c>
      <c r="B1772" s="8" t="s">
        <v>4804</v>
      </c>
      <c r="C1772" s="7" t="s">
        <v>4876</v>
      </c>
      <c r="D1772" s="9" t="s">
        <v>4877</v>
      </c>
      <c r="E1772" s="7" t="s">
        <v>4807</v>
      </c>
      <c r="F1772" s="7" t="s">
        <v>1763</v>
      </c>
      <c r="G1772" s="7" t="s">
        <v>4878</v>
      </c>
      <c r="H1772" s="7">
        <v>2.3E-2</v>
      </c>
      <c r="I1772" s="7">
        <v>116</v>
      </c>
      <c r="J1772" s="7">
        <v>800</v>
      </c>
      <c r="K1772" s="7">
        <v>600</v>
      </c>
      <c r="L1772" s="7">
        <v>150</v>
      </c>
      <c r="M1772" s="7">
        <v>30</v>
      </c>
      <c r="N1772" s="7">
        <v>60</v>
      </c>
      <c r="O1772" s="7">
        <v>20</v>
      </c>
      <c r="P1772" s="7">
        <v>135</v>
      </c>
    </row>
    <row r="1773" spans="1:16" s="10" customFormat="1">
      <c r="A1773" s="7">
        <f>IF(B1773="","",SUBTOTAL(103,$B$2:B1773))</f>
        <v>1772</v>
      </c>
      <c r="B1773" s="8" t="s">
        <v>4804</v>
      </c>
      <c r="C1773" s="7" t="s">
        <v>4876</v>
      </c>
      <c r="D1773" s="9" t="s">
        <v>4879</v>
      </c>
      <c r="E1773" s="7" t="s">
        <v>4807</v>
      </c>
      <c r="F1773" s="7" t="s">
        <v>4880</v>
      </c>
      <c r="G1773" s="7" t="s">
        <v>4881</v>
      </c>
      <c r="H1773" s="7">
        <v>2.3E-2</v>
      </c>
      <c r="I1773" s="7">
        <v>116</v>
      </c>
      <c r="J1773" s="7">
        <v>800</v>
      </c>
      <c r="K1773" s="7">
        <v>600</v>
      </c>
      <c r="L1773" s="7">
        <v>150</v>
      </c>
      <c r="M1773" s="7">
        <v>30</v>
      </c>
      <c r="N1773" s="7">
        <v>60</v>
      </c>
      <c r="O1773" s="7">
        <v>20</v>
      </c>
      <c r="P1773" s="7">
        <v>135</v>
      </c>
    </row>
    <row r="1774" spans="1:16" s="10" customFormat="1">
      <c r="A1774" s="7">
        <f>IF(B1774="","",SUBTOTAL(103,$B$2:B1774))</f>
        <v>1773</v>
      </c>
      <c r="B1774" s="8" t="s">
        <v>4804</v>
      </c>
      <c r="C1774" s="7" t="s">
        <v>4882</v>
      </c>
      <c r="D1774" s="9" t="s">
        <v>4883</v>
      </c>
      <c r="E1774" s="7" t="s">
        <v>4807</v>
      </c>
      <c r="F1774" s="7" t="s">
        <v>4884</v>
      </c>
      <c r="G1774" s="7" t="s">
        <v>4885</v>
      </c>
      <c r="H1774" s="7">
        <v>1.4390000000000001</v>
      </c>
      <c r="I1774" s="7">
        <v>5</v>
      </c>
      <c r="J1774" s="7">
        <v>800</v>
      </c>
      <c r="K1774" s="7">
        <v>600</v>
      </c>
      <c r="L1774" s="7">
        <v>150</v>
      </c>
      <c r="M1774" s="7">
        <v>30</v>
      </c>
      <c r="N1774" s="7">
        <v>60</v>
      </c>
      <c r="O1774" s="7">
        <v>400</v>
      </c>
      <c r="P1774" s="7">
        <v>565</v>
      </c>
    </row>
    <row r="1775" spans="1:16" s="10" customFormat="1">
      <c r="A1775" s="7">
        <f>IF(B1775="","",SUBTOTAL(103,$B$2:B1775))</f>
        <v>1774</v>
      </c>
      <c r="B1775" s="8" t="s">
        <v>4886</v>
      </c>
      <c r="C1775" s="7" t="s">
        <v>4887</v>
      </c>
      <c r="D1775" s="9" t="s">
        <v>4888</v>
      </c>
      <c r="E1775" s="7" t="s">
        <v>4889</v>
      </c>
      <c r="F1775" s="7" t="s">
        <v>4890</v>
      </c>
      <c r="G1775" s="7" t="s">
        <v>4891</v>
      </c>
      <c r="H1775" s="7">
        <v>0.24</v>
      </c>
      <c r="I1775" s="7">
        <v>28</v>
      </c>
      <c r="J1775" s="7">
        <v>800</v>
      </c>
      <c r="K1775" s="7">
        <v>600</v>
      </c>
      <c r="L1775" s="7">
        <v>150</v>
      </c>
      <c r="M1775" s="7">
        <v>30</v>
      </c>
      <c r="N1775" s="7">
        <v>60</v>
      </c>
      <c r="O1775" s="7">
        <v>70</v>
      </c>
      <c r="P1775" s="7">
        <v>225</v>
      </c>
    </row>
    <row r="1776" spans="1:16" s="10" customFormat="1">
      <c r="A1776" s="7">
        <f>IF(B1776="","",SUBTOTAL(103,$B$2:B1776))</f>
        <v>1775</v>
      </c>
      <c r="B1776" s="8" t="s">
        <v>4886</v>
      </c>
      <c r="C1776" s="7" t="s">
        <v>4887</v>
      </c>
      <c r="D1776" s="9" t="s">
        <v>4892</v>
      </c>
      <c r="E1776" s="7" t="s">
        <v>4889</v>
      </c>
      <c r="F1776" s="7" t="s">
        <v>4893</v>
      </c>
      <c r="G1776" s="7" t="s">
        <v>4894</v>
      </c>
      <c r="H1776" s="7">
        <v>0.25</v>
      </c>
      <c r="I1776" s="7">
        <v>28</v>
      </c>
      <c r="J1776" s="7">
        <v>800</v>
      </c>
      <c r="K1776" s="7">
        <v>600</v>
      </c>
      <c r="L1776" s="7">
        <v>150</v>
      </c>
      <c r="M1776" s="7">
        <v>30</v>
      </c>
      <c r="N1776" s="7">
        <v>60</v>
      </c>
      <c r="O1776" s="7">
        <v>70</v>
      </c>
      <c r="P1776" s="7">
        <v>225</v>
      </c>
    </row>
    <row r="1777" spans="1:16" s="10" customFormat="1">
      <c r="A1777" s="7">
        <f>IF(B1777="","",SUBTOTAL(103,$B$2:B1777))</f>
        <v>1776</v>
      </c>
      <c r="B1777" s="8" t="s">
        <v>4886</v>
      </c>
      <c r="C1777" s="7" t="s">
        <v>4895</v>
      </c>
      <c r="D1777" s="9" t="s">
        <v>4896</v>
      </c>
      <c r="E1777" s="7" t="s">
        <v>4889</v>
      </c>
      <c r="F1777" s="7" t="s">
        <v>4897</v>
      </c>
      <c r="G1777" s="7" t="s">
        <v>4898</v>
      </c>
      <c r="H1777" s="7">
        <v>0.1</v>
      </c>
      <c r="I1777" s="7">
        <v>38</v>
      </c>
      <c r="J1777" s="7">
        <v>800</v>
      </c>
      <c r="K1777" s="7">
        <v>600</v>
      </c>
      <c r="L1777" s="7">
        <v>150</v>
      </c>
      <c r="M1777" s="7">
        <v>30</v>
      </c>
      <c r="N1777" s="7">
        <v>60</v>
      </c>
      <c r="O1777" s="7">
        <v>50</v>
      </c>
      <c r="P1777" s="7">
        <v>145</v>
      </c>
    </row>
    <row r="1778" spans="1:16" s="10" customFormat="1">
      <c r="A1778" s="7">
        <f>IF(B1778="","",SUBTOTAL(103,$B$2:B1778))</f>
        <v>1777</v>
      </c>
      <c r="B1778" s="8" t="s">
        <v>4886</v>
      </c>
      <c r="C1778" s="7" t="s">
        <v>4895</v>
      </c>
      <c r="D1778" s="9" t="s">
        <v>4899</v>
      </c>
      <c r="E1778" s="7" t="s">
        <v>4889</v>
      </c>
      <c r="F1778" s="7" t="s">
        <v>4900</v>
      </c>
      <c r="G1778" s="7" t="s">
        <v>4901</v>
      </c>
      <c r="H1778" s="7">
        <v>0.1</v>
      </c>
      <c r="I1778" s="7">
        <v>38</v>
      </c>
      <c r="J1778" s="7">
        <v>800</v>
      </c>
      <c r="K1778" s="7">
        <v>600</v>
      </c>
      <c r="L1778" s="7">
        <v>150</v>
      </c>
      <c r="M1778" s="7">
        <v>30</v>
      </c>
      <c r="N1778" s="7">
        <v>60</v>
      </c>
      <c r="O1778" s="7">
        <v>50</v>
      </c>
      <c r="P1778" s="7">
        <v>145</v>
      </c>
    </row>
    <row r="1779" spans="1:16" s="10" customFormat="1">
      <c r="A1779" s="7">
        <f>IF(B1779="","",SUBTOTAL(103,$B$2:B1779))</f>
        <v>1778</v>
      </c>
      <c r="B1779" s="8" t="s">
        <v>4886</v>
      </c>
      <c r="C1779" s="7" t="s">
        <v>4902</v>
      </c>
      <c r="D1779" s="9" t="s">
        <v>4903</v>
      </c>
      <c r="E1779" s="7" t="s">
        <v>4889</v>
      </c>
      <c r="F1779" s="7" t="s">
        <v>4904</v>
      </c>
      <c r="G1779" s="7" t="s">
        <v>4905</v>
      </c>
      <c r="H1779" s="7">
        <v>0.05</v>
      </c>
      <c r="I1779" s="7">
        <v>56</v>
      </c>
      <c r="J1779" s="7">
        <v>800</v>
      </c>
      <c r="K1779" s="7">
        <v>600</v>
      </c>
      <c r="L1779" s="7">
        <v>150</v>
      </c>
      <c r="M1779" s="7">
        <v>30</v>
      </c>
      <c r="N1779" s="7">
        <v>60</v>
      </c>
      <c r="O1779" s="7">
        <v>34</v>
      </c>
      <c r="P1779" s="7">
        <v>170</v>
      </c>
    </row>
    <row r="1780" spans="1:16" s="10" customFormat="1">
      <c r="A1780" s="7">
        <f>IF(B1780="","",SUBTOTAL(103,$B$2:B1780))</f>
        <v>1779</v>
      </c>
      <c r="B1780" s="8" t="s">
        <v>4886</v>
      </c>
      <c r="C1780" s="7" t="s">
        <v>4902</v>
      </c>
      <c r="D1780" s="9" t="s">
        <v>4906</v>
      </c>
      <c r="E1780" s="7" t="s">
        <v>4889</v>
      </c>
      <c r="F1780" s="7" t="s">
        <v>4907</v>
      </c>
      <c r="G1780" s="7" t="s">
        <v>4908</v>
      </c>
      <c r="H1780" s="7">
        <v>0.05</v>
      </c>
      <c r="I1780" s="7">
        <v>56</v>
      </c>
      <c r="J1780" s="7">
        <v>800</v>
      </c>
      <c r="K1780" s="7">
        <v>600</v>
      </c>
      <c r="L1780" s="7">
        <v>150</v>
      </c>
      <c r="M1780" s="7">
        <v>30</v>
      </c>
      <c r="N1780" s="7">
        <v>60</v>
      </c>
      <c r="O1780" s="7">
        <v>34</v>
      </c>
      <c r="P1780" s="7">
        <v>170</v>
      </c>
    </row>
    <row r="1781" spans="1:16" s="10" customFormat="1">
      <c r="A1781" s="7">
        <f>IF(B1781="","",SUBTOTAL(103,$B$2:B1781))</f>
        <v>1780</v>
      </c>
      <c r="B1781" s="8" t="s">
        <v>4886</v>
      </c>
      <c r="C1781" s="7" t="s">
        <v>4909</v>
      </c>
      <c r="D1781" s="9" t="s">
        <v>4910</v>
      </c>
      <c r="E1781" s="7" t="s">
        <v>4889</v>
      </c>
      <c r="F1781" s="7" t="s">
        <v>3309</v>
      </c>
      <c r="G1781" s="7" t="s">
        <v>4911</v>
      </c>
      <c r="H1781" s="7">
        <v>0.03</v>
      </c>
      <c r="I1781" s="7">
        <v>68</v>
      </c>
      <c r="J1781" s="7">
        <v>800</v>
      </c>
      <c r="K1781" s="7">
        <v>600</v>
      </c>
      <c r="L1781" s="7">
        <v>150</v>
      </c>
      <c r="M1781" s="7">
        <v>30</v>
      </c>
      <c r="N1781" s="7">
        <v>60</v>
      </c>
      <c r="O1781" s="7">
        <v>30</v>
      </c>
      <c r="P1781" s="7">
        <v>170</v>
      </c>
    </row>
    <row r="1782" spans="1:16" s="10" customFormat="1">
      <c r="A1782" s="7">
        <f>IF(B1782="","",SUBTOTAL(103,$B$2:B1782))</f>
        <v>1781</v>
      </c>
      <c r="B1782" s="8" t="s">
        <v>4886</v>
      </c>
      <c r="C1782" s="7" t="s">
        <v>4909</v>
      </c>
      <c r="D1782" s="9" t="s">
        <v>4912</v>
      </c>
      <c r="E1782" s="7" t="s">
        <v>4889</v>
      </c>
      <c r="F1782" s="7" t="s">
        <v>4913</v>
      </c>
      <c r="G1782" s="7" t="s">
        <v>4914</v>
      </c>
      <c r="H1782" s="7">
        <v>0.03</v>
      </c>
      <c r="I1782" s="7">
        <v>68</v>
      </c>
      <c r="J1782" s="7">
        <v>800</v>
      </c>
      <c r="K1782" s="7">
        <v>600</v>
      </c>
      <c r="L1782" s="7">
        <v>150</v>
      </c>
      <c r="M1782" s="7">
        <v>30</v>
      </c>
      <c r="N1782" s="7">
        <v>60</v>
      </c>
      <c r="O1782" s="7">
        <v>30</v>
      </c>
      <c r="P1782" s="7">
        <v>170</v>
      </c>
    </row>
    <row r="1783" spans="1:16" s="10" customFormat="1">
      <c r="A1783" s="7">
        <f>IF(B1783="","",SUBTOTAL(103,$B$2:B1783))</f>
        <v>1782</v>
      </c>
      <c r="B1783" s="8" t="s">
        <v>4886</v>
      </c>
      <c r="C1783" s="7" t="s">
        <v>4915</v>
      </c>
      <c r="D1783" s="9" t="s">
        <v>4916</v>
      </c>
      <c r="E1783" s="7" t="s">
        <v>4889</v>
      </c>
      <c r="F1783" s="7" t="s">
        <v>4917</v>
      </c>
      <c r="G1783" s="7" t="s">
        <v>4918</v>
      </c>
      <c r="H1783" s="7">
        <v>0.46</v>
      </c>
      <c r="I1783" s="7">
        <v>16</v>
      </c>
      <c r="J1783" s="7">
        <v>800</v>
      </c>
      <c r="K1783" s="7">
        <v>600</v>
      </c>
      <c r="L1783" s="7">
        <v>150</v>
      </c>
      <c r="M1783" s="7">
        <v>30</v>
      </c>
      <c r="N1783" s="7">
        <v>60</v>
      </c>
      <c r="O1783" s="7">
        <v>125</v>
      </c>
      <c r="P1783" s="7">
        <v>265.88</v>
      </c>
    </row>
    <row r="1784" spans="1:16" s="10" customFormat="1">
      <c r="A1784" s="7">
        <f>IF(B1784="","",SUBTOTAL(103,$B$2:B1784))</f>
        <v>1783</v>
      </c>
      <c r="B1784" s="8" t="s">
        <v>4886</v>
      </c>
      <c r="C1784" s="7" t="s">
        <v>4915</v>
      </c>
      <c r="D1784" s="9" t="s">
        <v>4919</v>
      </c>
      <c r="E1784" s="7" t="s">
        <v>4889</v>
      </c>
      <c r="F1784" s="7" t="s">
        <v>4920</v>
      </c>
      <c r="G1784" s="7" t="s">
        <v>4921</v>
      </c>
      <c r="H1784" s="7">
        <v>0.46</v>
      </c>
      <c r="I1784" s="7">
        <v>16</v>
      </c>
      <c r="J1784" s="7">
        <v>800</v>
      </c>
      <c r="K1784" s="7">
        <v>600</v>
      </c>
      <c r="L1784" s="7">
        <v>150</v>
      </c>
      <c r="M1784" s="7">
        <v>30</v>
      </c>
      <c r="N1784" s="7">
        <v>60</v>
      </c>
      <c r="O1784" s="7">
        <v>125</v>
      </c>
      <c r="P1784" s="7">
        <v>265.88</v>
      </c>
    </row>
    <row r="1785" spans="1:16" s="10" customFormat="1">
      <c r="A1785" s="7">
        <f>IF(B1785="","",SUBTOTAL(103,$B$2:B1785))</f>
        <v>1784</v>
      </c>
      <c r="B1785" s="8" t="s">
        <v>4886</v>
      </c>
      <c r="C1785" s="7" t="s">
        <v>4922</v>
      </c>
      <c r="D1785" s="9" t="s">
        <v>4923</v>
      </c>
      <c r="E1785" s="7" t="s">
        <v>4889</v>
      </c>
      <c r="F1785" s="7" t="s">
        <v>4924</v>
      </c>
      <c r="G1785" s="7" t="s">
        <v>4925</v>
      </c>
      <c r="H1785" s="7">
        <v>0.245</v>
      </c>
      <c r="I1785" s="7">
        <v>24</v>
      </c>
      <c r="J1785" s="7">
        <v>800</v>
      </c>
      <c r="K1785" s="7">
        <v>600</v>
      </c>
      <c r="L1785" s="7">
        <v>150</v>
      </c>
      <c r="M1785" s="7">
        <v>30</v>
      </c>
      <c r="N1785" s="7">
        <v>60</v>
      </c>
      <c r="O1785" s="7">
        <v>75</v>
      </c>
      <c r="P1785" s="7">
        <v>225</v>
      </c>
    </row>
    <row r="1786" spans="1:16" s="10" customFormat="1">
      <c r="A1786" s="7">
        <f>IF(B1786="","",SUBTOTAL(103,$B$2:B1786))</f>
        <v>1785</v>
      </c>
      <c r="B1786" s="8" t="s">
        <v>4886</v>
      </c>
      <c r="C1786" s="7" t="s">
        <v>4922</v>
      </c>
      <c r="D1786" s="9" t="s">
        <v>4926</v>
      </c>
      <c r="E1786" s="7" t="s">
        <v>4889</v>
      </c>
      <c r="F1786" s="7" t="s">
        <v>4927</v>
      </c>
      <c r="G1786" s="7" t="s">
        <v>4928</v>
      </c>
      <c r="H1786" s="7">
        <v>0.245</v>
      </c>
      <c r="I1786" s="7">
        <v>24</v>
      </c>
      <c r="J1786" s="7">
        <v>800</v>
      </c>
      <c r="K1786" s="7">
        <v>600</v>
      </c>
      <c r="L1786" s="7">
        <v>150</v>
      </c>
      <c r="M1786" s="7">
        <v>30</v>
      </c>
      <c r="N1786" s="7">
        <v>60</v>
      </c>
      <c r="O1786" s="7">
        <v>75</v>
      </c>
      <c r="P1786" s="7">
        <v>225</v>
      </c>
    </row>
    <row r="1787" spans="1:16" s="10" customFormat="1">
      <c r="A1787" s="7">
        <f>IF(B1787="","",SUBTOTAL(103,$B$2:B1787))</f>
        <v>1786</v>
      </c>
      <c r="B1787" s="8" t="s">
        <v>4886</v>
      </c>
      <c r="C1787" s="7" t="s">
        <v>4929</v>
      </c>
      <c r="D1787" s="9" t="s">
        <v>4930</v>
      </c>
      <c r="E1787" s="7" t="s">
        <v>4889</v>
      </c>
      <c r="F1787" s="7" t="s">
        <v>4931</v>
      </c>
      <c r="G1787" s="7" t="s">
        <v>4932</v>
      </c>
      <c r="H1787" s="7">
        <v>0.82</v>
      </c>
      <c r="I1787" s="7">
        <v>8</v>
      </c>
      <c r="J1787" s="7">
        <v>800</v>
      </c>
      <c r="K1787" s="7">
        <v>600</v>
      </c>
      <c r="L1787" s="7">
        <v>150</v>
      </c>
      <c r="M1787" s="7">
        <v>30</v>
      </c>
      <c r="N1787" s="7">
        <v>60</v>
      </c>
      <c r="O1787" s="7">
        <v>225</v>
      </c>
      <c r="P1787" s="7">
        <v>250</v>
      </c>
    </row>
    <row r="1788" spans="1:16" s="10" customFormat="1">
      <c r="A1788" s="7">
        <f>IF(B1788="","",SUBTOTAL(103,$B$2:B1788))</f>
        <v>1787</v>
      </c>
      <c r="B1788" s="8" t="s">
        <v>4886</v>
      </c>
      <c r="C1788" s="7" t="s">
        <v>4929</v>
      </c>
      <c r="D1788" s="9" t="s">
        <v>4933</v>
      </c>
      <c r="E1788" s="7" t="s">
        <v>4889</v>
      </c>
      <c r="F1788" s="7" t="s">
        <v>4934</v>
      </c>
      <c r="G1788" s="7" t="s">
        <v>4935</v>
      </c>
      <c r="H1788" s="7">
        <v>0.82</v>
      </c>
      <c r="I1788" s="7">
        <v>8</v>
      </c>
      <c r="J1788" s="7">
        <v>800</v>
      </c>
      <c r="K1788" s="7">
        <v>600</v>
      </c>
      <c r="L1788" s="7">
        <v>150</v>
      </c>
      <c r="M1788" s="7">
        <v>30</v>
      </c>
      <c r="N1788" s="7">
        <v>60</v>
      </c>
      <c r="O1788" s="7">
        <v>225</v>
      </c>
      <c r="P1788" s="7">
        <v>250</v>
      </c>
    </row>
    <row r="1789" spans="1:16" s="10" customFormat="1">
      <c r="A1789" s="7">
        <f>IF(B1789="","",SUBTOTAL(103,$B$2:B1789))</f>
        <v>1788</v>
      </c>
      <c r="B1789" s="8" t="s">
        <v>4886</v>
      </c>
      <c r="C1789" s="7" t="s">
        <v>4936</v>
      </c>
      <c r="D1789" s="9" t="s">
        <v>4937</v>
      </c>
      <c r="E1789" s="7" t="s">
        <v>4889</v>
      </c>
      <c r="F1789" s="7" t="s">
        <v>1113</v>
      </c>
      <c r="G1789" s="7" t="s">
        <v>4938</v>
      </c>
      <c r="H1789" s="7">
        <v>1.42</v>
      </c>
      <c r="I1789" s="7">
        <v>6</v>
      </c>
      <c r="J1789" s="7">
        <v>800</v>
      </c>
      <c r="K1789" s="7">
        <v>600</v>
      </c>
      <c r="L1789" s="7">
        <v>150</v>
      </c>
      <c r="M1789" s="7">
        <v>30</v>
      </c>
      <c r="N1789" s="7">
        <v>60</v>
      </c>
      <c r="O1789" s="7">
        <v>310</v>
      </c>
      <c r="P1789" s="7">
        <v>350</v>
      </c>
    </row>
    <row r="1790" spans="1:16" s="10" customFormat="1">
      <c r="A1790" s="7">
        <f>IF(B1790="","",SUBTOTAL(103,$B$2:B1790))</f>
        <v>1789</v>
      </c>
      <c r="B1790" s="8" t="s">
        <v>4886</v>
      </c>
      <c r="C1790" s="7" t="s">
        <v>4936</v>
      </c>
      <c r="D1790" s="9" t="s">
        <v>4939</v>
      </c>
      <c r="E1790" s="7" t="s">
        <v>4889</v>
      </c>
      <c r="F1790" s="7" t="s">
        <v>1116</v>
      </c>
      <c r="G1790" s="7" t="s">
        <v>4940</v>
      </c>
      <c r="H1790" s="7">
        <v>1.42</v>
      </c>
      <c r="I1790" s="7">
        <v>6</v>
      </c>
      <c r="J1790" s="7">
        <v>800</v>
      </c>
      <c r="K1790" s="7">
        <v>600</v>
      </c>
      <c r="L1790" s="7">
        <v>150</v>
      </c>
      <c r="M1790" s="7">
        <v>30</v>
      </c>
      <c r="N1790" s="7">
        <v>60</v>
      </c>
      <c r="O1790" s="7">
        <v>310</v>
      </c>
      <c r="P1790" s="7">
        <v>350</v>
      </c>
    </row>
    <row r="1791" spans="1:16" s="10" customFormat="1">
      <c r="A1791" s="7">
        <f>IF(B1791="","",SUBTOTAL(103,$B$2:B1791))</f>
        <v>1790</v>
      </c>
      <c r="B1791" s="8" t="s">
        <v>4886</v>
      </c>
      <c r="C1791" s="7" t="s">
        <v>4941</v>
      </c>
      <c r="D1791" s="9" t="s">
        <v>4942</v>
      </c>
      <c r="E1791" s="7" t="s">
        <v>4889</v>
      </c>
      <c r="F1791" s="7" t="s">
        <v>4943</v>
      </c>
      <c r="G1791" s="7" t="s">
        <v>4944</v>
      </c>
      <c r="H1791" s="7">
        <v>2.2400000000000002</v>
      </c>
      <c r="I1791" s="7">
        <v>3</v>
      </c>
      <c r="J1791" s="7">
        <v>800</v>
      </c>
      <c r="K1791" s="7">
        <v>600</v>
      </c>
      <c r="L1791" s="7">
        <v>150</v>
      </c>
      <c r="M1791" s="7">
        <v>30</v>
      </c>
      <c r="N1791" s="7">
        <v>60</v>
      </c>
      <c r="O1791" s="7">
        <v>650</v>
      </c>
      <c r="P1791" s="7">
        <v>675</v>
      </c>
    </row>
    <row r="1792" spans="1:16" s="10" customFormat="1">
      <c r="A1792" s="7">
        <f>IF(B1792="","",SUBTOTAL(103,$B$2:B1792))</f>
        <v>1791</v>
      </c>
      <c r="B1792" s="8" t="s">
        <v>4886</v>
      </c>
      <c r="C1792" s="7" t="s">
        <v>4941</v>
      </c>
      <c r="D1792" s="9" t="s">
        <v>4945</v>
      </c>
      <c r="E1792" s="7" t="s">
        <v>4889</v>
      </c>
      <c r="F1792" s="7" t="s">
        <v>3471</v>
      </c>
      <c r="G1792" s="7" t="s">
        <v>4946</v>
      </c>
      <c r="H1792" s="7">
        <v>2.2400000000000002</v>
      </c>
      <c r="I1792" s="7">
        <v>3</v>
      </c>
      <c r="J1792" s="7">
        <v>800</v>
      </c>
      <c r="K1792" s="7">
        <v>600</v>
      </c>
      <c r="L1792" s="7">
        <v>150</v>
      </c>
      <c r="M1792" s="7">
        <v>30</v>
      </c>
      <c r="N1792" s="7">
        <v>60</v>
      </c>
      <c r="O1792" s="7">
        <v>650</v>
      </c>
      <c r="P1792" s="7">
        <v>675</v>
      </c>
    </row>
    <row r="1793" spans="1:16" s="10" customFormat="1">
      <c r="A1793" s="7">
        <f>IF(B1793="","",SUBTOTAL(103,$B$2:B1793))</f>
        <v>1792</v>
      </c>
      <c r="B1793" s="8" t="s">
        <v>4886</v>
      </c>
      <c r="C1793" s="7" t="s">
        <v>4947</v>
      </c>
      <c r="D1793" s="9" t="s">
        <v>4948</v>
      </c>
      <c r="E1793" s="7" t="s">
        <v>4889</v>
      </c>
      <c r="F1793" s="7" t="s">
        <v>4949</v>
      </c>
      <c r="G1793" s="7" t="s">
        <v>4950</v>
      </c>
      <c r="H1793" s="7">
        <v>0.17</v>
      </c>
      <c r="I1793" s="7">
        <v>38</v>
      </c>
      <c r="J1793" s="7">
        <v>800</v>
      </c>
      <c r="K1793" s="7">
        <v>600</v>
      </c>
      <c r="L1793" s="7">
        <v>150</v>
      </c>
      <c r="M1793" s="7">
        <v>30</v>
      </c>
      <c r="N1793" s="7">
        <v>60</v>
      </c>
      <c r="O1793" s="7">
        <v>50</v>
      </c>
      <c r="P1793" s="7">
        <v>200</v>
      </c>
    </row>
    <row r="1794" spans="1:16" s="10" customFormat="1">
      <c r="A1794" s="7">
        <f>IF(B1794="","",SUBTOTAL(103,$B$2:B1794))</f>
        <v>1793</v>
      </c>
      <c r="B1794" s="8" t="s">
        <v>4886</v>
      </c>
      <c r="C1794" s="7" t="s">
        <v>4947</v>
      </c>
      <c r="D1794" s="9" t="s">
        <v>4951</v>
      </c>
      <c r="E1794" s="7" t="s">
        <v>4889</v>
      </c>
      <c r="F1794" s="7" t="s">
        <v>4952</v>
      </c>
      <c r="G1794" s="7" t="s">
        <v>4953</v>
      </c>
      <c r="H1794" s="7">
        <v>0.17</v>
      </c>
      <c r="I1794" s="7">
        <v>38</v>
      </c>
      <c r="J1794" s="7">
        <v>800</v>
      </c>
      <c r="K1794" s="7">
        <v>600</v>
      </c>
      <c r="L1794" s="7">
        <v>150</v>
      </c>
      <c r="M1794" s="7">
        <v>30</v>
      </c>
      <c r="N1794" s="7">
        <v>60</v>
      </c>
      <c r="O1794" s="7">
        <v>50</v>
      </c>
      <c r="P1794" s="7">
        <v>200</v>
      </c>
    </row>
    <row r="1795" spans="1:16" s="10" customFormat="1">
      <c r="A1795" s="7">
        <f>IF(B1795="","",SUBTOTAL(103,$B$2:B1795))</f>
        <v>1794</v>
      </c>
      <c r="B1795" s="8" t="s">
        <v>4886</v>
      </c>
      <c r="C1795" s="7" t="s">
        <v>4954</v>
      </c>
      <c r="D1795" s="9" t="s">
        <v>4955</v>
      </c>
      <c r="E1795" s="7" t="s">
        <v>4889</v>
      </c>
      <c r="F1795" s="7" t="s">
        <v>4956</v>
      </c>
      <c r="G1795" s="7" t="s">
        <v>4957</v>
      </c>
      <c r="H1795" s="7">
        <v>0.06</v>
      </c>
      <c r="I1795" s="7">
        <v>56</v>
      </c>
      <c r="J1795" s="7">
        <v>800</v>
      </c>
      <c r="K1795" s="7">
        <v>600</v>
      </c>
      <c r="L1795" s="7">
        <v>150</v>
      </c>
      <c r="M1795" s="7">
        <v>30</v>
      </c>
      <c r="N1795" s="7">
        <v>60</v>
      </c>
      <c r="O1795" s="7">
        <v>34</v>
      </c>
      <c r="P1795" s="7">
        <v>145</v>
      </c>
    </row>
    <row r="1796" spans="1:16" s="10" customFormat="1">
      <c r="A1796" s="7">
        <f>IF(B1796="","",SUBTOTAL(103,$B$2:B1796))</f>
        <v>1795</v>
      </c>
      <c r="B1796" s="8" t="s">
        <v>4886</v>
      </c>
      <c r="C1796" s="7" t="s">
        <v>4954</v>
      </c>
      <c r="D1796" s="9" t="s">
        <v>4958</v>
      </c>
      <c r="E1796" s="7" t="s">
        <v>4889</v>
      </c>
      <c r="F1796" s="7" t="s">
        <v>4959</v>
      </c>
      <c r="G1796" s="7" t="s">
        <v>4960</v>
      </c>
      <c r="H1796" s="7">
        <v>0.06</v>
      </c>
      <c r="I1796" s="7">
        <v>56</v>
      </c>
      <c r="J1796" s="7">
        <v>800</v>
      </c>
      <c r="K1796" s="7">
        <v>600</v>
      </c>
      <c r="L1796" s="7">
        <v>150</v>
      </c>
      <c r="M1796" s="7">
        <v>30</v>
      </c>
      <c r="N1796" s="7">
        <v>60</v>
      </c>
      <c r="O1796" s="7">
        <v>34</v>
      </c>
      <c r="P1796" s="7">
        <v>145</v>
      </c>
    </row>
    <row r="1797" spans="1:16" s="10" customFormat="1">
      <c r="A1797" s="7">
        <f>IF(B1797="","",SUBTOTAL(103,$B$2:B1797))</f>
        <v>1796</v>
      </c>
      <c r="B1797" s="8" t="s">
        <v>4886</v>
      </c>
      <c r="C1797" s="7" t="s">
        <v>4961</v>
      </c>
      <c r="D1797" s="9" t="s">
        <v>4962</v>
      </c>
      <c r="E1797" s="7" t="s">
        <v>4889</v>
      </c>
      <c r="F1797" s="7" t="s">
        <v>4963</v>
      </c>
      <c r="G1797" s="7" t="s">
        <v>4964</v>
      </c>
      <c r="H1797" s="7">
        <v>2.96</v>
      </c>
      <c r="I1797" s="7">
        <v>2</v>
      </c>
      <c r="J1797" s="7">
        <v>800</v>
      </c>
      <c r="K1797" s="7">
        <v>600</v>
      </c>
      <c r="L1797" s="7">
        <v>150</v>
      </c>
      <c r="M1797" s="7">
        <v>30</v>
      </c>
      <c r="N1797" s="7">
        <v>60</v>
      </c>
      <c r="O1797" s="7">
        <v>1000</v>
      </c>
      <c r="P1797" s="7">
        <v>1100</v>
      </c>
    </row>
    <row r="1798" spans="1:16" s="10" customFormat="1">
      <c r="A1798" s="7">
        <f>IF(B1798="","",SUBTOTAL(103,$B$2:B1798))</f>
        <v>1797</v>
      </c>
      <c r="B1798" s="8" t="s">
        <v>4886</v>
      </c>
      <c r="C1798" s="7" t="s">
        <v>4961</v>
      </c>
      <c r="D1798" s="9" t="s">
        <v>4965</v>
      </c>
      <c r="E1798" s="7" t="s">
        <v>4889</v>
      </c>
      <c r="F1798" s="7" t="s">
        <v>4966</v>
      </c>
      <c r="G1798" s="7" t="s">
        <v>4967</v>
      </c>
      <c r="H1798" s="7">
        <v>2.96</v>
      </c>
      <c r="I1798" s="7">
        <v>2</v>
      </c>
      <c r="J1798" s="7">
        <v>800</v>
      </c>
      <c r="K1798" s="7">
        <v>600</v>
      </c>
      <c r="L1798" s="7">
        <v>150</v>
      </c>
      <c r="M1798" s="7">
        <v>30</v>
      </c>
      <c r="N1798" s="7">
        <v>60</v>
      </c>
      <c r="O1798" s="7">
        <v>1000</v>
      </c>
      <c r="P1798" s="7">
        <v>1100</v>
      </c>
    </row>
    <row r="1799" spans="1:16" s="10" customFormat="1">
      <c r="A1799" s="7">
        <f>IF(B1799="","",SUBTOTAL(103,$B$2:B1799))</f>
        <v>1798</v>
      </c>
      <c r="B1799" s="8" t="s">
        <v>4968</v>
      </c>
      <c r="C1799" s="7" t="s">
        <v>4969</v>
      </c>
      <c r="D1799" s="9" t="s">
        <v>4970</v>
      </c>
      <c r="E1799" s="7" t="s">
        <v>4971</v>
      </c>
      <c r="F1799" s="7" t="s">
        <v>4890</v>
      </c>
      <c r="G1799" s="7" t="s">
        <v>4972</v>
      </c>
      <c r="H1799" s="7">
        <v>0.17</v>
      </c>
      <c r="I1799" s="7">
        <v>0</v>
      </c>
      <c r="J1799" s="7">
        <v>800</v>
      </c>
      <c r="K1799" s="7">
        <v>600</v>
      </c>
      <c r="L1799" s="7">
        <v>150</v>
      </c>
      <c r="M1799" s="7">
        <v>30</v>
      </c>
      <c r="N1799" s="7">
        <v>60</v>
      </c>
      <c r="O1799" s="7">
        <v>86.699999999999989</v>
      </c>
      <c r="P1799" s="7">
        <v>225</v>
      </c>
    </row>
    <row r="1800" spans="1:16" s="10" customFormat="1">
      <c r="A1800" s="7">
        <f>IF(B1800="","",SUBTOTAL(103,$B$2:B1800))</f>
        <v>1799</v>
      </c>
      <c r="B1800" s="8" t="s">
        <v>4968</v>
      </c>
      <c r="C1800" s="7" t="s">
        <v>4969</v>
      </c>
      <c r="D1800" s="9" t="s">
        <v>4973</v>
      </c>
      <c r="E1800" s="7" t="s">
        <v>4971</v>
      </c>
      <c r="F1800" s="7" t="s">
        <v>4893</v>
      </c>
      <c r="G1800" s="7" t="s">
        <v>4974</v>
      </c>
      <c r="H1800" s="7">
        <v>0.16</v>
      </c>
      <c r="I1800" s="7">
        <v>0</v>
      </c>
      <c r="J1800" s="7">
        <v>800</v>
      </c>
      <c r="K1800" s="7">
        <v>600</v>
      </c>
      <c r="L1800" s="7">
        <v>150</v>
      </c>
      <c r="M1800" s="7">
        <v>30</v>
      </c>
      <c r="N1800" s="7">
        <v>60</v>
      </c>
      <c r="O1800" s="7">
        <v>86.699999999999989</v>
      </c>
      <c r="P1800" s="7">
        <v>225</v>
      </c>
    </row>
    <row r="1801" spans="1:16" s="10" customFormat="1">
      <c r="A1801" s="7">
        <f>IF(B1801="","",SUBTOTAL(103,$B$2:B1801))</f>
        <v>1800</v>
      </c>
      <c r="B1801" s="8" t="s">
        <v>4968</v>
      </c>
      <c r="C1801" s="7" t="s">
        <v>4975</v>
      </c>
      <c r="D1801" s="9" t="s">
        <v>4976</v>
      </c>
      <c r="E1801" s="7" t="s">
        <v>4971</v>
      </c>
      <c r="F1801" s="7" t="s">
        <v>4897</v>
      </c>
      <c r="G1801" s="7" t="s">
        <v>4977</v>
      </c>
      <c r="H1801" s="7">
        <v>0.08</v>
      </c>
      <c r="I1801" s="7">
        <v>56</v>
      </c>
      <c r="J1801" s="7">
        <v>800</v>
      </c>
      <c r="K1801" s="7">
        <v>600</v>
      </c>
      <c r="L1801" s="7">
        <v>150</v>
      </c>
      <c r="M1801" s="7">
        <v>30</v>
      </c>
      <c r="N1801" s="7">
        <v>60</v>
      </c>
      <c r="O1801" s="7">
        <v>34</v>
      </c>
      <c r="P1801" s="7">
        <v>150</v>
      </c>
    </row>
    <row r="1802" spans="1:16" s="10" customFormat="1">
      <c r="A1802" s="7">
        <f>IF(B1802="","",SUBTOTAL(103,$B$2:B1802))</f>
        <v>1801</v>
      </c>
      <c r="B1802" s="8" t="s">
        <v>4968</v>
      </c>
      <c r="C1802" s="7" t="s">
        <v>4975</v>
      </c>
      <c r="D1802" s="9" t="s">
        <v>4978</v>
      </c>
      <c r="E1802" s="7" t="s">
        <v>4971</v>
      </c>
      <c r="F1802" s="7" t="s">
        <v>4900</v>
      </c>
      <c r="G1802" s="7" t="s">
        <v>4979</v>
      </c>
      <c r="H1802" s="7">
        <v>0.08</v>
      </c>
      <c r="I1802" s="7">
        <v>56</v>
      </c>
      <c r="J1802" s="7">
        <v>800</v>
      </c>
      <c r="K1802" s="7">
        <v>600</v>
      </c>
      <c r="L1802" s="7">
        <v>150</v>
      </c>
      <c r="M1802" s="7">
        <v>30</v>
      </c>
      <c r="N1802" s="7">
        <v>60</v>
      </c>
      <c r="O1802" s="7">
        <v>34</v>
      </c>
      <c r="P1802" s="7">
        <v>150</v>
      </c>
    </row>
    <row r="1803" spans="1:16" s="10" customFormat="1">
      <c r="A1803" s="7">
        <f>IF(B1803="","",SUBTOTAL(103,$B$2:B1803))</f>
        <v>1802</v>
      </c>
      <c r="B1803" s="8" t="s">
        <v>4968</v>
      </c>
      <c r="C1803" s="7" t="s">
        <v>4980</v>
      </c>
      <c r="D1803" s="9" t="s">
        <v>4981</v>
      </c>
      <c r="E1803" s="7" t="s">
        <v>4971</v>
      </c>
      <c r="F1803" s="7" t="s">
        <v>4904</v>
      </c>
      <c r="G1803" s="7" t="s">
        <v>4982</v>
      </c>
      <c r="H1803" s="7">
        <v>0.04</v>
      </c>
      <c r="I1803" s="7">
        <v>56</v>
      </c>
      <c r="J1803" s="7">
        <v>800</v>
      </c>
      <c r="K1803" s="7">
        <v>600</v>
      </c>
      <c r="L1803" s="7">
        <v>150</v>
      </c>
      <c r="M1803" s="7">
        <v>30</v>
      </c>
      <c r="N1803" s="7">
        <v>60</v>
      </c>
      <c r="O1803" s="7">
        <v>34</v>
      </c>
      <c r="P1803" s="7">
        <v>170</v>
      </c>
    </row>
    <row r="1804" spans="1:16" s="10" customFormat="1">
      <c r="A1804" s="7">
        <f>IF(B1804="","",SUBTOTAL(103,$B$2:B1804))</f>
        <v>1803</v>
      </c>
      <c r="B1804" s="8" t="s">
        <v>4968</v>
      </c>
      <c r="C1804" s="7" t="s">
        <v>4980</v>
      </c>
      <c r="D1804" s="9" t="s">
        <v>4983</v>
      </c>
      <c r="E1804" s="7" t="s">
        <v>4971</v>
      </c>
      <c r="F1804" s="7" t="s">
        <v>4907</v>
      </c>
      <c r="G1804" s="7" t="s">
        <v>4984</v>
      </c>
      <c r="H1804" s="7">
        <v>0.04</v>
      </c>
      <c r="I1804" s="7">
        <v>56</v>
      </c>
      <c r="J1804" s="7">
        <v>800</v>
      </c>
      <c r="K1804" s="7">
        <v>600</v>
      </c>
      <c r="L1804" s="7">
        <v>150</v>
      </c>
      <c r="M1804" s="7">
        <v>30</v>
      </c>
      <c r="N1804" s="7">
        <v>60</v>
      </c>
      <c r="O1804" s="7">
        <v>34</v>
      </c>
      <c r="P1804" s="7">
        <v>170</v>
      </c>
    </row>
    <row r="1805" spans="1:16" s="10" customFormat="1">
      <c r="A1805" s="7">
        <f>IF(B1805="","",SUBTOTAL(103,$B$2:B1805))</f>
        <v>1804</v>
      </c>
      <c r="B1805" s="8" t="s">
        <v>4968</v>
      </c>
      <c r="C1805" s="7" t="s">
        <v>4985</v>
      </c>
      <c r="D1805" s="9" t="s">
        <v>4986</v>
      </c>
      <c r="E1805" s="7" t="s">
        <v>4971</v>
      </c>
      <c r="F1805" s="7" t="s">
        <v>3309</v>
      </c>
      <c r="G1805" s="7" t="s">
        <v>4987</v>
      </c>
      <c r="H1805" s="7">
        <v>0.02</v>
      </c>
      <c r="I1805" s="7">
        <v>68</v>
      </c>
      <c r="J1805" s="7">
        <v>800</v>
      </c>
      <c r="K1805" s="7">
        <v>600</v>
      </c>
      <c r="L1805" s="7">
        <v>150</v>
      </c>
      <c r="M1805" s="7">
        <v>30</v>
      </c>
      <c r="N1805" s="7">
        <v>60</v>
      </c>
      <c r="O1805" s="7">
        <v>30</v>
      </c>
      <c r="P1805" s="7">
        <v>170</v>
      </c>
    </row>
    <row r="1806" spans="1:16" s="10" customFormat="1">
      <c r="A1806" s="7">
        <f>IF(B1806="","",SUBTOTAL(103,$B$2:B1806))</f>
        <v>1805</v>
      </c>
      <c r="B1806" s="8" t="s">
        <v>4968</v>
      </c>
      <c r="C1806" s="7" t="s">
        <v>4985</v>
      </c>
      <c r="D1806" s="9" t="s">
        <v>4988</v>
      </c>
      <c r="E1806" s="7" t="s">
        <v>4971</v>
      </c>
      <c r="F1806" s="7" t="s">
        <v>4913</v>
      </c>
      <c r="G1806" s="7" t="s">
        <v>4989</v>
      </c>
      <c r="H1806" s="7">
        <v>0.02</v>
      </c>
      <c r="I1806" s="7">
        <v>68</v>
      </c>
      <c r="J1806" s="7">
        <v>800</v>
      </c>
      <c r="K1806" s="7">
        <v>600</v>
      </c>
      <c r="L1806" s="7">
        <v>150</v>
      </c>
      <c r="M1806" s="7">
        <v>30</v>
      </c>
      <c r="N1806" s="7">
        <v>60</v>
      </c>
      <c r="O1806" s="7">
        <v>30</v>
      </c>
      <c r="P1806" s="7">
        <v>170</v>
      </c>
    </row>
    <row r="1807" spans="1:16" s="10" customFormat="1">
      <c r="A1807" s="7">
        <f>IF(B1807="","",SUBTOTAL(103,$B$2:B1807))</f>
        <v>1806</v>
      </c>
      <c r="B1807" s="8" t="s">
        <v>4968</v>
      </c>
      <c r="C1807" s="7" t="s">
        <v>4990</v>
      </c>
      <c r="D1807" s="9" t="s">
        <v>4991</v>
      </c>
      <c r="E1807" s="7" t="s">
        <v>4971</v>
      </c>
      <c r="F1807" s="7" t="s">
        <v>4917</v>
      </c>
      <c r="G1807" s="7" t="s">
        <v>4992</v>
      </c>
      <c r="H1807" s="7">
        <v>0.36</v>
      </c>
      <c r="I1807" s="7">
        <v>4</v>
      </c>
      <c r="J1807" s="7">
        <v>800</v>
      </c>
      <c r="K1807" s="7">
        <v>600</v>
      </c>
      <c r="L1807" s="7">
        <v>150</v>
      </c>
      <c r="M1807" s="7">
        <v>30</v>
      </c>
      <c r="N1807" s="7">
        <v>60</v>
      </c>
      <c r="O1807" s="7">
        <v>500</v>
      </c>
      <c r="P1807" s="7">
        <v>600</v>
      </c>
    </row>
    <row r="1808" spans="1:16" s="10" customFormat="1">
      <c r="A1808" s="7">
        <f>IF(B1808="","",SUBTOTAL(103,$B$2:B1808))</f>
        <v>1807</v>
      </c>
      <c r="B1808" s="8" t="s">
        <v>4968</v>
      </c>
      <c r="C1808" s="7" t="s">
        <v>4990</v>
      </c>
      <c r="D1808" s="9" t="s">
        <v>4993</v>
      </c>
      <c r="E1808" s="7" t="s">
        <v>4971</v>
      </c>
      <c r="F1808" s="7" t="s">
        <v>4920</v>
      </c>
      <c r="G1808" s="7" t="s">
        <v>4994</v>
      </c>
      <c r="H1808" s="7">
        <v>0.36</v>
      </c>
      <c r="I1808" s="7">
        <v>4</v>
      </c>
      <c r="J1808" s="7">
        <v>800</v>
      </c>
      <c r="K1808" s="7">
        <v>600</v>
      </c>
      <c r="L1808" s="7">
        <v>150</v>
      </c>
      <c r="M1808" s="7">
        <v>30</v>
      </c>
      <c r="N1808" s="7">
        <v>60</v>
      </c>
      <c r="O1808" s="7">
        <v>500</v>
      </c>
      <c r="P1808" s="7">
        <v>600</v>
      </c>
    </row>
    <row r="1809" spans="1:16" s="10" customFormat="1">
      <c r="A1809" s="7">
        <f>IF(B1809="","",SUBTOTAL(103,$B$2:B1809))</f>
        <v>1808</v>
      </c>
      <c r="B1809" s="8" t="s">
        <v>4968</v>
      </c>
      <c r="C1809" s="7" t="s">
        <v>4995</v>
      </c>
      <c r="D1809" s="9" t="s">
        <v>4996</v>
      </c>
      <c r="E1809" s="7" t="s">
        <v>4971</v>
      </c>
      <c r="F1809" s="7" t="s">
        <v>4924</v>
      </c>
      <c r="G1809" s="7" t="s">
        <v>4997</v>
      </c>
      <c r="H1809" s="7">
        <v>0.27</v>
      </c>
      <c r="I1809" s="7">
        <v>4</v>
      </c>
      <c r="J1809" s="7">
        <v>800</v>
      </c>
      <c r="K1809" s="7">
        <v>600</v>
      </c>
      <c r="L1809" s="7">
        <v>150</v>
      </c>
      <c r="M1809" s="7">
        <v>30</v>
      </c>
      <c r="N1809" s="7">
        <v>60</v>
      </c>
      <c r="O1809" s="7">
        <v>500</v>
      </c>
      <c r="P1809" s="7">
        <v>600</v>
      </c>
    </row>
    <row r="1810" spans="1:16" s="10" customFormat="1">
      <c r="A1810" s="7">
        <f>IF(B1810="","",SUBTOTAL(103,$B$2:B1810))</f>
        <v>1809</v>
      </c>
      <c r="B1810" s="8" t="s">
        <v>4968</v>
      </c>
      <c r="C1810" s="7" t="s">
        <v>4995</v>
      </c>
      <c r="D1810" s="9" t="s">
        <v>4998</v>
      </c>
      <c r="E1810" s="7" t="s">
        <v>4971</v>
      </c>
      <c r="F1810" s="7" t="s">
        <v>4927</v>
      </c>
      <c r="G1810" s="7" t="s">
        <v>4999</v>
      </c>
      <c r="H1810" s="7">
        <v>0.27</v>
      </c>
      <c r="I1810" s="7">
        <v>0</v>
      </c>
      <c r="J1810" s="7">
        <v>800</v>
      </c>
      <c r="K1810" s="7">
        <v>600</v>
      </c>
      <c r="L1810" s="7">
        <v>150</v>
      </c>
      <c r="M1810" s="7">
        <v>30</v>
      </c>
      <c r="N1810" s="7">
        <v>60</v>
      </c>
      <c r="O1810" s="7">
        <v>101.15</v>
      </c>
      <c r="P1810" s="7">
        <v>250</v>
      </c>
    </row>
    <row r="1811" spans="1:16" s="10" customFormat="1">
      <c r="A1811" s="7">
        <f>IF(B1811="","",SUBTOTAL(103,$B$2:B1811))</f>
        <v>1810</v>
      </c>
      <c r="B1811" s="8" t="s">
        <v>4968</v>
      </c>
      <c r="C1811" s="7" t="s">
        <v>5000</v>
      </c>
      <c r="D1811" s="9" t="s">
        <v>5001</v>
      </c>
      <c r="E1811" s="7" t="s">
        <v>4971</v>
      </c>
      <c r="F1811" s="7" t="s">
        <v>4931</v>
      </c>
      <c r="G1811" s="7" t="s">
        <v>5002</v>
      </c>
      <c r="H1811" s="7">
        <v>0.56999999999999995</v>
      </c>
      <c r="I1811" s="7">
        <v>0</v>
      </c>
      <c r="J1811" s="7">
        <v>800</v>
      </c>
      <c r="K1811" s="7">
        <v>600</v>
      </c>
      <c r="L1811" s="7">
        <v>150</v>
      </c>
      <c r="M1811" s="7">
        <v>30</v>
      </c>
      <c r="N1811" s="7">
        <v>60</v>
      </c>
      <c r="O1811" s="7">
        <v>216.75</v>
      </c>
      <c r="P1811" s="7">
        <v>500</v>
      </c>
    </row>
    <row r="1812" spans="1:16" s="10" customFormat="1">
      <c r="A1812" s="7">
        <f>IF(B1812="","",SUBTOTAL(103,$B$2:B1812))</f>
        <v>1811</v>
      </c>
      <c r="B1812" s="8" t="s">
        <v>4968</v>
      </c>
      <c r="C1812" s="7" t="s">
        <v>5000</v>
      </c>
      <c r="D1812" s="9" t="s">
        <v>5003</v>
      </c>
      <c r="E1812" s="7" t="s">
        <v>4971</v>
      </c>
      <c r="F1812" s="7" t="s">
        <v>4934</v>
      </c>
      <c r="G1812" s="7" t="s">
        <v>5004</v>
      </c>
      <c r="H1812" s="7">
        <v>0.56999999999999995</v>
      </c>
      <c r="I1812" s="7">
        <v>0</v>
      </c>
      <c r="J1812" s="7">
        <v>800</v>
      </c>
      <c r="K1812" s="7">
        <v>600</v>
      </c>
      <c r="L1812" s="7">
        <v>150</v>
      </c>
      <c r="M1812" s="7">
        <v>30</v>
      </c>
      <c r="N1812" s="7">
        <v>60</v>
      </c>
      <c r="O1812" s="7">
        <v>216.75</v>
      </c>
      <c r="P1812" s="7">
        <v>500</v>
      </c>
    </row>
    <row r="1813" spans="1:16" s="10" customFormat="1">
      <c r="A1813" s="7">
        <f>IF(B1813="","",SUBTOTAL(103,$B$2:B1813))</f>
        <v>1812</v>
      </c>
      <c r="B1813" s="8" t="s">
        <v>4968</v>
      </c>
      <c r="C1813" s="7" t="s">
        <v>5005</v>
      </c>
      <c r="D1813" s="9" t="s">
        <v>5006</v>
      </c>
      <c r="E1813" s="7" t="s">
        <v>4971</v>
      </c>
      <c r="F1813" s="7" t="s">
        <v>1113</v>
      </c>
      <c r="G1813" s="7" t="s">
        <v>5007</v>
      </c>
      <c r="H1813" s="7">
        <v>0.94</v>
      </c>
      <c r="I1813" s="7">
        <v>0</v>
      </c>
      <c r="J1813" s="7">
        <v>800</v>
      </c>
      <c r="K1813" s="7">
        <v>600</v>
      </c>
      <c r="L1813" s="7">
        <v>150</v>
      </c>
      <c r="M1813" s="7">
        <v>30</v>
      </c>
      <c r="N1813" s="7">
        <v>60</v>
      </c>
      <c r="O1813" s="7">
        <v>484.0750000000001</v>
      </c>
      <c r="P1813" s="7">
        <v>600</v>
      </c>
    </row>
    <row r="1814" spans="1:16" s="10" customFormat="1">
      <c r="A1814" s="7">
        <f>IF(B1814="","",SUBTOTAL(103,$B$2:B1814))</f>
        <v>1813</v>
      </c>
      <c r="B1814" s="8" t="s">
        <v>4968</v>
      </c>
      <c r="C1814" s="7" t="s">
        <v>5008</v>
      </c>
      <c r="D1814" s="9" t="s">
        <v>5009</v>
      </c>
      <c r="E1814" s="7" t="s">
        <v>4971</v>
      </c>
      <c r="F1814" s="7" t="s">
        <v>4949</v>
      </c>
      <c r="G1814" s="7" t="s">
        <v>5010</v>
      </c>
      <c r="H1814" s="7">
        <v>0.1</v>
      </c>
      <c r="I1814" s="7">
        <v>0</v>
      </c>
      <c r="J1814" s="7">
        <v>800</v>
      </c>
      <c r="K1814" s="7">
        <v>600</v>
      </c>
      <c r="L1814" s="7">
        <v>150</v>
      </c>
      <c r="M1814" s="7">
        <v>30</v>
      </c>
      <c r="N1814" s="7">
        <v>60</v>
      </c>
      <c r="O1814" s="7">
        <v>86.699999999999989</v>
      </c>
      <c r="P1814" s="7">
        <v>200</v>
      </c>
    </row>
    <row r="1815" spans="1:16" s="10" customFormat="1">
      <c r="A1815" s="7">
        <f>IF(B1815="","",SUBTOTAL(103,$B$2:B1815))</f>
        <v>1814</v>
      </c>
      <c r="B1815" s="8" t="s">
        <v>4968</v>
      </c>
      <c r="C1815" s="7" t="s">
        <v>5008</v>
      </c>
      <c r="D1815" s="9" t="s">
        <v>5011</v>
      </c>
      <c r="E1815" s="7" t="s">
        <v>4971</v>
      </c>
      <c r="F1815" s="7" t="s">
        <v>4952</v>
      </c>
      <c r="G1815" s="7" t="s">
        <v>5012</v>
      </c>
      <c r="H1815" s="7">
        <v>0.1</v>
      </c>
      <c r="I1815" s="7">
        <v>0</v>
      </c>
      <c r="J1815" s="7">
        <v>800</v>
      </c>
      <c r="K1815" s="7">
        <v>600</v>
      </c>
      <c r="L1815" s="7">
        <v>150</v>
      </c>
      <c r="M1815" s="7">
        <v>30</v>
      </c>
      <c r="N1815" s="7">
        <v>60</v>
      </c>
      <c r="O1815" s="7">
        <v>86.699999999999989</v>
      </c>
      <c r="P1815" s="7">
        <v>200</v>
      </c>
    </row>
    <row r="1816" spans="1:16" s="10" customFormat="1">
      <c r="A1816" s="7">
        <f>IF(B1816="","",SUBTOTAL(103,$B$2:B1816))</f>
        <v>1815</v>
      </c>
      <c r="B1816" s="8" t="s">
        <v>4968</v>
      </c>
      <c r="C1816" s="7" t="s">
        <v>5013</v>
      </c>
      <c r="D1816" s="9" t="s">
        <v>5014</v>
      </c>
      <c r="E1816" s="7" t="s">
        <v>4971</v>
      </c>
      <c r="F1816" s="7" t="s">
        <v>4956</v>
      </c>
      <c r="G1816" s="7" t="s">
        <v>5015</v>
      </c>
      <c r="H1816" s="7">
        <v>0.05</v>
      </c>
      <c r="I1816" s="7">
        <v>56</v>
      </c>
      <c r="J1816" s="7">
        <v>800</v>
      </c>
      <c r="K1816" s="7">
        <v>600</v>
      </c>
      <c r="L1816" s="7">
        <v>150</v>
      </c>
      <c r="M1816" s="7">
        <v>30</v>
      </c>
      <c r="N1816" s="7">
        <v>60</v>
      </c>
      <c r="O1816" s="7">
        <v>34</v>
      </c>
      <c r="P1816" s="7">
        <v>135</v>
      </c>
    </row>
    <row r="1817" spans="1:16" s="10" customFormat="1">
      <c r="A1817" s="7">
        <f>IF(B1817="","",SUBTOTAL(103,$B$2:B1817))</f>
        <v>1816</v>
      </c>
      <c r="B1817" s="8" t="s">
        <v>4968</v>
      </c>
      <c r="C1817" s="7" t="s">
        <v>5013</v>
      </c>
      <c r="D1817" s="9" t="s">
        <v>5016</v>
      </c>
      <c r="E1817" s="7" t="s">
        <v>4971</v>
      </c>
      <c r="F1817" s="7" t="s">
        <v>4959</v>
      </c>
      <c r="G1817" s="7" t="s">
        <v>5017</v>
      </c>
      <c r="H1817" s="7">
        <v>0.05</v>
      </c>
      <c r="I1817" s="7">
        <v>56</v>
      </c>
      <c r="J1817" s="7">
        <v>800</v>
      </c>
      <c r="K1817" s="7">
        <v>600</v>
      </c>
      <c r="L1817" s="7">
        <v>150</v>
      </c>
      <c r="M1817" s="7">
        <v>30</v>
      </c>
      <c r="N1817" s="7">
        <v>60</v>
      </c>
      <c r="O1817" s="7">
        <v>34</v>
      </c>
      <c r="P1817" s="7">
        <v>135</v>
      </c>
    </row>
    <row r="1818" spans="1:16" s="10" customFormat="1">
      <c r="A1818" s="7">
        <f>IF(B1818="","",SUBTOTAL(103,$B$2:B1818))</f>
        <v>1817</v>
      </c>
      <c r="B1818" s="8" t="s">
        <v>5018</v>
      </c>
      <c r="C1818" s="7" t="s">
        <v>5019</v>
      </c>
      <c r="D1818" s="9" t="s">
        <v>5020</v>
      </c>
      <c r="E1818" s="7" t="s">
        <v>5021</v>
      </c>
      <c r="F1818" s="7" t="s">
        <v>4890</v>
      </c>
      <c r="G1818" s="7" t="s">
        <v>5022</v>
      </c>
      <c r="H1818" s="7">
        <v>0.13</v>
      </c>
      <c r="I1818" s="7">
        <v>36</v>
      </c>
      <c r="J1818" s="7">
        <v>800</v>
      </c>
      <c r="K1818" s="7">
        <v>600</v>
      </c>
      <c r="L1818" s="7">
        <v>150</v>
      </c>
      <c r="M1818" s="7">
        <v>30</v>
      </c>
      <c r="N1818" s="7">
        <v>60</v>
      </c>
      <c r="O1818" s="7">
        <v>55</v>
      </c>
      <c r="P1818" s="7">
        <v>225</v>
      </c>
    </row>
    <row r="1819" spans="1:16" s="10" customFormat="1">
      <c r="A1819" s="7">
        <f>IF(B1819="","",SUBTOTAL(103,$B$2:B1819))</f>
        <v>1818</v>
      </c>
      <c r="B1819" s="8" t="s">
        <v>5018</v>
      </c>
      <c r="C1819" s="7" t="s">
        <v>5019</v>
      </c>
      <c r="D1819" s="9" t="s">
        <v>5023</v>
      </c>
      <c r="E1819" s="7" t="s">
        <v>5021</v>
      </c>
      <c r="F1819" s="7" t="s">
        <v>4893</v>
      </c>
      <c r="G1819" s="7" t="s">
        <v>5024</v>
      </c>
      <c r="H1819" s="7">
        <v>0.13</v>
      </c>
      <c r="I1819" s="7">
        <v>36</v>
      </c>
      <c r="J1819" s="7">
        <v>800</v>
      </c>
      <c r="K1819" s="7">
        <v>600</v>
      </c>
      <c r="L1819" s="7">
        <v>150</v>
      </c>
      <c r="M1819" s="7">
        <v>30</v>
      </c>
      <c r="N1819" s="7">
        <v>60</v>
      </c>
      <c r="O1819" s="7">
        <v>55</v>
      </c>
      <c r="P1819" s="7">
        <v>225</v>
      </c>
    </row>
    <row r="1820" spans="1:16" s="10" customFormat="1">
      <c r="A1820" s="7">
        <f>IF(B1820="","",SUBTOTAL(103,$B$2:B1820))</f>
        <v>1819</v>
      </c>
      <c r="B1820" s="8" t="s">
        <v>5018</v>
      </c>
      <c r="C1820" s="7" t="s">
        <v>5025</v>
      </c>
      <c r="D1820" s="9" t="s">
        <v>5026</v>
      </c>
      <c r="E1820" s="7" t="s">
        <v>5021</v>
      </c>
      <c r="F1820" s="7" t="s">
        <v>4897</v>
      </c>
      <c r="G1820" s="7" t="s">
        <v>5027</v>
      </c>
      <c r="H1820" s="7">
        <v>0.05</v>
      </c>
      <c r="I1820" s="7">
        <v>68</v>
      </c>
      <c r="J1820" s="7">
        <v>800</v>
      </c>
      <c r="K1820" s="7">
        <v>600</v>
      </c>
      <c r="L1820" s="7">
        <v>150</v>
      </c>
      <c r="M1820" s="7">
        <v>30</v>
      </c>
      <c r="N1820" s="7">
        <v>60</v>
      </c>
      <c r="O1820" s="7">
        <v>30</v>
      </c>
      <c r="P1820" s="7">
        <v>150</v>
      </c>
    </row>
    <row r="1821" spans="1:16" s="10" customFormat="1">
      <c r="A1821" s="7">
        <f>IF(B1821="","",SUBTOTAL(103,$B$2:B1821))</f>
        <v>1820</v>
      </c>
      <c r="B1821" s="8" t="s">
        <v>5018</v>
      </c>
      <c r="C1821" s="7" t="s">
        <v>5025</v>
      </c>
      <c r="D1821" s="9" t="s">
        <v>5028</v>
      </c>
      <c r="E1821" s="7" t="s">
        <v>5021</v>
      </c>
      <c r="F1821" s="7" t="s">
        <v>4900</v>
      </c>
      <c r="G1821" s="7" t="s">
        <v>5029</v>
      </c>
      <c r="H1821" s="7">
        <v>0.05</v>
      </c>
      <c r="I1821" s="7">
        <v>68</v>
      </c>
      <c r="J1821" s="7">
        <v>800</v>
      </c>
      <c r="K1821" s="7">
        <v>600</v>
      </c>
      <c r="L1821" s="7">
        <v>150</v>
      </c>
      <c r="M1821" s="7">
        <v>30</v>
      </c>
      <c r="N1821" s="7">
        <v>60</v>
      </c>
      <c r="O1821" s="7">
        <v>30</v>
      </c>
      <c r="P1821" s="7">
        <v>150</v>
      </c>
    </row>
    <row r="1822" spans="1:16" s="10" customFormat="1">
      <c r="A1822" s="7">
        <f>IF(B1822="","",SUBTOTAL(103,$B$2:B1822))</f>
        <v>1821</v>
      </c>
      <c r="B1822" s="8" t="s">
        <v>5018</v>
      </c>
      <c r="C1822" s="7" t="s">
        <v>5030</v>
      </c>
      <c r="D1822" s="9" t="s">
        <v>5031</v>
      </c>
      <c r="E1822" s="7" t="s">
        <v>5021</v>
      </c>
      <c r="F1822" s="7" t="s">
        <v>4904</v>
      </c>
      <c r="G1822" s="7" t="s">
        <v>5032</v>
      </c>
      <c r="H1822" s="7">
        <v>2.4E-2</v>
      </c>
      <c r="I1822" s="7">
        <v>92</v>
      </c>
      <c r="J1822" s="7">
        <v>800</v>
      </c>
      <c r="K1822" s="7">
        <v>600</v>
      </c>
      <c r="L1822" s="7">
        <v>150</v>
      </c>
      <c r="M1822" s="7">
        <v>30</v>
      </c>
      <c r="N1822" s="7">
        <v>60</v>
      </c>
      <c r="O1822" s="7">
        <v>27</v>
      </c>
      <c r="P1822" s="7">
        <v>170</v>
      </c>
    </row>
    <row r="1823" spans="1:16" s="10" customFormat="1">
      <c r="A1823" s="7">
        <f>IF(B1823="","",SUBTOTAL(103,$B$2:B1823))</f>
        <v>1822</v>
      </c>
      <c r="B1823" s="8" t="s">
        <v>5018</v>
      </c>
      <c r="C1823" s="7" t="s">
        <v>5030</v>
      </c>
      <c r="D1823" s="9" t="s">
        <v>5033</v>
      </c>
      <c r="E1823" s="7" t="s">
        <v>5021</v>
      </c>
      <c r="F1823" s="7" t="s">
        <v>4907</v>
      </c>
      <c r="G1823" s="7" t="s">
        <v>5034</v>
      </c>
      <c r="H1823" s="7">
        <v>2.4E-2</v>
      </c>
      <c r="I1823" s="7">
        <v>92</v>
      </c>
      <c r="J1823" s="7">
        <v>800</v>
      </c>
      <c r="K1823" s="7">
        <v>600</v>
      </c>
      <c r="L1823" s="7">
        <v>150</v>
      </c>
      <c r="M1823" s="7">
        <v>30</v>
      </c>
      <c r="N1823" s="7">
        <v>60</v>
      </c>
      <c r="O1823" s="7">
        <v>27</v>
      </c>
      <c r="P1823" s="7">
        <v>170</v>
      </c>
    </row>
    <row r="1824" spans="1:16" s="10" customFormat="1">
      <c r="A1824" s="7">
        <f>IF(B1824="","",SUBTOTAL(103,$B$2:B1824))</f>
        <v>1823</v>
      </c>
      <c r="B1824" s="8" t="s">
        <v>5018</v>
      </c>
      <c r="C1824" s="7" t="s">
        <v>5035</v>
      </c>
      <c r="D1824" s="9" t="s">
        <v>5036</v>
      </c>
      <c r="E1824" s="7" t="s">
        <v>5021</v>
      </c>
      <c r="F1824" s="7" t="s">
        <v>3309</v>
      </c>
      <c r="G1824" s="7" t="s">
        <v>5037</v>
      </c>
      <c r="H1824" s="7">
        <v>1.4E-2</v>
      </c>
      <c r="I1824" s="7">
        <v>124</v>
      </c>
      <c r="J1824" s="7">
        <v>800</v>
      </c>
      <c r="K1824" s="7">
        <v>600</v>
      </c>
      <c r="L1824" s="7">
        <v>150</v>
      </c>
      <c r="M1824" s="7">
        <v>30</v>
      </c>
      <c r="N1824" s="7">
        <v>60</v>
      </c>
      <c r="O1824" s="7">
        <v>25</v>
      </c>
      <c r="P1824" s="7">
        <v>170</v>
      </c>
    </row>
    <row r="1825" spans="1:16" s="10" customFormat="1">
      <c r="A1825" s="7">
        <f>IF(B1825="","",SUBTOTAL(103,$B$2:B1825))</f>
        <v>1824</v>
      </c>
      <c r="B1825" s="8" t="s">
        <v>5018</v>
      </c>
      <c r="C1825" s="7" t="s">
        <v>5035</v>
      </c>
      <c r="D1825" s="9" t="s">
        <v>5038</v>
      </c>
      <c r="E1825" s="7" t="s">
        <v>5021</v>
      </c>
      <c r="F1825" s="7" t="s">
        <v>4913</v>
      </c>
      <c r="G1825" s="7" t="s">
        <v>5039</v>
      </c>
      <c r="H1825" s="7">
        <v>1.4E-2</v>
      </c>
      <c r="I1825" s="7">
        <v>124</v>
      </c>
      <c r="J1825" s="7">
        <v>800</v>
      </c>
      <c r="K1825" s="7">
        <v>600</v>
      </c>
      <c r="L1825" s="7">
        <v>150</v>
      </c>
      <c r="M1825" s="7">
        <v>30</v>
      </c>
      <c r="N1825" s="7">
        <v>60</v>
      </c>
      <c r="O1825" s="7">
        <v>25</v>
      </c>
      <c r="P1825" s="7">
        <v>170</v>
      </c>
    </row>
    <row r="1826" spans="1:16" s="10" customFormat="1">
      <c r="A1826" s="7">
        <f>IF(B1826="","",SUBTOTAL(103,$B$2:B1826))</f>
        <v>1825</v>
      </c>
      <c r="B1826" s="8" t="s">
        <v>5018</v>
      </c>
      <c r="C1826" s="7" t="s">
        <v>5040</v>
      </c>
      <c r="D1826" s="9" t="s">
        <v>5041</v>
      </c>
      <c r="E1826" s="7" t="s">
        <v>5021</v>
      </c>
      <c r="F1826" s="7" t="s">
        <v>4917</v>
      </c>
      <c r="G1826" s="7" t="s">
        <v>5042</v>
      </c>
      <c r="H1826" s="7">
        <v>0.24</v>
      </c>
      <c r="I1826" s="7">
        <v>28</v>
      </c>
      <c r="J1826" s="7">
        <v>800</v>
      </c>
      <c r="K1826" s="7">
        <v>600</v>
      </c>
      <c r="L1826" s="7">
        <v>150</v>
      </c>
      <c r="M1826" s="7">
        <v>30</v>
      </c>
      <c r="N1826" s="7">
        <v>60</v>
      </c>
      <c r="O1826" s="7">
        <v>70</v>
      </c>
      <c r="P1826" s="7">
        <v>265.88</v>
      </c>
    </row>
    <row r="1827" spans="1:16" s="10" customFormat="1">
      <c r="A1827" s="7">
        <f>IF(B1827="","",SUBTOTAL(103,$B$2:B1827))</f>
        <v>1826</v>
      </c>
      <c r="B1827" s="8" t="s">
        <v>5018</v>
      </c>
      <c r="C1827" s="7" t="s">
        <v>5040</v>
      </c>
      <c r="D1827" s="9" t="s">
        <v>5043</v>
      </c>
      <c r="E1827" s="7" t="s">
        <v>5021</v>
      </c>
      <c r="F1827" s="7" t="s">
        <v>4920</v>
      </c>
      <c r="G1827" s="7" t="s">
        <v>5044</v>
      </c>
      <c r="H1827" s="7">
        <v>0.24</v>
      </c>
      <c r="I1827" s="7">
        <v>28</v>
      </c>
      <c r="J1827" s="7">
        <v>800</v>
      </c>
      <c r="K1827" s="7">
        <v>600</v>
      </c>
      <c r="L1827" s="7">
        <v>150</v>
      </c>
      <c r="M1827" s="7">
        <v>30</v>
      </c>
      <c r="N1827" s="7">
        <v>60</v>
      </c>
      <c r="O1827" s="7">
        <v>70</v>
      </c>
      <c r="P1827" s="7">
        <v>265.88</v>
      </c>
    </row>
    <row r="1828" spans="1:16" s="10" customFormat="1">
      <c r="A1828" s="7">
        <f>IF(B1828="","",SUBTOTAL(103,$B$2:B1828))</f>
        <v>1827</v>
      </c>
      <c r="B1828" s="8" t="s">
        <v>5018</v>
      </c>
      <c r="C1828" s="7" t="s">
        <v>5045</v>
      </c>
      <c r="D1828" s="9" t="s">
        <v>5046</v>
      </c>
      <c r="E1828" s="7" t="s">
        <v>5021</v>
      </c>
      <c r="F1828" s="7" t="s">
        <v>4924</v>
      </c>
      <c r="G1828" s="7" t="s">
        <v>5047</v>
      </c>
      <c r="H1828" s="7">
        <v>0.15</v>
      </c>
      <c r="I1828" s="7">
        <v>36</v>
      </c>
      <c r="J1828" s="7">
        <v>800</v>
      </c>
      <c r="K1828" s="7">
        <v>600</v>
      </c>
      <c r="L1828" s="7">
        <v>150</v>
      </c>
      <c r="M1828" s="7">
        <v>30</v>
      </c>
      <c r="N1828" s="7">
        <v>60</v>
      </c>
      <c r="O1828" s="7">
        <v>55</v>
      </c>
      <c r="P1828" s="7">
        <v>250</v>
      </c>
    </row>
    <row r="1829" spans="1:16" s="10" customFormat="1">
      <c r="A1829" s="7">
        <f>IF(B1829="","",SUBTOTAL(103,$B$2:B1829))</f>
        <v>1828</v>
      </c>
      <c r="B1829" s="8" t="s">
        <v>5018</v>
      </c>
      <c r="C1829" s="7" t="s">
        <v>5045</v>
      </c>
      <c r="D1829" s="9" t="s">
        <v>5048</v>
      </c>
      <c r="E1829" s="7" t="s">
        <v>5021</v>
      </c>
      <c r="F1829" s="7" t="s">
        <v>4927</v>
      </c>
      <c r="G1829" s="7" t="s">
        <v>5049</v>
      </c>
      <c r="H1829" s="7">
        <v>0.15</v>
      </c>
      <c r="I1829" s="7">
        <v>36</v>
      </c>
      <c r="J1829" s="7">
        <v>800</v>
      </c>
      <c r="K1829" s="7">
        <v>600</v>
      </c>
      <c r="L1829" s="7">
        <v>150</v>
      </c>
      <c r="M1829" s="7">
        <v>30</v>
      </c>
      <c r="N1829" s="7">
        <v>60</v>
      </c>
      <c r="O1829" s="7">
        <v>55</v>
      </c>
      <c r="P1829" s="7">
        <v>250</v>
      </c>
    </row>
    <row r="1830" spans="1:16" s="10" customFormat="1">
      <c r="A1830" s="7">
        <f>IF(B1830="","",SUBTOTAL(103,$B$2:B1830))</f>
        <v>1829</v>
      </c>
      <c r="B1830" s="8" t="s">
        <v>5018</v>
      </c>
      <c r="C1830" s="7" t="s">
        <v>5050</v>
      </c>
      <c r="D1830" s="9" t="s">
        <v>5051</v>
      </c>
      <c r="E1830" s="7" t="s">
        <v>5021</v>
      </c>
      <c r="F1830" s="7" t="s">
        <v>4931</v>
      </c>
      <c r="G1830" s="7" t="s">
        <v>5052</v>
      </c>
      <c r="H1830" s="7">
        <v>0.42</v>
      </c>
      <c r="I1830" s="7">
        <v>16</v>
      </c>
      <c r="J1830" s="7">
        <v>800</v>
      </c>
      <c r="K1830" s="7">
        <v>600</v>
      </c>
      <c r="L1830" s="7">
        <v>150</v>
      </c>
      <c r="M1830" s="7">
        <v>30</v>
      </c>
      <c r="N1830" s="7">
        <v>60</v>
      </c>
      <c r="O1830" s="7">
        <v>125</v>
      </c>
      <c r="P1830" s="7">
        <v>450</v>
      </c>
    </row>
    <row r="1831" spans="1:16" s="10" customFormat="1">
      <c r="A1831" s="7">
        <f>IF(B1831="","",SUBTOTAL(103,$B$2:B1831))</f>
        <v>1830</v>
      </c>
      <c r="B1831" s="8" t="s">
        <v>5018</v>
      </c>
      <c r="C1831" s="7" t="s">
        <v>5050</v>
      </c>
      <c r="D1831" s="9" t="s">
        <v>5053</v>
      </c>
      <c r="E1831" s="7" t="s">
        <v>5021</v>
      </c>
      <c r="F1831" s="7" t="s">
        <v>4934</v>
      </c>
      <c r="G1831" s="7" t="s">
        <v>5054</v>
      </c>
      <c r="H1831" s="7">
        <v>0.42</v>
      </c>
      <c r="I1831" s="7">
        <v>16</v>
      </c>
      <c r="J1831" s="7">
        <v>800</v>
      </c>
      <c r="K1831" s="7">
        <v>600</v>
      </c>
      <c r="L1831" s="7">
        <v>150</v>
      </c>
      <c r="M1831" s="7">
        <v>30</v>
      </c>
      <c r="N1831" s="7">
        <v>60</v>
      </c>
      <c r="O1831" s="7">
        <v>125</v>
      </c>
      <c r="P1831" s="7">
        <v>450</v>
      </c>
    </row>
    <row r="1832" spans="1:16" s="10" customFormat="1">
      <c r="A1832" s="7">
        <f>IF(B1832="","",SUBTOTAL(103,$B$2:B1832))</f>
        <v>1831</v>
      </c>
      <c r="B1832" s="8" t="s">
        <v>5018</v>
      </c>
      <c r="C1832" s="7" t="s">
        <v>5055</v>
      </c>
      <c r="D1832" s="9" t="s">
        <v>5056</v>
      </c>
      <c r="E1832" s="7" t="s">
        <v>5021</v>
      </c>
      <c r="F1832" s="7" t="s">
        <v>1113</v>
      </c>
      <c r="G1832" s="7" t="s">
        <v>5057</v>
      </c>
      <c r="H1832" s="7">
        <v>0.76</v>
      </c>
      <c r="I1832" s="7">
        <v>6</v>
      </c>
      <c r="J1832" s="7">
        <v>800</v>
      </c>
      <c r="K1832" s="7">
        <v>600</v>
      </c>
      <c r="L1832" s="7">
        <v>150</v>
      </c>
      <c r="M1832" s="7">
        <v>30</v>
      </c>
      <c r="N1832" s="7">
        <v>60</v>
      </c>
      <c r="O1832" s="7">
        <v>310</v>
      </c>
      <c r="P1832" s="7">
        <v>350</v>
      </c>
    </row>
    <row r="1833" spans="1:16" s="10" customFormat="1">
      <c r="A1833" s="7">
        <f>IF(B1833="","",SUBTOTAL(103,$B$2:B1833))</f>
        <v>1832</v>
      </c>
      <c r="B1833" s="8" t="s">
        <v>5018</v>
      </c>
      <c r="C1833" s="7" t="s">
        <v>5055</v>
      </c>
      <c r="D1833" s="9" t="s">
        <v>5058</v>
      </c>
      <c r="E1833" s="7" t="s">
        <v>5021</v>
      </c>
      <c r="F1833" s="7" t="s">
        <v>1116</v>
      </c>
      <c r="G1833" s="7" t="s">
        <v>5059</v>
      </c>
      <c r="H1833" s="7">
        <v>0.76</v>
      </c>
      <c r="I1833" s="7">
        <v>6</v>
      </c>
      <c r="J1833" s="7">
        <v>800</v>
      </c>
      <c r="K1833" s="7">
        <v>600</v>
      </c>
      <c r="L1833" s="7">
        <v>150</v>
      </c>
      <c r="M1833" s="7">
        <v>30</v>
      </c>
      <c r="N1833" s="7">
        <v>60</v>
      </c>
      <c r="O1833" s="7">
        <v>310</v>
      </c>
      <c r="P1833" s="7">
        <v>350</v>
      </c>
    </row>
    <row r="1834" spans="1:16" s="10" customFormat="1">
      <c r="A1834" s="7">
        <f>IF(B1834="","",SUBTOTAL(103,$B$2:B1834))</f>
        <v>1833</v>
      </c>
      <c r="B1834" s="8" t="s">
        <v>5018</v>
      </c>
      <c r="C1834" s="7" t="s">
        <v>5060</v>
      </c>
      <c r="D1834" s="9" t="s">
        <v>5061</v>
      </c>
      <c r="E1834" s="7" t="s">
        <v>5021</v>
      </c>
      <c r="F1834" s="7" t="s">
        <v>4943</v>
      </c>
      <c r="G1834" s="7" t="s">
        <v>5062</v>
      </c>
      <c r="H1834" s="7">
        <v>1.1599999999999999</v>
      </c>
      <c r="I1834" s="7">
        <v>6</v>
      </c>
      <c r="J1834" s="7">
        <v>800</v>
      </c>
      <c r="K1834" s="7">
        <v>600</v>
      </c>
      <c r="L1834" s="7">
        <v>150</v>
      </c>
      <c r="M1834" s="7">
        <v>30</v>
      </c>
      <c r="N1834" s="7">
        <v>60</v>
      </c>
      <c r="O1834" s="7">
        <v>310</v>
      </c>
      <c r="P1834" s="7">
        <v>350</v>
      </c>
    </row>
    <row r="1835" spans="1:16" s="10" customFormat="1">
      <c r="A1835" s="7">
        <f>IF(B1835="","",SUBTOTAL(103,$B$2:B1835))</f>
        <v>1834</v>
      </c>
      <c r="B1835" s="8" t="s">
        <v>5018</v>
      </c>
      <c r="C1835" s="7" t="s">
        <v>5060</v>
      </c>
      <c r="D1835" s="9" t="s">
        <v>5063</v>
      </c>
      <c r="E1835" s="7" t="s">
        <v>5021</v>
      </c>
      <c r="F1835" s="7" t="s">
        <v>3471</v>
      </c>
      <c r="G1835" s="7" t="s">
        <v>5064</v>
      </c>
      <c r="H1835" s="7">
        <v>1.1599999999999999</v>
      </c>
      <c r="I1835" s="7">
        <v>6</v>
      </c>
      <c r="J1835" s="7">
        <v>800</v>
      </c>
      <c r="K1835" s="7">
        <v>600</v>
      </c>
      <c r="L1835" s="7">
        <v>150</v>
      </c>
      <c r="M1835" s="7">
        <v>30</v>
      </c>
      <c r="N1835" s="7">
        <v>60</v>
      </c>
      <c r="O1835" s="7">
        <v>310</v>
      </c>
      <c r="P1835" s="7">
        <v>350</v>
      </c>
    </row>
    <row r="1836" spans="1:16" s="10" customFormat="1">
      <c r="A1836" s="7">
        <f>IF(B1836="","",SUBTOTAL(103,$B$2:B1836))</f>
        <v>1835</v>
      </c>
      <c r="B1836" s="8" t="s">
        <v>5018</v>
      </c>
      <c r="C1836" s="7" t="s">
        <v>5065</v>
      </c>
      <c r="D1836" s="9" t="s">
        <v>5066</v>
      </c>
      <c r="E1836" s="7" t="s">
        <v>5021</v>
      </c>
      <c r="F1836" s="7" t="s">
        <v>4949</v>
      </c>
      <c r="G1836" s="7" t="s">
        <v>5067</v>
      </c>
      <c r="H1836" s="7">
        <v>0.09</v>
      </c>
      <c r="I1836" s="7">
        <v>58</v>
      </c>
      <c r="J1836" s="7">
        <v>800</v>
      </c>
      <c r="K1836" s="7">
        <v>600</v>
      </c>
      <c r="L1836" s="7">
        <v>150</v>
      </c>
      <c r="M1836" s="7">
        <v>30</v>
      </c>
      <c r="N1836" s="7">
        <v>60</v>
      </c>
      <c r="O1836" s="7">
        <v>34</v>
      </c>
      <c r="P1836" s="7">
        <v>200</v>
      </c>
    </row>
    <row r="1837" spans="1:16" s="10" customFormat="1">
      <c r="A1837" s="7">
        <f>IF(B1837="","",SUBTOTAL(103,$B$2:B1837))</f>
        <v>1836</v>
      </c>
      <c r="B1837" s="8" t="s">
        <v>5018</v>
      </c>
      <c r="C1837" s="7" t="s">
        <v>5065</v>
      </c>
      <c r="D1837" s="9" t="s">
        <v>5068</v>
      </c>
      <c r="E1837" s="7" t="s">
        <v>5021</v>
      </c>
      <c r="F1837" s="7" t="s">
        <v>4952</v>
      </c>
      <c r="G1837" s="7" t="s">
        <v>5069</v>
      </c>
      <c r="H1837" s="7">
        <v>0.09</v>
      </c>
      <c r="I1837" s="7">
        <v>58</v>
      </c>
      <c r="J1837" s="7">
        <v>800</v>
      </c>
      <c r="K1837" s="7">
        <v>600</v>
      </c>
      <c r="L1837" s="7">
        <v>150</v>
      </c>
      <c r="M1837" s="7">
        <v>30</v>
      </c>
      <c r="N1837" s="7">
        <v>60</v>
      </c>
      <c r="O1837" s="7">
        <v>34</v>
      </c>
      <c r="P1837" s="7">
        <v>200</v>
      </c>
    </row>
    <row r="1838" spans="1:16" s="10" customFormat="1">
      <c r="A1838" s="7">
        <f>IF(B1838="","",SUBTOTAL(103,$B$2:B1838))</f>
        <v>1837</v>
      </c>
      <c r="B1838" s="8" t="s">
        <v>5018</v>
      </c>
      <c r="C1838" s="7" t="s">
        <v>5070</v>
      </c>
      <c r="D1838" s="9" t="s">
        <v>5071</v>
      </c>
      <c r="E1838" s="7" t="s">
        <v>5021</v>
      </c>
      <c r="F1838" s="7" t="s">
        <v>4956</v>
      </c>
      <c r="G1838" s="7" t="s">
        <v>5072</v>
      </c>
      <c r="H1838" s="7">
        <v>0.03</v>
      </c>
      <c r="I1838" s="7">
        <v>80</v>
      </c>
      <c r="J1838" s="7">
        <v>800</v>
      </c>
      <c r="K1838" s="7">
        <v>600</v>
      </c>
      <c r="L1838" s="7">
        <v>150</v>
      </c>
      <c r="M1838" s="7">
        <v>30</v>
      </c>
      <c r="N1838" s="7">
        <v>60</v>
      </c>
      <c r="O1838" s="7">
        <v>25</v>
      </c>
      <c r="P1838" s="7">
        <v>145</v>
      </c>
    </row>
    <row r="1839" spans="1:16" s="10" customFormat="1">
      <c r="A1839" s="7">
        <f>IF(B1839="","",SUBTOTAL(103,$B$2:B1839))</f>
        <v>1838</v>
      </c>
      <c r="B1839" s="8" t="s">
        <v>5018</v>
      </c>
      <c r="C1839" s="7" t="s">
        <v>5070</v>
      </c>
      <c r="D1839" s="9" t="s">
        <v>5073</v>
      </c>
      <c r="E1839" s="7" t="s">
        <v>5021</v>
      </c>
      <c r="F1839" s="7" t="s">
        <v>4959</v>
      </c>
      <c r="G1839" s="7" t="s">
        <v>5074</v>
      </c>
      <c r="H1839" s="7">
        <v>0.03</v>
      </c>
      <c r="I1839" s="7">
        <v>80</v>
      </c>
      <c r="J1839" s="7">
        <v>800</v>
      </c>
      <c r="K1839" s="7">
        <v>600</v>
      </c>
      <c r="L1839" s="7">
        <v>150</v>
      </c>
      <c r="M1839" s="7">
        <v>30</v>
      </c>
      <c r="N1839" s="7">
        <v>60</v>
      </c>
      <c r="O1839" s="7">
        <v>25</v>
      </c>
      <c r="P1839" s="7">
        <v>145</v>
      </c>
    </row>
    <row r="1840" spans="1:16" s="10" customFormat="1">
      <c r="A1840" s="7">
        <f>IF(B1840="","",SUBTOTAL(103,$B$2:B1840))</f>
        <v>1839</v>
      </c>
      <c r="B1840" s="8" t="s">
        <v>5018</v>
      </c>
      <c r="C1840" s="7" t="s">
        <v>5075</v>
      </c>
      <c r="D1840" s="9" t="s">
        <v>5076</v>
      </c>
      <c r="E1840" s="7" t="s">
        <v>5021</v>
      </c>
      <c r="F1840" s="7" t="s">
        <v>4963</v>
      </c>
      <c r="G1840" s="7" t="s">
        <v>5077</v>
      </c>
      <c r="H1840" s="7">
        <v>1.81</v>
      </c>
      <c r="I1840" s="7">
        <v>5</v>
      </c>
      <c r="J1840" s="7">
        <v>800</v>
      </c>
      <c r="K1840" s="7">
        <v>600</v>
      </c>
      <c r="L1840" s="7">
        <v>150</v>
      </c>
      <c r="M1840" s="7">
        <v>30</v>
      </c>
      <c r="N1840" s="7">
        <v>60</v>
      </c>
      <c r="O1840" s="7">
        <v>400</v>
      </c>
      <c r="P1840" s="7">
        <v>565</v>
      </c>
    </row>
    <row r="1841" spans="1:16" s="10" customFormat="1">
      <c r="A1841" s="7">
        <f>IF(B1841="","",SUBTOTAL(103,$B$2:B1841))</f>
        <v>1840</v>
      </c>
      <c r="B1841" s="8" t="s">
        <v>5018</v>
      </c>
      <c r="C1841" s="7" t="s">
        <v>5075</v>
      </c>
      <c r="D1841" s="9" t="s">
        <v>5078</v>
      </c>
      <c r="E1841" s="7" t="s">
        <v>5021</v>
      </c>
      <c r="F1841" s="7" t="s">
        <v>4966</v>
      </c>
      <c r="G1841" s="7" t="s">
        <v>5079</v>
      </c>
      <c r="H1841" s="7">
        <v>0.08</v>
      </c>
      <c r="I1841" s="7">
        <v>5</v>
      </c>
      <c r="J1841" s="7">
        <v>800</v>
      </c>
      <c r="K1841" s="7">
        <v>600</v>
      </c>
      <c r="L1841" s="7">
        <v>150</v>
      </c>
      <c r="M1841" s="7">
        <v>30</v>
      </c>
      <c r="N1841" s="7">
        <v>60</v>
      </c>
      <c r="O1841" s="7">
        <v>400</v>
      </c>
      <c r="P1841" s="7">
        <v>565</v>
      </c>
    </row>
    <row r="1842" spans="1:16" s="10" customFormat="1">
      <c r="A1842" s="7">
        <f>IF(B1842="","",SUBTOTAL(103,$B$2:B1842))</f>
        <v>1841</v>
      </c>
      <c r="B1842" s="8" t="s">
        <v>5080</v>
      </c>
      <c r="C1842" s="7" t="s">
        <v>4969</v>
      </c>
      <c r="D1842" s="9" t="s">
        <v>5081</v>
      </c>
      <c r="E1842" s="7" t="s">
        <v>5082</v>
      </c>
      <c r="F1842" s="7" t="s">
        <v>4890</v>
      </c>
      <c r="G1842" s="7" t="s">
        <v>5083</v>
      </c>
      <c r="H1842" s="7">
        <v>0.08</v>
      </c>
      <c r="I1842" s="7">
        <v>0</v>
      </c>
      <c r="J1842" s="7">
        <v>800</v>
      </c>
      <c r="K1842" s="7">
        <v>600</v>
      </c>
      <c r="L1842" s="7">
        <v>150</v>
      </c>
      <c r="M1842" s="7">
        <v>30</v>
      </c>
      <c r="N1842" s="7">
        <v>60</v>
      </c>
      <c r="O1842" s="7">
        <v>86.699999999999989</v>
      </c>
      <c r="P1842" s="7">
        <v>225</v>
      </c>
    </row>
    <row r="1843" spans="1:16" s="10" customFormat="1">
      <c r="A1843" s="7">
        <f>IF(B1843="","",SUBTOTAL(103,$B$2:B1843))</f>
        <v>1842</v>
      </c>
      <c r="B1843" s="8" t="s">
        <v>5080</v>
      </c>
      <c r="C1843" s="7" t="s">
        <v>4969</v>
      </c>
      <c r="D1843" s="9" t="s">
        <v>5084</v>
      </c>
      <c r="E1843" s="7" t="s">
        <v>5082</v>
      </c>
      <c r="F1843" s="7" t="s">
        <v>4893</v>
      </c>
      <c r="G1843" s="7" t="s">
        <v>5085</v>
      </c>
      <c r="H1843" s="7">
        <v>0.08</v>
      </c>
      <c r="I1843" s="7">
        <v>0</v>
      </c>
      <c r="J1843" s="7">
        <v>800</v>
      </c>
      <c r="K1843" s="7">
        <v>600</v>
      </c>
      <c r="L1843" s="7">
        <v>150</v>
      </c>
      <c r="M1843" s="7">
        <v>30</v>
      </c>
      <c r="N1843" s="7">
        <v>60</v>
      </c>
      <c r="O1843" s="7">
        <v>86.699999999999989</v>
      </c>
      <c r="P1843" s="7">
        <v>225</v>
      </c>
    </row>
    <row r="1844" spans="1:16" s="10" customFormat="1">
      <c r="A1844" s="7">
        <f>IF(B1844="","",SUBTOTAL(103,$B$2:B1844))</f>
        <v>1843</v>
      </c>
      <c r="B1844" s="8" t="s">
        <v>5080</v>
      </c>
      <c r="C1844" s="7" t="s">
        <v>4975</v>
      </c>
      <c r="D1844" s="9" t="s">
        <v>5086</v>
      </c>
      <c r="E1844" s="7" t="s">
        <v>5082</v>
      </c>
      <c r="F1844" s="7" t="s">
        <v>4897</v>
      </c>
      <c r="G1844" s="7" t="s">
        <v>5087</v>
      </c>
      <c r="H1844" s="7">
        <v>0.05</v>
      </c>
      <c r="I1844" s="7">
        <v>68</v>
      </c>
      <c r="J1844" s="7">
        <v>800</v>
      </c>
      <c r="K1844" s="7">
        <v>600</v>
      </c>
      <c r="L1844" s="7">
        <v>150</v>
      </c>
      <c r="M1844" s="7">
        <v>30</v>
      </c>
      <c r="N1844" s="7">
        <v>60</v>
      </c>
      <c r="O1844" s="7">
        <v>30</v>
      </c>
      <c r="P1844" s="7">
        <v>150</v>
      </c>
    </row>
    <row r="1845" spans="1:16" s="10" customFormat="1">
      <c r="A1845" s="7">
        <f>IF(B1845="","",SUBTOTAL(103,$B$2:B1845))</f>
        <v>1844</v>
      </c>
      <c r="B1845" s="8" t="s">
        <v>5080</v>
      </c>
      <c r="C1845" s="7" t="s">
        <v>4975</v>
      </c>
      <c r="D1845" s="9" t="s">
        <v>5088</v>
      </c>
      <c r="E1845" s="7" t="s">
        <v>5082</v>
      </c>
      <c r="F1845" s="7" t="s">
        <v>4900</v>
      </c>
      <c r="G1845" s="7" t="s">
        <v>5089</v>
      </c>
      <c r="H1845" s="7">
        <v>0.05</v>
      </c>
      <c r="I1845" s="7">
        <v>68</v>
      </c>
      <c r="J1845" s="7">
        <v>800</v>
      </c>
      <c r="K1845" s="7">
        <v>600</v>
      </c>
      <c r="L1845" s="7">
        <v>150</v>
      </c>
      <c r="M1845" s="7">
        <v>30</v>
      </c>
      <c r="N1845" s="7">
        <v>60</v>
      </c>
      <c r="O1845" s="7">
        <v>30</v>
      </c>
      <c r="P1845" s="7">
        <v>150</v>
      </c>
    </row>
    <row r="1846" spans="1:16" s="10" customFormat="1">
      <c r="A1846" s="7">
        <f>IF(B1846="","",SUBTOTAL(103,$B$2:B1846))</f>
        <v>1845</v>
      </c>
      <c r="B1846" s="8" t="s">
        <v>5080</v>
      </c>
      <c r="C1846" s="7" t="s">
        <v>4980</v>
      </c>
      <c r="D1846" s="9" t="s">
        <v>5090</v>
      </c>
      <c r="E1846" s="7" t="s">
        <v>5082</v>
      </c>
      <c r="F1846" s="7" t="s">
        <v>4904</v>
      </c>
      <c r="G1846" s="7" t="s">
        <v>5091</v>
      </c>
      <c r="H1846" s="7">
        <v>2.4E-2</v>
      </c>
      <c r="I1846" s="7">
        <v>92</v>
      </c>
      <c r="J1846" s="7">
        <v>800</v>
      </c>
      <c r="K1846" s="7">
        <v>600</v>
      </c>
      <c r="L1846" s="7">
        <v>150</v>
      </c>
      <c r="M1846" s="7">
        <v>30</v>
      </c>
      <c r="N1846" s="7">
        <v>60</v>
      </c>
      <c r="O1846" s="7">
        <v>27</v>
      </c>
      <c r="P1846" s="7">
        <v>170</v>
      </c>
    </row>
    <row r="1847" spans="1:16" s="10" customFormat="1">
      <c r="A1847" s="7">
        <f>IF(B1847="","",SUBTOTAL(103,$B$2:B1847))</f>
        <v>1846</v>
      </c>
      <c r="B1847" s="8" t="s">
        <v>5080</v>
      </c>
      <c r="C1847" s="7" t="s">
        <v>4980</v>
      </c>
      <c r="D1847" s="9" t="s">
        <v>5092</v>
      </c>
      <c r="E1847" s="7" t="s">
        <v>5082</v>
      </c>
      <c r="F1847" s="7" t="s">
        <v>4907</v>
      </c>
      <c r="G1847" s="7" t="s">
        <v>5093</v>
      </c>
      <c r="H1847" s="7">
        <v>2.4E-2</v>
      </c>
      <c r="I1847" s="7">
        <v>92</v>
      </c>
      <c r="J1847" s="7">
        <v>800</v>
      </c>
      <c r="K1847" s="7">
        <v>600</v>
      </c>
      <c r="L1847" s="7">
        <v>150</v>
      </c>
      <c r="M1847" s="7">
        <v>30</v>
      </c>
      <c r="N1847" s="7">
        <v>60</v>
      </c>
      <c r="O1847" s="7">
        <v>27</v>
      </c>
      <c r="P1847" s="7">
        <v>170</v>
      </c>
    </row>
    <row r="1848" spans="1:16" s="10" customFormat="1">
      <c r="A1848" s="7">
        <f>IF(B1848="","",SUBTOTAL(103,$B$2:B1848))</f>
        <v>1847</v>
      </c>
      <c r="B1848" s="8" t="s">
        <v>5080</v>
      </c>
      <c r="C1848" s="7" t="s">
        <v>4985</v>
      </c>
      <c r="D1848" s="9" t="s">
        <v>5094</v>
      </c>
      <c r="E1848" s="7" t="s">
        <v>5082</v>
      </c>
      <c r="F1848" s="7" t="s">
        <v>3309</v>
      </c>
      <c r="G1848" s="7" t="s">
        <v>5095</v>
      </c>
      <c r="H1848" s="7">
        <v>1.4E-2</v>
      </c>
      <c r="I1848" s="7">
        <v>124</v>
      </c>
      <c r="J1848" s="7">
        <v>800</v>
      </c>
      <c r="K1848" s="7">
        <v>600</v>
      </c>
      <c r="L1848" s="7">
        <v>150</v>
      </c>
      <c r="M1848" s="7">
        <v>30</v>
      </c>
      <c r="N1848" s="7">
        <v>60</v>
      </c>
      <c r="O1848" s="7">
        <v>25</v>
      </c>
      <c r="P1848" s="7">
        <v>170</v>
      </c>
    </row>
    <row r="1849" spans="1:16" s="10" customFormat="1">
      <c r="A1849" s="7">
        <f>IF(B1849="","",SUBTOTAL(103,$B$2:B1849))</f>
        <v>1848</v>
      </c>
      <c r="B1849" s="8" t="s">
        <v>5080</v>
      </c>
      <c r="C1849" s="7" t="s">
        <v>4985</v>
      </c>
      <c r="D1849" s="9" t="s">
        <v>5096</v>
      </c>
      <c r="E1849" s="7" t="s">
        <v>5082</v>
      </c>
      <c r="F1849" s="7" t="s">
        <v>4913</v>
      </c>
      <c r="G1849" s="7" t="s">
        <v>5097</v>
      </c>
      <c r="H1849" s="7">
        <v>1.4E-2</v>
      </c>
      <c r="I1849" s="7">
        <v>124</v>
      </c>
      <c r="J1849" s="7">
        <v>800</v>
      </c>
      <c r="K1849" s="7">
        <v>600</v>
      </c>
      <c r="L1849" s="7">
        <v>150</v>
      </c>
      <c r="M1849" s="7">
        <v>30</v>
      </c>
      <c r="N1849" s="7">
        <v>60</v>
      </c>
      <c r="O1849" s="7">
        <v>25</v>
      </c>
      <c r="P1849" s="7">
        <v>170</v>
      </c>
    </row>
    <row r="1850" spans="1:16" s="10" customFormat="1">
      <c r="A1850" s="7">
        <f>IF(B1850="","",SUBTOTAL(103,$B$2:B1850))</f>
        <v>1849</v>
      </c>
      <c r="B1850" s="8" t="s">
        <v>5080</v>
      </c>
      <c r="C1850" s="7" t="s">
        <v>4990</v>
      </c>
      <c r="D1850" s="9" t="s">
        <v>5098</v>
      </c>
      <c r="E1850" s="7" t="s">
        <v>5082</v>
      </c>
      <c r="F1850" s="7" t="s">
        <v>4917</v>
      </c>
      <c r="G1850" s="7" t="s">
        <v>5099</v>
      </c>
      <c r="H1850" s="7">
        <v>0.24</v>
      </c>
      <c r="I1850" s="7">
        <v>4</v>
      </c>
      <c r="J1850" s="7">
        <v>800</v>
      </c>
      <c r="K1850" s="7">
        <v>600</v>
      </c>
      <c r="L1850" s="7">
        <v>150</v>
      </c>
      <c r="M1850" s="7">
        <v>30</v>
      </c>
      <c r="N1850" s="7">
        <v>60</v>
      </c>
      <c r="O1850" s="7">
        <v>500</v>
      </c>
      <c r="P1850" s="7">
        <v>600</v>
      </c>
    </row>
    <row r="1851" spans="1:16" s="10" customFormat="1">
      <c r="A1851" s="7">
        <f>IF(B1851="","",SUBTOTAL(103,$B$2:B1851))</f>
        <v>1850</v>
      </c>
      <c r="B1851" s="8" t="s">
        <v>5080</v>
      </c>
      <c r="C1851" s="7" t="s">
        <v>4995</v>
      </c>
      <c r="D1851" s="9" t="s">
        <v>5100</v>
      </c>
      <c r="E1851" s="7" t="s">
        <v>5082</v>
      </c>
      <c r="F1851" s="7" t="s">
        <v>4924</v>
      </c>
      <c r="G1851" s="7" t="s">
        <v>5101</v>
      </c>
      <c r="H1851" s="7">
        <v>0.15</v>
      </c>
      <c r="I1851" s="7">
        <v>0</v>
      </c>
      <c r="J1851" s="7">
        <v>800</v>
      </c>
      <c r="K1851" s="7">
        <v>600</v>
      </c>
      <c r="L1851" s="7">
        <v>150</v>
      </c>
      <c r="M1851" s="7">
        <v>30</v>
      </c>
      <c r="N1851" s="7">
        <v>60</v>
      </c>
      <c r="O1851" s="7">
        <v>400</v>
      </c>
      <c r="P1851" s="7">
        <v>250</v>
      </c>
    </row>
    <row r="1852" spans="1:16" s="10" customFormat="1">
      <c r="A1852" s="7">
        <f>IF(B1852="","",SUBTOTAL(103,$B$2:B1852))</f>
        <v>1851</v>
      </c>
      <c r="B1852" s="8" t="s">
        <v>5080</v>
      </c>
      <c r="C1852" s="7" t="s">
        <v>4995</v>
      </c>
      <c r="D1852" s="9" t="s">
        <v>5102</v>
      </c>
      <c r="E1852" s="7" t="s">
        <v>5082</v>
      </c>
      <c r="F1852" s="7" t="s">
        <v>4927</v>
      </c>
      <c r="G1852" s="7" t="s">
        <v>5103</v>
      </c>
      <c r="H1852" s="7">
        <v>0.15</v>
      </c>
      <c r="I1852" s="7">
        <v>4</v>
      </c>
      <c r="J1852" s="7">
        <v>800</v>
      </c>
      <c r="K1852" s="7">
        <v>600</v>
      </c>
      <c r="L1852" s="7">
        <v>150</v>
      </c>
      <c r="M1852" s="7">
        <v>30</v>
      </c>
      <c r="N1852" s="7">
        <v>60</v>
      </c>
      <c r="O1852" s="7">
        <v>500</v>
      </c>
      <c r="P1852" s="7">
        <v>600</v>
      </c>
    </row>
    <row r="1853" spans="1:16" s="10" customFormat="1">
      <c r="A1853" s="7">
        <f>IF(B1853="","",SUBTOTAL(103,$B$2:B1853))</f>
        <v>1852</v>
      </c>
      <c r="B1853" s="8" t="s">
        <v>5080</v>
      </c>
      <c r="C1853" s="7" t="s">
        <v>5000</v>
      </c>
      <c r="D1853" s="9" t="s">
        <v>5104</v>
      </c>
      <c r="E1853" s="7" t="s">
        <v>5082</v>
      </c>
      <c r="F1853" s="7" t="s">
        <v>4931</v>
      </c>
      <c r="G1853" s="7" t="s">
        <v>5105</v>
      </c>
      <c r="H1853" s="7">
        <v>0.42</v>
      </c>
      <c r="I1853" s="7">
        <v>0</v>
      </c>
      <c r="J1853" s="7">
        <v>800</v>
      </c>
      <c r="K1853" s="7">
        <v>600</v>
      </c>
      <c r="L1853" s="7">
        <v>150</v>
      </c>
      <c r="M1853" s="7">
        <v>30</v>
      </c>
      <c r="N1853" s="7">
        <v>60</v>
      </c>
      <c r="O1853" s="7">
        <v>216.75</v>
      </c>
      <c r="P1853" s="7">
        <v>500</v>
      </c>
    </row>
    <row r="1854" spans="1:16" s="10" customFormat="1">
      <c r="A1854" s="7">
        <f>IF(B1854="","",SUBTOTAL(103,$B$2:B1854))</f>
        <v>1853</v>
      </c>
      <c r="B1854" s="8" t="s">
        <v>5080</v>
      </c>
      <c r="C1854" s="7" t="s">
        <v>5000</v>
      </c>
      <c r="D1854" s="9" t="s">
        <v>5106</v>
      </c>
      <c r="E1854" s="7" t="s">
        <v>5082</v>
      </c>
      <c r="F1854" s="7" t="s">
        <v>4934</v>
      </c>
      <c r="G1854" s="7" t="s">
        <v>5107</v>
      </c>
      <c r="H1854" s="7">
        <v>0.42</v>
      </c>
      <c r="I1854" s="7">
        <v>0</v>
      </c>
      <c r="J1854" s="7">
        <v>800</v>
      </c>
      <c r="K1854" s="7">
        <v>600</v>
      </c>
      <c r="L1854" s="7">
        <v>150</v>
      </c>
      <c r="M1854" s="7">
        <v>30</v>
      </c>
      <c r="N1854" s="7">
        <v>60</v>
      </c>
      <c r="O1854" s="7">
        <v>216.75</v>
      </c>
      <c r="P1854" s="7">
        <v>500</v>
      </c>
    </row>
    <row r="1855" spans="1:16" s="10" customFormat="1">
      <c r="A1855" s="7">
        <f>IF(B1855="","",SUBTOTAL(103,$B$2:B1855))</f>
        <v>1854</v>
      </c>
      <c r="B1855" s="8" t="s">
        <v>5080</v>
      </c>
      <c r="C1855" s="7" t="s">
        <v>5005</v>
      </c>
      <c r="D1855" s="9" t="s">
        <v>5108</v>
      </c>
      <c r="E1855" s="7" t="s">
        <v>5082</v>
      </c>
      <c r="F1855" s="7" t="s">
        <v>1113</v>
      </c>
      <c r="G1855" s="7" t="s">
        <v>5109</v>
      </c>
      <c r="H1855" s="7">
        <v>0.76</v>
      </c>
      <c r="I1855" s="7">
        <v>0</v>
      </c>
      <c r="J1855" s="7">
        <v>800</v>
      </c>
      <c r="K1855" s="7">
        <v>600</v>
      </c>
      <c r="L1855" s="7">
        <v>150</v>
      </c>
      <c r="M1855" s="7">
        <v>30</v>
      </c>
      <c r="N1855" s="7">
        <v>60</v>
      </c>
      <c r="O1855" s="7">
        <v>484.0750000000001</v>
      </c>
      <c r="P1855" s="7">
        <v>600</v>
      </c>
    </row>
    <row r="1856" spans="1:16" s="10" customFormat="1">
      <c r="A1856" s="7">
        <f>IF(B1856="","",SUBTOTAL(103,$B$2:B1856))</f>
        <v>1855</v>
      </c>
      <c r="B1856" s="8" t="s">
        <v>5080</v>
      </c>
      <c r="C1856" s="7" t="s">
        <v>5110</v>
      </c>
      <c r="D1856" s="9" t="s">
        <v>5111</v>
      </c>
      <c r="E1856" s="7" t="s">
        <v>5082</v>
      </c>
      <c r="F1856" s="7" t="s">
        <v>3471</v>
      </c>
      <c r="G1856" s="7" t="s">
        <v>5112</v>
      </c>
      <c r="H1856" s="7">
        <v>1.1599999999999999</v>
      </c>
      <c r="I1856" s="7">
        <v>0</v>
      </c>
      <c r="J1856" s="7">
        <v>800</v>
      </c>
      <c r="K1856" s="7">
        <v>600</v>
      </c>
      <c r="L1856" s="7">
        <v>150</v>
      </c>
      <c r="M1856" s="7">
        <v>30</v>
      </c>
      <c r="N1856" s="7">
        <v>60</v>
      </c>
      <c r="O1856" s="7">
        <v>505.75</v>
      </c>
      <c r="P1856" s="7">
        <v>700</v>
      </c>
    </row>
    <row r="1857" spans="1:16" s="10" customFormat="1">
      <c r="A1857" s="7">
        <f>IF(B1857="","",SUBTOTAL(103,$B$2:B1857))</f>
        <v>1856</v>
      </c>
      <c r="B1857" s="8" t="s">
        <v>5080</v>
      </c>
      <c r="C1857" s="7" t="s">
        <v>5008</v>
      </c>
      <c r="D1857" s="9" t="s">
        <v>5113</v>
      </c>
      <c r="E1857" s="7" t="s">
        <v>5082</v>
      </c>
      <c r="F1857" s="7" t="s">
        <v>4949</v>
      </c>
      <c r="G1857" s="7" t="s">
        <v>5114</v>
      </c>
      <c r="H1857" s="7">
        <v>0.05</v>
      </c>
      <c r="I1857" s="7">
        <v>58</v>
      </c>
      <c r="J1857" s="7">
        <v>800</v>
      </c>
      <c r="K1857" s="7">
        <v>600</v>
      </c>
      <c r="L1857" s="7">
        <v>150</v>
      </c>
      <c r="M1857" s="7">
        <v>30</v>
      </c>
      <c r="N1857" s="7">
        <v>60</v>
      </c>
      <c r="O1857" s="7">
        <v>34</v>
      </c>
      <c r="P1857" s="7">
        <v>200</v>
      </c>
    </row>
    <row r="1858" spans="1:16" s="10" customFormat="1">
      <c r="A1858" s="7">
        <f>IF(B1858="","",SUBTOTAL(103,$B$2:B1858))</f>
        <v>1857</v>
      </c>
      <c r="B1858" s="8" t="s">
        <v>5080</v>
      </c>
      <c r="C1858" s="7" t="s">
        <v>5013</v>
      </c>
      <c r="D1858" s="9" t="s">
        <v>5115</v>
      </c>
      <c r="E1858" s="7" t="s">
        <v>5082</v>
      </c>
      <c r="F1858" s="7" t="s">
        <v>4956</v>
      </c>
      <c r="G1858" s="7" t="s">
        <v>5116</v>
      </c>
      <c r="H1858" s="7">
        <v>3.1E-2</v>
      </c>
      <c r="I1858" s="7">
        <v>80</v>
      </c>
      <c r="J1858" s="7">
        <v>800</v>
      </c>
      <c r="K1858" s="7">
        <v>600</v>
      </c>
      <c r="L1858" s="7">
        <v>150</v>
      </c>
      <c r="M1858" s="7">
        <v>30</v>
      </c>
      <c r="N1858" s="7">
        <v>60</v>
      </c>
      <c r="O1858" s="7">
        <v>25</v>
      </c>
      <c r="P1858" s="7">
        <v>135</v>
      </c>
    </row>
    <row r="1859" spans="1:16" s="10" customFormat="1">
      <c r="A1859" s="7">
        <f>IF(B1859="","",SUBTOTAL(103,$B$2:B1859))</f>
        <v>1858</v>
      </c>
      <c r="B1859" s="8" t="s">
        <v>5080</v>
      </c>
      <c r="C1859" s="7" t="s">
        <v>5013</v>
      </c>
      <c r="D1859" s="9" t="s">
        <v>5117</v>
      </c>
      <c r="E1859" s="7" t="s">
        <v>5082</v>
      </c>
      <c r="F1859" s="7" t="s">
        <v>4959</v>
      </c>
      <c r="G1859" s="7" t="s">
        <v>5118</v>
      </c>
      <c r="H1859" s="7">
        <v>3.1E-2</v>
      </c>
      <c r="I1859" s="7">
        <v>80</v>
      </c>
      <c r="J1859" s="7">
        <v>800</v>
      </c>
      <c r="K1859" s="7">
        <v>600</v>
      </c>
      <c r="L1859" s="7">
        <v>150</v>
      </c>
      <c r="M1859" s="7">
        <v>30</v>
      </c>
      <c r="N1859" s="7">
        <v>60</v>
      </c>
      <c r="O1859" s="7">
        <v>25</v>
      </c>
      <c r="P1859" s="7">
        <v>135</v>
      </c>
    </row>
    <row r="1860" spans="1:16" s="10" customFormat="1">
      <c r="A1860" s="7">
        <f>IF(B1860="","",SUBTOTAL(103,$B$2:B1860))</f>
        <v>1859</v>
      </c>
      <c r="B1860" s="8" t="s">
        <v>5080</v>
      </c>
      <c r="C1860" s="7" t="s">
        <v>5119</v>
      </c>
      <c r="D1860" s="9" t="s">
        <v>5120</v>
      </c>
      <c r="E1860" s="7" t="s">
        <v>5082</v>
      </c>
      <c r="F1860" s="7" t="s">
        <v>4963</v>
      </c>
      <c r="G1860" s="7" t="s">
        <v>5121</v>
      </c>
      <c r="H1860" s="7">
        <v>1.81</v>
      </c>
      <c r="I1860" s="7">
        <v>0</v>
      </c>
      <c r="J1860" s="7">
        <v>800</v>
      </c>
      <c r="K1860" s="7">
        <v>600</v>
      </c>
      <c r="L1860" s="7">
        <v>150</v>
      </c>
      <c r="M1860" s="7">
        <v>30</v>
      </c>
      <c r="N1860" s="7">
        <v>60</v>
      </c>
      <c r="O1860" s="7">
        <v>528.86999999999989</v>
      </c>
      <c r="P1860" s="7">
        <v>800</v>
      </c>
    </row>
    <row r="1861" spans="1:16" s="10" customFormat="1">
      <c r="A1861" s="7">
        <f>IF(B1861="","",SUBTOTAL(103,$B$2:B1861))</f>
        <v>1860</v>
      </c>
      <c r="B1861" s="8" t="s">
        <v>5122</v>
      </c>
      <c r="C1861" s="7" t="s">
        <v>5123</v>
      </c>
      <c r="D1861" s="9" t="s">
        <v>5124</v>
      </c>
      <c r="E1861" s="7" t="s">
        <v>5125</v>
      </c>
      <c r="F1861" s="7" t="s">
        <v>1300</v>
      </c>
      <c r="G1861" s="7" t="s">
        <v>5126</v>
      </c>
      <c r="H1861" s="7">
        <v>0.34399999999999997</v>
      </c>
      <c r="I1861" s="7">
        <v>24</v>
      </c>
      <c r="J1861" s="7">
        <v>800</v>
      </c>
      <c r="K1861" s="7">
        <v>600</v>
      </c>
      <c r="L1861" s="7">
        <v>150</v>
      </c>
      <c r="M1861" s="7">
        <v>30</v>
      </c>
      <c r="N1861" s="7">
        <v>60</v>
      </c>
      <c r="O1861" s="7">
        <v>75</v>
      </c>
      <c r="P1861" s="7">
        <v>250</v>
      </c>
    </row>
    <row r="1862" spans="1:16" s="10" customFormat="1">
      <c r="A1862" s="7">
        <f>IF(B1862="","",SUBTOTAL(103,$B$2:B1862))</f>
        <v>1861</v>
      </c>
      <c r="B1862" s="8" t="s">
        <v>5122</v>
      </c>
      <c r="C1862" s="7" t="s">
        <v>5123</v>
      </c>
      <c r="D1862" s="9" t="s">
        <v>5127</v>
      </c>
      <c r="E1862" s="7" t="s">
        <v>5125</v>
      </c>
      <c r="F1862" s="7" t="s">
        <v>1303</v>
      </c>
      <c r="G1862" s="7" t="s">
        <v>5128</v>
      </c>
      <c r="H1862" s="7">
        <v>0.33900000000000002</v>
      </c>
      <c r="I1862" s="7">
        <v>24</v>
      </c>
      <c r="J1862" s="7">
        <v>800</v>
      </c>
      <c r="K1862" s="7">
        <v>600</v>
      </c>
      <c r="L1862" s="7">
        <v>150</v>
      </c>
      <c r="M1862" s="7">
        <v>30</v>
      </c>
      <c r="N1862" s="7">
        <v>60</v>
      </c>
      <c r="O1862" s="7">
        <v>75</v>
      </c>
      <c r="P1862" s="7">
        <v>250</v>
      </c>
    </row>
    <row r="1863" spans="1:16" s="10" customFormat="1">
      <c r="A1863" s="7">
        <f>IF(B1863="","",SUBTOTAL(103,$B$2:B1863))</f>
        <v>1862</v>
      </c>
      <c r="B1863" s="8" t="s">
        <v>5122</v>
      </c>
      <c r="C1863" s="7" t="s">
        <v>5129</v>
      </c>
      <c r="D1863" s="9" t="s">
        <v>5130</v>
      </c>
      <c r="E1863" s="7" t="s">
        <v>5125</v>
      </c>
      <c r="F1863" s="7" t="s">
        <v>1306</v>
      </c>
      <c r="G1863" s="7" t="s">
        <v>5131</v>
      </c>
      <c r="H1863" s="7">
        <v>0.14199999999999999</v>
      </c>
      <c r="I1863" s="7">
        <v>38</v>
      </c>
      <c r="J1863" s="7">
        <v>800</v>
      </c>
      <c r="K1863" s="7">
        <v>600</v>
      </c>
      <c r="L1863" s="7">
        <v>150</v>
      </c>
      <c r="M1863" s="7">
        <v>30</v>
      </c>
      <c r="N1863" s="7">
        <v>60</v>
      </c>
      <c r="O1863" s="7">
        <v>50</v>
      </c>
      <c r="P1863" s="7">
        <v>150</v>
      </c>
    </row>
    <row r="1864" spans="1:16" s="10" customFormat="1">
      <c r="A1864" s="7">
        <f>IF(B1864="","",SUBTOTAL(103,$B$2:B1864))</f>
        <v>1863</v>
      </c>
      <c r="B1864" s="8" t="s">
        <v>5122</v>
      </c>
      <c r="C1864" s="7" t="s">
        <v>5129</v>
      </c>
      <c r="D1864" s="9" t="s">
        <v>5132</v>
      </c>
      <c r="E1864" s="7" t="s">
        <v>5125</v>
      </c>
      <c r="F1864" s="7" t="s">
        <v>1309</v>
      </c>
      <c r="G1864" s="7" t="s">
        <v>5133</v>
      </c>
      <c r="H1864" s="7">
        <v>0.14299999999999999</v>
      </c>
      <c r="I1864" s="7">
        <v>38</v>
      </c>
      <c r="J1864" s="7">
        <v>800</v>
      </c>
      <c r="K1864" s="7">
        <v>600</v>
      </c>
      <c r="L1864" s="7">
        <v>150</v>
      </c>
      <c r="M1864" s="7">
        <v>30</v>
      </c>
      <c r="N1864" s="7">
        <v>60</v>
      </c>
      <c r="O1864" s="7">
        <v>50</v>
      </c>
      <c r="P1864" s="7">
        <v>150</v>
      </c>
    </row>
    <row r="1865" spans="1:16" s="10" customFormat="1">
      <c r="A1865" s="7">
        <f>IF(B1865="","",SUBTOTAL(103,$B$2:B1865))</f>
        <v>1864</v>
      </c>
      <c r="B1865" s="8" t="s">
        <v>5122</v>
      </c>
      <c r="C1865" s="7" t="s">
        <v>5134</v>
      </c>
      <c r="D1865" s="9" t="s">
        <v>5135</v>
      </c>
      <c r="E1865" s="7" t="s">
        <v>5125</v>
      </c>
      <c r="F1865" s="7" t="s">
        <v>1312</v>
      </c>
      <c r="G1865" s="7" t="s">
        <v>5136</v>
      </c>
      <c r="H1865" s="7">
        <v>5.5E-2</v>
      </c>
      <c r="I1865" s="7">
        <v>56</v>
      </c>
      <c r="J1865" s="7">
        <v>800</v>
      </c>
      <c r="K1865" s="7">
        <v>600</v>
      </c>
      <c r="L1865" s="7">
        <v>150</v>
      </c>
      <c r="M1865" s="7">
        <v>30</v>
      </c>
      <c r="N1865" s="7">
        <v>60</v>
      </c>
      <c r="O1865" s="7">
        <v>34</v>
      </c>
      <c r="P1865" s="7">
        <v>170</v>
      </c>
    </row>
    <row r="1866" spans="1:16" s="10" customFormat="1">
      <c r="A1866" s="7">
        <f>IF(B1866="","",SUBTOTAL(103,$B$2:B1866))</f>
        <v>1865</v>
      </c>
      <c r="B1866" s="8" t="s">
        <v>5122</v>
      </c>
      <c r="C1866" s="7" t="s">
        <v>5137</v>
      </c>
      <c r="D1866" s="9" t="s">
        <v>5138</v>
      </c>
      <c r="E1866" s="7" t="s">
        <v>5125</v>
      </c>
      <c r="F1866" s="7" t="s">
        <v>1318</v>
      </c>
      <c r="G1866" s="7" t="s">
        <v>5139</v>
      </c>
      <c r="H1866" s="7">
        <v>0.05</v>
      </c>
      <c r="I1866" s="7">
        <v>68</v>
      </c>
      <c r="J1866" s="7">
        <v>800</v>
      </c>
      <c r="K1866" s="7">
        <v>600</v>
      </c>
      <c r="L1866" s="7">
        <v>150</v>
      </c>
      <c r="M1866" s="7">
        <v>30</v>
      </c>
      <c r="N1866" s="7">
        <v>60</v>
      </c>
      <c r="O1866" s="7">
        <v>30</v>
      </c>
      <c r="P1866" s="7">
        <v>170</v>
      </c>
    </row>
    <row r="1867" spans="1:16" s="10" customFormat="1">
      <c r="A1867" s="7">
        <f>IF(B1867="","",SUBTOTAL(103,$B$2:B1867))</f>
        <v>1866</v>
      </c>
      <c r="B1867" s="8" t="s">
        <v>5122</v>
      </c>
      <c r="C1867" s="7" t="s">
        <v>5137</v>
      </c>
      <c r="D1867" s="9" t="s">
        <v>5140</v>
      </c>
      <c r="E1867" s="7" t="s">
        <v>5125</v>
      </c>
      <c r="F1867" s="7" t="s">
        <v>1322</v>
      </c>
      <c r="G1867" s="7" t="s">
        <v>5141</v>
      </c>
      <c r="H1867" s="7">
        <v>5.0999999999999997E-2</v>
      </c>
      <c r="I1867" s="7">
        <v>68</v>
      </c>
      <c r="J1867" s="7">
        <v>800</v>
      </c>
      <c r="K1867" s="7">
        <v>600</v>
      </c>
      <c r="L1867" s="7">
        <v>150</v>
      </c>
      <c r="M1867" s="7">
        <v>30</v>
      </c>
      <c r="N1867" s="7">
        <v>60</v>
      </c>
      <c r="O1867" s="7">
        <v>30</v>
      </c>
      <c r="P1867" s="7">
        <v>170</v>
      </c>
    </row>
    <row r="1868" spans="1:16" s="10" customFormat="1">
      <c r="A1868" s="7">
        <f>IF(B1868="","",SUBTOTAL(103,$B$2:B1868))</f>
        <v>1867</v>
      </c>
      <c r="B1868" s="8" t="s">
        <v>5122</v>
      </c>
      <c r="C1868" s="7" t="s">
        <v>5142</v>
      </c>
      <c r="D1868" s="9" t="s">
        <v>5143</v>
      </c>
      <c r="E1868" s="7" t="s">
        <v>5125</v>
      </c>
      <c r="F1868" s="7" t="s">
        <v>1325</v>
      </c>
      <c r="G1868" s="7" t="s">
        <v>5144</v>
      </c>
      <c r="H1868" s="7">
        <v>0.64500000000000002</v>
      </c>
      <c r="I1868" s="7">
        <v>12</v>
      </c>
      <c r="J1868" s="7">
        <v>800</v>
      </c>
      <c r="K1868" s="7">
        <v>600</v>
      </c>
      <c r="L1868" s="7">
        <v>150</v>
      </c>
      <c r="M1868" s="7">
        <v>30</v>
      </c>
      <c r="N1868" s="7">
        <v>60</v>
      </c>
      <c r="O1868" s="7">
        <v>150</v>
      </c>
      <c r="P1868" s="7">
        <v>300</v>
      </c>
    </row>
    <row r="1869" spans="1:16" s="10" customFormat="1">
      <c r="A1869" s="7">
        <f>IF(B1869="","",SUBTOTAL(103,$B$2:B1869))</f>
        <v>1868</v>
      </c>
      <c r="B1869" s="8" t="s">
        <v>5122</v>
      </c>
      <c r="C1869" s="7" t="s">
        <v>5142</v>
      </c>
      <c r="D1869" s="9" t="s">
        <v>5145</v>
      </c>
      <c r="E1869" s="7" t="s">
        <v>5125</v>
      </c>
      <c r="F1869" s="7" t="s">
        <v>1328</v>
      </c>
      <c r="G1869" s="7" t="s">
        <v>5146</v>
      </c>
      <c r="H1869" s="7">
        <v>0.64500000000000002</v>
      </c>
      <c r="I1869" s="7">
        <v>12</v>
      </c>
      <c r="J1869" s="7">
        <v>800</v>
      </c>
      <c r="K1869" s="7">
        <v>600</v>
      </c>
      <c r="L1869" s="7">
        <v>150</v>
      </c>
      <c r="M1869" s="7">
        <v>30</v>
      </c>
      <c r="N1869" s="7">
        <v>60</v>
      </c>
      <c r="O1869" s="7">
        <v>150</v>
      </c>
      <c r="P1869" s="7">
        <v>300</v>
      </c>
    </row>
    <row r="1870" spans="1:16" s="10" customFormat="1">
      <c r="A1870" s="7">
        <f>IF(B1870="","",SUBTOTAL(103,$B$2:B1870))</f>
        <v>1869</v>
      </c>
      <c r="B1870" s="8" t="s">
        <v>5122</v>
      </c>
      <c r="C1870" s="7" t="s">
        <v>5147</v>
      </c>
      <c r="D1870" s="9" t="s">
        <v>5148</v>
      </c>
      <c r="E1870" s="7" t="s">
        <v>5125</v>
      </c>
      <c r="F1870" s="7" t="s">
        <v>1331</v>
      </c>
      <c r="G1870" s="7" t="s">
        <v>5149</v>
      </c>
      <c r="H1870" s="7">
        <v>0.53700000000000003</v>
      </c>
      <c r="I1870" s="7">
        <v>12</v>
      </c>
      <c r="J1870" s="7">
        <v>800</v>
      </c>
      <c r="K1870" s="7">
        <v>600</v>
      </c>
      <c r="L1870" s="7">
        <v>150</v>
      </c>
      <c r="M1870" s="7">
        <v>30</v>
      </c>
      <c r="N1870" s="7">
        <v>60</v>
      </c>
      <c r="O1870" s="7">
        <v>150</v>
      </c>
      <c r="P1870" s="7">
        <v>300</v>
      </c>
    </row>
    <row r="1871" spans="1:16" s="10" customFormat="1">
      <c r="A1871" s="7">
        <f>IF(B1871="","",SUBTOTAL(103,$B$2:B1871))</f>
        <v>1870</v>
      </c>
      <c r="B1871" s="8" t="s">
        <v>5122</v>
      </c>
      <c r="C1871" s="7" t="s">
        <v>5147</v>
      </c>
      <c r="D1871" s="9" t="s">
        <v>5150</v>
      </c>
      <c r="E1871" s="7" t="s">
        <v>5125</v>
      </c>
      <c r="F1871" s="7" t="s">
        <v>1334</v>
      </c>
      <c r="G1871" s="7" t="s">
        <v>5151</v>
      </c>
      <c r="H1871" s="7">
        <v>0.53800000000000003</v>
      </c>
      <c r="I1871" s="7">
        <v>12</v>
      </c>
      <c r="J1871" s="7">
        <v>800</v>
      </c>
      <c r="K1871" s="7">
        <v>600</v>
      </c>
      <c r="L1871" s="7">
        <v>150</v>
      </c>
      <c r="M1871" s="7">
        <v>30</v>
      </c>
      <c r="N1871" s="7">
        <v>60</v>
      </c>
      <c r="O1871" s="7">
        <v>150</v>
      </c>
      <c r="P1871" s="7">
        <v>300</v>
      </c>
    </row>
    <row r="1872" spans="1:16" s="10" customFormat="1">
      <c r="A1872" s="7">
        <f>IF(B1872="","",SUBTOTAL(103,$B$2:B1872))</f>
        <v>1871</v>
      </c>
      <c r="B1872" s="8" t="s">
        <v>5122</v>
      </c>
      <c r="C1872" s="7" t="s">
        <v>5152</v>
      </c>
      <c r="D1872" s="9" t="s">
        <v>5153</v>
      </c>
      <c r="E1872" s="7" t="s">
        <v>5125</v>
      </c>
      <c r="F1872" s="7" t="s">
        <v>1339</v>
      </c>
      <c r="G1872" s="7" t="s">
        <v>5154</v>
      </c>
      <c r="H1872" s="7">
        <v>1.0309999999999999</v>
      </c>
      <c r="I1872" s="11">
        <v>8</v>
      </c>
      <c r="J1872" s="7">
        <v>800</v>
      </c>
      <c r="K1872" s="7">
        <v>600</v>
      </c>
      <c r="L1872" s="7">
        <v>150</v>
      </c>
      <c r="M1872" s="7">
        <v>30</v>
      </c>
      <c r="N1872" s="7">
        <v>60</v>
      </c>
      <c r="O1872" s="7">
        <v>225</v>
      </c>
      <c r="P1872" s="7">
        <v>250</v>
      </c>
    </row>
    <row r="1873" spans="1:16" s="10" customFormat="1">
      <c r="A1873" s="7">
        <f>IF(B1873="","",SUBTOTAL(103,$B$2:B1873))</f>
        <v>1872</v>
      </c>
      <c r="B1873" s="8" t="s">
        <v>5122</v>
      </c>
      <c r="C1873" s="7" t="s">
        <v>5152</v>
      </c>
      <c r="D1873" s="9" t="s">
        <v>5155</v>
      </c>
      <c r="E1873" s="7" t="s">
        <v>5125</v>
      </c>
      <c r="F1873" s="7" t="s">
        <v>1342</v>
      </c>
      <c r="G1873" s="7" t="s">
        <v>5156</v>
      </c>
      <c r="H1873" s="7">
        <v>1.0309999999999999</v>
      </c>
      <c r="I1873" s="7">
        <v>8</v>
      </c>
      <c r="J1873" s="7">
        <v>800</v>
      </c>
      <c r="K1873" s="7">
        <v>600</v>
      </c>
      <c r="L1873" s="7">
        <v>150</v>
      </c>
      <c r="M1873" s="7">
        <v>30</v>
      </c>
      <c r="N1873" s="7">
        <v>60</v>
      </c>
      <c r="O1873" s="7">
        <v>225</v>
      </c>
      <c r="P1873" s="7">
        <v>250</v>
      </c>
    </row>
    <row r="1874" spans="1:16" s="10" customFormat="1">
      <c r="A1874" s="7">
        <f>IF(B1874="","",SUBTOTAL(103,$B$2:B1874))</f>
        <v>1873</v>
      </c>
      <c r="B1874" s="8" t="s">
        <v>5122</v>
      </c>
      <c r="C1874" s="7" t="s">
        <v>5157</v>
      </c>
      <c r="D1874" s="9" t="s">
        <v>5158</v>
      </c>
      <c r="E1874" s="7" t="s">
        <v>5125</v>
      </c>
      <c r="F1874" s="7" t="s">
        <v>1345</v>
      </c>
      <c r="G1874" s="7" t="s">
        <v>5159</v>
      </c>
      <c r="H1874" s="7">
        <v>1.3720000000000001</v>
      </c>
      <c r="I1874" s="7">
        <v>3</v>
      </c>
      <c r="J1874" s="7">
        <v>800</v>
      </c>
      <c r="K1874" s="7">
        <v>600</v>
      </c>
      <c r="L1874" s="7">
        <v>150</v>
      </c>
      <c r="M1874" s="7">
        <v>30</v>
      </c>
      <c r="N1874" s="7">
        <v>60</v>
      </c>
      <c r="O1874" s="7">
        <v>650</v>
      </c>
      <c r="P1874" s="7">
        <v>675</v>
      </c>
    </row>
    <row r="1875" spans="1:16" s="10" customFormat="1">
      <c r="A1875" s="7">
        <f>IF(B1875="","",SUBTOTAL(103,$B$2:B1875))</f>
        <v>1874</v>
      </c>
      <c r="B1875" s="8" t="s">
        <v>5122</v>
      </c>
      <c r="C1875" s="7" t="s">
        <v>5157</v>
      </c>
      <c r="D1875" s="9" t="s">
        <v>5160</v>
      </c>
      <c r="E1875" s="7" t="s">
        <v>5125</v>
      </c>
      <c r="F1875" s="7" t="s">
        <v>1348</v>
      </c>
      <c r="G1875" s="7" t="s">
        <v>5161</v>
      </c>
      <c r="H1875" s="7">
        <v>1.3540000000000001</v>
      </c>
      <c r="I1875" s="7">
        <v>3</v>
      </c>
      <c r="J1875" s="7">
        <v>800</v>
      </c>
      <c r="K1875" s="7">
        <v>600</v>
      </c>
      <c r="L1875" s="7">
        <v>150</v>
      </c>
      <c r="M1875" s="7">
        <v>30</v>
      </c>
      <c r="N1875" s="7">
        <v>60</v>
      </c>
      <c r="O1875" s="7">
        <v>650</v>
      </c>
      <c r="P1875" s="7">
        <v>675</v>
      </c>
    </row>
    <row r="1876" spans="1:16" s="10" customFormat="1">
      <c r="A1876" s="7">
        <f>IF(B1876="","",SUBTOTAL(103,$B$2:B1876))</f>
        <v>1875</v>
      </c>
      <c r="B1876" s="8" t="s">
        <v>5122</v>
      </c>
      <c r="C1876" s="7" t="s">
        <v>5162</v>
      </c>
      <c r="D1876" s="9" t="s">
        <v>5163</v>
      </c>
      <c r="E1876" s="7" t="s">
        <v>5125</v>
      </c>
      <c r="F1876" s="7" t="s">
        <v>1351</v>
      </c>
      <c r="G1876" s="7" t="s">
        <v>5164</v>
      </c>
      <c r="H1876" s="7">
        <v>1.9470000000000001</v>
      </c>
      <c r="I1876" s="7">
        <v>3</v>
      </c>
      <c r="J1876" s="7">
        <v>800</v>
      </c>
      <c r="K1876" s="7">
        <v>600</v>
      </c>
      <c r="L1876" s="7">
        <v>150</v>
      </c>
      <c r="M1876" s="7">
        <v>30</v>
      </c>
      <c r="N1876" s="7">
        <v>60</v>
      </c>
      <c r="O1876" s="7">
        <v>650</v>
      </c>
      <c r="P1876" s="7">
        <v>675</v>
      </c>
    </row>
    <row r="1877" spans="1:16" s="10" customFormat="1">
      <c r="A1877" s="7">
        <f>IF(B1877="","",SUBTOTAL(103,$B$2:B1877))</f>
        <v>1876</v>
      </c>
      <c r="B1877" s="8" t="s">
        <v>5122</v>
      </c>
      <c r="C1877" s="7" t="s">
        <v>5162</v>
      </c>
      <c r="D1877" s="9" t="s">
        <v>5165</v>
      </c>
      <c r="E1877" s="7" t="s">
        <v>5125</v>
      </c>
      <c r="F1877" s="7" t="s">
        <v>1354</v>
      </c>
      <c r="G1877" s="7" t="s">
        <v>5166</v>
      </c>
      <c r="H1877" s="7">
        <v>1.9390000000000001</v>
      </c>
      <c r="I1877" s="7">
        <v>3</v>
      </c>
      <c r="J1877" s="7">
        <v>800</v>
      </c>
      <c r="K1877" s="7">
        <v>600</v>
      </c>
      <c r="L1877" s="7">
        <v>150</v>
      </c>
      <c r="M1877" s="7">
        <v>30</v>
      </c>
      <c r="N1877" s="7">
        <v>60</v>
      </c>
      <c r="O1877" s="7">
        <v>650</v>
      </c>
      <c r="P1877" s="7">
        <v>675</v>
      </c>
    </row>
    <row r="1878" spans="1:16" s="10" customFormat="1">
      <c r="A1878" s="7">
        <f>IF(B1878="","",SUBTOTAL(103,$B$2:B1878))</f>
        <v>1877</v>
      </c>
      <c r="B1878" s="8" t="s">
        <v>5122</v>
      </c>
      <c r="C1878" s="7" t="s">
        <v>5167</v>
      </c>
      <c r="D1878" s="9" t="s">
        <v>5168</v>
      </c>
      <c r="E1878" s="7" t="s">
        <v>5125</v>
      </c>
      <c r="F1878" s="7" t="s">
        <v>1357</v>
      </c>
      <c r="G1878" s="7" t="s">
        <v>5169</v>
      </c>
      <c r="H1878" s="7">
        <v>0.21099999999999999</v>
      </c>
      <c r="I1878" s="7">
        <v>38</v>
      </c>
      <c r="J1878" s="7">
        <v>800</v>
      </c>
      <c r="K1878" s="7">
        <v>600</v>
      </c>
      <c r="L1878" s="7">
        <v>150</v>
      </c>
      <c r="M1878" s="7">
        <v>30</v>
      </c>
      <c r="N1878" s="7">
        <v>60</v>
      </c>
      <c r="O1878" s="7">
        <v>50</v>
      </c>
      <c r="P1878" s="7">
        <v>200</v>
      </c>
    </row>
    <row r="1879" spans="1:16" s="10" customFormat="1">
      <c r="A1879" s="7">
        <f>IF(B1879="","",SUBTOTAL(103,$B$2:B1879))</f>
        <v>1878</v>
      </c>
      <c r="B1879" s="8" t="s">
        <v>5122</v>
      </c>
      <c r="C1879" s="7" t="s">
        <v>5167</v>
      </c>
      <c r="D1879" s="9" t="s">
        <v>5170</v>
      </c>
      <c r="E1879" s="7" t="s">
        <v>5125</v>
      </c>
      <c r="F1879" s="7" t="s">
        <v>1360</v>
      </c>
      <c r="G1879" s="7" t="s">
        <v>5171</v>
      </c>
      <c r="H1879" s="7">
        <v>0.21099999999999999</v>
      </c>
      <c r="I1879" s="7">
        <v>38</v>
      </c>
      <c r="J1879" s="7">
        <v>800</v>
      </c>
      <c r="K1879" s="7">
        <v>600</v>
      </c>
      <c r="L1879" s="7">
        <v>150</v>
      </c>
      <c r="M1879" s="7">
        <v>30</v>
      </c>
      <c r="N1879" s="7">
        <v>60</v>
      </c>
      <c r="O1879" s="7">
        <v>50</v>
      </c>
      <c r="P1879" s="7">
        <v>200</v>
      </c>
    </row>
    <row r="1880" spans="1:16" s="10" customFormat="1">
      <c r="A1880" s="7">
        <f>IF(B1880="","",SUBTOTAL(103,$B$2:B1880))</f>
        <v>1879</v>
      </c>
      <c r="B1880" s="8" t="s">
        <v>5122</v>
      </c>
      <c r="C1880" s="7" t="s">
        <v>5172</v>
      </c>
      <c r="D1880" s="9" t="s">
        <v>5173</v>
      </c>
      <c r="E1880" s="7" t="s">
        <v>5125</v>
      </c>
      <c r="F1880" s="7" t="s">
        <v>1363</v>
      </c>
      <c r="G1880" s="7" t="s">
        <v>5174</v>
      </c>
      <c r="H1880" s="7">
        <v>0.09</v>
      </c>
      <c r="I1880" s="7">
        <v>68</v>
      </c>
      <c r="J1880" s="7">
        <v>800</v>
      </c>
      <c r="K1880" s="7">
        <v>600</v>
      </c>
      <c r="L1880" s="7">
        <v>150</v>
      </c>
      <c r="M1880" s="7">
        <v>30</v>
      </c>
      <c r="N1880" s="7">
        <v>60</v>
      </c>
      <c r="O1880" s="7">
        <v>30</v>
      </c>
      <c r="P1880" s="7">
        <v>135</v>
      </c>
    </row>
    <row r="1881" spans="1:16" s="10" customFormat="1">
      <c r="A1881" s="7">
        <f>IF(B1881="","",SUBTOTAL(103,$B$2:B1881))</f>
        <v>1880</v>
      </c>
      <c r="B1881" s="8" t="s">
        <v>5122</v>
      </c>
      <c r="C1881" s="7" t="s">
        <v>5172</v>
      </c>
      <c r="D1881" s="9" t="s">
        <v>5175</v>
      </c>
      <c r="E1881" s="7" t="s">
        <v>5125</v>
      </c>
      <c r="F1881" s="7" t="s">
        <v>1366</v>
      </c>
      <c r="G1881" s="7" t="s">
        <v>5176</v>
      </c>
      <c r="H1881" s="7">
        <v>8.8999999999999996E-2</v>
      </c>
      <c r="I1881" s="7">
        <v>68</v>
      </c>
      <c r="J1881" s="7">
        <v>800</v>
      </c>
      <c r="K1881" s="7">
        <v>600</v>
      </c>
      <c r="L1881" s="7">
        <v>150</v>
      </c>
      <c r="M1881" s="7">
        <v>30</v>
      </c>
      <c r="N1881" s="7">
        <v>60</v>
      </c>
      <c r="O1881" s="7">
        <v>30</v>
      </c>
      <c r="P1881" s="7">
        <v>135</v>
      </c>
    </row>
    <row r="1882" spans="1:16" s="10" customFormat="1">
      <c r="A1882" s="7">
        <f>IF(B1882="","",SUBTOTAL(103,$B$2:B1882))</f>
        <v>1881</v>
      </c>
      <c r="B1882" s="8" t="s">
        <v>5122</v>
      </c>
      <c r="C1882" s="7" t="s">
        <v>5177</v>
      </c>
      <c r="D1882" s="9" t="s">
        <v>5178</v>
      </c>
      <c r="E1882" s="7" t="s">
        <v>5125</v>
      </c>
      <c r="F1882" s="7" t="s">
        <v>1369</v>
      </c>
      <c r="G1882" s="7" t="s">
        <v>5179</v>
      </c>
      <c r="H1882" s="7">
        <v>3.0510000000000002</v>
      </c>
      <c r="I1882" s="7">
        <v>2</v>
      </c>
      <c r="J1882" s="7">
        <v>800</v>
      </c>
      <c r="K1882" s="7">
        <v>600</v>
      </c>
      <c r="L1882" s="7">
        <v>150</v>
      </c>
      <c r="M1882" s="7">
        <v>30</v>
      </c>
      <c r="N1882" s="7">
        <v>60</v>
      </c>
      <c r="O1882" s="7">
        <v>1000</v>
      </c>
      <c r="P1882" s="7">
        <v>1100</v>
      </c>
    </row>
    <row r="1883" spans="1:16" s="10" customFormat="1">
      <c r="A1883" s="7">
        <f>IF(B1883="","",SUBTOTAL(103,$B$2:B1883))</f>
        <v>1882</v>
      </c>
      <c r="B1883" s="8" t="s">
        <v>5122</v>
      </c>
      <c r="C1883" s="7" t="s">
        <v>5177</v>
      </c>
      <c r="D1883" s="9" t="s">
        <v>5180</v>
      </c>
      <c r="E1883" s="7" t="s">
        <v>5125</v>
      </c>
      <c r="F1883" s="7" t="s">
        <v>1372</v>
      </c>
      <c r="G1883" s="7" t="s">
        <v>5181</v>
      </c>
      <c r="H1883" s="7">
        <v>3.157</v>
      </c>
      <c r="I1883" s="7">
        <v>5</v>
      </c>
      <c r="J1883" s="7">
        <v>800</v>
      </c>
      <c r="K1883" s="7">
        <v>600</v>
      </c>
      <c r="L1883" s="7">
        <v>150</v>
      </c>
      <c r="M1883" s="7">
        <v>30</v>
      </c>
      <c r="N1883" s="7">
        <v>60</v>
      </c>
      <c r="O1883" s="7">
        <v>400</v>
      </c>
      <c r="P1883" s="7">
        <v>565</v>
      </c>
    </row>
    <row r="1884" spans="1:16" s="10" customFormat="1">
      <c r="A1884" s="7">
        <f>IF(B1884="","",SUBTOTAL(103,$B$2:B1884))</f>
        <v>1883</v>
      </c>
      <c r="B1884" s="8" t="s">
        <v>5122</v>
      </c>
      <c r="C1884" s="7" t="s">
        <v>5134</v>
      </c>
      <c r="D1884" s="9" t="s">
        <v>5182</v>
      </c>
      <c r="E1884" s="7" t="s">
        <v>5183</v>
      </c>
      <c r="F1884" s="7" t="s">
        <v>1315</v>
      </c>
      <c r="G1884" s="7" t="s">
        <v>5184</v>
      </c>
      <c r="H1884" s="7">
        <v>5.5E-2</v>
      </c>
      <c r="I1884" s="7">
        <v>56</v>
      </c>
      <c r="J1884" s="7">
        <v>800</v>
      </c>
      <c r="K1884" s="7">
        <v>600</v>
      </c>
      <c r="L1884" s="7">
        <v>150</v>
      </c>
      <c r="M1884" s="7">
        <v>30</v>
      </c>
      <c r="N1884" s="7">
        <v>60</v>
      </c>
      <c r="O1884" s="7">
        <v>34</v>
      </c>
      <c r="P1884" s="7">
        <v>170</v>
      </c>
    </row>
    <row r="1885" spans="1:16" s="10" customFormat="1">
      <c r="A1885" s="7">
        <f>IF(B1885="","",SUBTOTAL(103,$B$2:B1885))</f>
        <v>1884</v>
      </c>
      <c r="B1885" s="8" t="s">
        <v>5185</v>
      </c>
      <c r="C1885" s="7" t="s">
        <v>5123</v>
      </c>
      <c r="D1885" s="9" t="s">
        <v>5186</v>
      </c>
      <c r="E1885" s="7" t="s">
        <v>5187</v>
      </c>
      <c r="F1885" s="7" t="s">
        <v>1300</v>
      </c>
      <c r="G1885" s="7" t="s">
        <v>5188</v>
      </c>
      <c r="H1885" s="7">
        <v>0.16400000000000001</v>
      </c>
      <c r="I1885" s="7">
        <v>44</v>
      </c>
      <c r="J1885" s="7">
        <v>800</v>
      </c>
      <c r="K1885" s="7">
        <v>600</v>
      </c>
      <c r="L1885" s="7">
        <v>150</v>
      </c>
      <c r="M1885" s="7">
        <v>30</v>
      </c>
      <c r="N1885" s="7">
        <v>60</v>
      </c>
      <c r="O1885" s="7">
        <v>45</v>
      </c>
      <c r="P1885" s="7">
        <v>250</v>
      </c>
    </row>
    <row r="1886" spans="1:16" s="10" customFormat="1">
      <c r="A1886" s="7">
        <f>IF(B1886="","",SUBTOTAL(103,$B$2:B1886))</f>
        <v>1885</v>
      </c>
      <c r="B1886" s="8" t="s">
        <v>5185</v>
      </c>
      <c r="C1886" s="7" t="s">
        <v>5189</v>
      </c>
      <c r="D1886" s="9" t="s">
        <v>5190</v>
      </c>
      <c r="E1886" s="7" t="s">
        <v>5187</v>
      </c>
      <c r="F1886" s="7" t="s">
        <v>1303</v>
      </c>
      <c r="G1886" s="7" t="s">
        <v>5191</v>
      </c>
      <c r="H1886" s="7">
        <v>0.16400000000000001</v>
      </c>
      <c r="I1886" s="7">
        <v>44</v>
      </c>
      <c r="J1886" s="7">
        <v>800</v>
      </c>
      <c r="K1886" s="7">
        <v>600</v>
      </c>
      <c r="L1886" s="7">
        <v>150</v>
      </c>
      <c r="M1886" s="7">
        <v>30</v>
      </c>
      <c r="N1886" s="7">
        <v>60</v>
      </c>
      <c r="O1886" s="7">
        <v>45</v>
      </c>
      <c r="P1886" s="7">
        <v>250</v>
      </c>
    </row>
    <row r="1887" spans="1:16" s="10" customFormat="1">
      <c r="A1887" s="7">
        <f>IF(B1887="","",SUBTOTAL(103,$B$2:B1887))</f>
        <v>1886</v>
      </c>
      <c r="B1887" s="8" t="s">
        <v>5185</v>
      </c>
      <c r="C1887" s="7" t="s">
        <v>5129</v>
      </c>
      <c r="D1887" s="9" t="s">
        <v>5192</v>
      </c>
      <c r="E1887" s="7" t="s">
        <v>5187</v>
      </c>
      <c r="F1887" s="7" t="s">
        <v>1306</v>
      </c>
      <c r="G1887" s="7" t="s">
        <v>5193</v>
      </c>
      <c r="H1887" s="7">
        <v>7.1999999999999995E-2</v>
      </c>
      <c r="I1887" s="7">
        <v>80</v>
      </c>
      <c r="J1887" s="7">
        <v>800</v>
      </c>
      <c r="K1887" s="7">
        <v>600</v>
      </c>
      <c r="L1887" s="7">
        <v>150</v>
      </c>
      <c r="M1887" s="7">
        <v>30</v>
      </c>
      <c r="N1887" s="7">
        <v>60</v>
      </c>
      <c r="O1887" s="7">
        <v>25</v>
      </c>
      <c r="P1887" s="7">
        <v>150</v>
      </c>
    </row>
    <row r="1888" spans="1:16" s="10" customFormat="1">
      <c r="A1888" s="7">
        <f>IF(B1888="","",SUBTOTAL(103,$B$2:B1888))</f>
        <v>1887</v>
      </c>
      <c r="B1888" s="8" t="s">
        <v>5185</v>
      </c>
      <c r="C1888" s="7" t="s">
        <v>5194</v>
      </c>
      <c r="D1888" s="9" t="s">
        <v>5195</v>
      </c>
      <c r="E1888" s="7" t="s">
        <v>5187</v>
      </c>
      <c r="F1888" s="7" t="s">
        <v>1309</v>
      </c>
      <c r="G1888" s="7" t="s">
        <v>5196</v>
      </c>
      <c r="H1888" s="7">
        <v>7.1999999999999995E-2</v>
      </c>
      <c r="I1888" s="7">
        <v>80</v>
      </c>
      <c r="J1888" s="7">
        <v>800</v>
      </c>
      <c r="K1888" s="7">
        <v>600</v>
      </c>
      <c r="L1888" s="7">
        <v>150</v>
      </c>
      <c r="M1888" s="7">
        <v>30</v>
      </c>
      <c r="N1888" s="7">
        <v>60</v>
      </c>
      <c r="O1888" s="7">
        <v>25</v>
      </c>
      <c r="P1888" s="7">
        <v>150</v>
      </c>
    </row>
    <row r="1889" spans="1:16" s="10" customFormat="1">
      <c r="A1889" s="7">
        <f>IF(B1889="","",SUBTOTAL(103,$B$2:B1889))</f>
        <v>1888</v>
      </c>
      <c r="B1889" s="8" t="s">
        <v>5185</v>
      </c>
      <c r="C1889" s="7" t="s">
        <v>5134</v>
      </c>
      <c r="D1889" s="9" t="s">
        <v>5197</v>
      </c>
      <c r="E1889" s="7" t="s">
        <v>5187</v>
      </c>
      <c r="F1889" s="7" t="s">
        <v>1312</v>
      </c>
      <c r="G1889" s="7" t="s">
        <v>5198</v>
      </c>
      <c r="H1889" s="7">
        <v>2.9000000000000001E-2</v>
      </c>
      <c r="I1889" s="7">
        <v>104</v>
      </c>
      <c r="J1889" s="7">
        <v>800</v>
      </c>
      <c r="K1889" s="7">
        <v>600</v>
      </c>
      <c r="L1889" s="7">
        <v>150</v>
      </c>
      <c r="M1889" s="7">
        <v>30</v>
      </c>
      <c r="N1889" s="7">
        <v>60</v>
      </c>
      <c r="O1889" s="7">
        <v>20</v>
      </c>
      <c r="P1889" s="7">
        <v>170</v>
      </c>
    </row>
    <row r="1890" spans="1:16" s="10" customFormat="1">
      <c r="A1890" s="7">
        <f>IF(B1890="","",SUBTOTAL(103,$B$2:B1890))</f>
        <v>1889</v>
      </c>
      <c r="B1890" s="8" t="s">
        <v>5185</v>
      </c>
      <c r="C1890" s="7" t="s">
        <v>5199</v>
      </c>
      <c r="D1890" s="9" t="s">
        <v>5200</v>
      </c>
      <c r="E1890" s="7" t="s">
        <v>5187</v>
      </c>
      <c r="F1890" s="7" t="s">
        <v>1315</v>
      </c>
      <c r="G1890" s="7" t="s">
        <v>5201</v>
      </c>
      <c r="H1890" s="7">
        <v>2.9000000000000001E-2</v>
      </c>
      <c r="I1890" s="7">
        <v>104</v>
      </c>
      <c r="J1890" s="7">
        <v>800</v>
      </c>
      <c r="K1890" s="7">
        <v>600</v>
      </c>
      <c r="L1890" s="7">
        <v>150</v>
      </c>
      <c r="M1890" s="7">
        <v>30</v>
      </c>
      <c r="N1890" s="7">
        <v>60</v>
      </c>
      <c r="O1890" s="7">
        <v>20</v>
      </c>
      <c r="P1890" s="7">
        <v>170</v>
      </c>
    </row>
    <row r="1891" spans="1:16" s="10" customFormat="1">
      <c r="A1891" s="7">
        <f>IF(B1891="","",SUBTOTAL(103,$B$2:B1891))</f>
        <v>1890</v>
      </c>
      <c r="B1891" s="8" t="s">
        <v>5185</v>
      </c>
      <c r="C1891" s="7" t="s">
        <v>5137</v>
      </c>
      <c r="D1891" s="9" t="s">
        <v>5202</v>
      </c>
      <c r="E1891" s="7" t="s">
        <v>5187</v>
      </c>
      <c r="F1891" s="7" t="s">
        <v>1318</v>
      </c>
      <c r="G1891" s="7" t="s">
        <v>5203</v>
      </c>
      <c r="H1891" s="7">
        <v>2.4E-2</v>
      </c>
      <c r="I1891" s="7">
        <v>110</v>
      </c>
      <c r="J1891" s="7">
        <v>800</v>
      </c>
      <c r="K1891" s="7">
        <v>600</v>
      </c>
      <c r="L1891" s="7">
        <v>150</v>
      </c>
      <c r="M1891" s="7">
        <v>30</v>
      </c>
      <c r="N1891" s="7">
        <v>60</v>
      </c>
      <c r="O1891" s="7">
        <v>27</v>
      </c>
      <c r="P1891" s="7">
        <v>170</v>
      </c>
    </row>
    <row r="1892" spans="1:16" s="10" customFormat="1">
      <c r="A1892" s="7">
        <f>IF(B1892="","",SUBTOTAL(103,$B$2:B1892))</f>
        <v>1891</v>
      </c>
      <c r="B1892" s="8" t="s">
        <v>5185</v>
      </c>
      <c r="C1892" s="7" t="s">
        <v>5204</v>
      </c>
      <c r="D1892" s="9" t="s">
        <v>5205</v>
      </c>
      <c r="E1892" s="7" t="s">
        <v>5187</v>
      </c>
      <c r="F1892" s="7" t="s">
        <v>1322</v>
      </c>
      <c r="G1892" s="7" t="s">
        <v>5206</v>
      </c>
      <c r="H1892" s="7">
        <v>4.5999999999999999E-2</v>
      </c>
      <c r="I1892" s="7">
        <v>110</v>
      </c>
      <c r="J1892" s="7">
        <v>800</v>
      </c>
      <c r="K1892" s="7">
        <v>600</v>
      </c>
      <c r="L1892" s="7">
        <v>150</v>
      </c>
      <c r="M1892" s="7">
        <v>30</v>
      </c>
      <c r="N1892" s="7">
        <v>60</v>
      </c>
      <c r="O1892" s="7">
        <v>27</v>
      </c>
      <c r="P1892" s="7">
        <v>170</v>
      </c>
    </row>
    <row r="1893" spans="1:16" s="10" customFormat="1">
      <c r="A1893" s="7">
        <f>IF(B1893="","",SUBTOTAL(103,$B$2:B1893))</f>
        <v>1892</v>
      </c>
      <c r="B1893" s="8" t="s">
        <v>5185</v>
      </c>
      <c r="C1893" s="7" t="s">
        <v>5142</v>
      </c>
      <c r="D1893" s="9" t="s">
        <v>5207</v>
      </c>
      <c r="E1893" s="7" t="s">
        <v>5187</v>
      </c>
      <c r="F1893" s="7" t="s">
        <v>1325</v>
      </c>
      <c r="G1893" s="7" t="s">
        <v>5208</v>
      </c>
      <c r="H1893" s="7">
        <v>0.35299999999999998</v>
      </c>
      <c r="I1893" s="7">
        <v>22</v>
      </c>
      <c r="J1893" s="7">
        <v>800</v>
      </c>
      <c r="K1893" s="7">
        <v>600</v>
      </c>
      <c r="L1893" s="7">
        <v>150</v>
      </c>
      <c r="M1893" s="7">
        <v>30</v>
      </c>
      <c r="N1893" s="7">
        <v>60</v>
      </c>
      <c r="O1893" s="7">
        <v>90</v>
      </c>
      <c r="P1893" s="7">
        <v>300</v>
      </c>
    </row>
    <row r="1894" spans="1:16" s="10" customFormat="1">
      <c r="A1894" s="7">
        <f>IF(B1894="","",SUBTOTAL(103,$B$2:B1894))</f>
        <v>1893</v>
      </c>
      <c r="B1894" s="8" t="s">
        <v>5185</v>
      </c>
      <c r="C1894" s="7" t="s">
        <v>5209</v>
      </c>
      <c r="D1894" s="9" t="s">
        <v>5210</v>
      </c>
      <c r="E1894" s="7" t="s">
        <v>5187</v>
      </c>
      <c r="F1894" s="7" t="s">
        <v>1328</v>
      </c>
      <c r="G1894" s="7" t="s">
        <v>5211</v>
      </c>
      <c r="H1894" s="7">
        <v>0.35299999999999998</v>
      </c>
      <c r="I1894" s="7">
        <v>22</v>
      </c>
      <c r="J1894" s="7">
        <v>800</v>
      </c>
      <c r="K1894" s="7">
        <v>600</v>
      </c>
      <c r="L1894" s="7">
        <v>150</v>
      </c>
      <c r="M1894" s="7">
        <v>30</v>
      </c>
      <c r="N1894" s="7">
        <v>60</v>
      </c>
      <c r="O1894" s="7">
        <v>90</v>
      </c>
      <c r="P1894" s="7">
        <v>300</v>
      </c>
    </row>
    <row r="1895" spans="1:16" s="10" customFormat="1">
      <c r="A1895" s="7">
        <f>IF(B1895="","",SUBTOTAL(103,$B$2:B1895))</f>
        <v>1894</v>
      </c>
      <c r="B1895" s="8" t="s">
        <v>5185</v>
      </c>
      <c r="C1895" s="7" t="s">
        <v>5147</v>
      </c>
      <c r="D1895" s="9" t="s">
        <v>5212</v>
      </c>
      <c r="E1895" s="7" t="s">
        <v>5187</v>
      </c>
      <c r="F1895" s="7" t="s">
        <v>1331</v>
      </c>
      <c r="G1895" s="7" t="s">
        <v>5213</v>
      </c>
      <c r="H1895" s="7">
        <v>0.27300000000000002</v>
      </c>
      <c r="I1895" s="7">
        <v>32</v>
      </c>
      <c r="J1895" s="7">
        <v>800</v>
      </c>
      <c r="K1895" s="7">
        <v>600</v>
      </c>
      <c r="L1895" s="7">
        <v>150</v>
      </c>
      <c r="M1895" s="7">
        <v>30</v>
      </c>
      <c r="N1895" s="7">
        <v>60</v>
      </c>
      <c r="O1895" s="7">
        <v>54</v>
      </c>
      <c r="P1895" s="7">
        <v>300</v>
      </c>
    </row>
    <row r="1896" spans="1:16" s="10" customFormat="1">
      <c r="A1896" s="7">
        <f>IF(B1896="","",SUBTOTAL(103,$B$2:B1896))</f>
        <v>1895</v>
      </c>
      <c r="B1896" s="8" t="s">
        <v>5185</v>
      </c>
      <c r="C1896" s="7" t="s">
        <v>5214</v>
      </c>
      <c r="D1896" s="9" t="s">
        <v>5215</v>
      </c>
      <c r="E1896" s="7" t="s">
        <v>5187</v>
      </c>
      <c r="F1896" s="7" t="s">
        <v>1334</v>
      </c>
      <c r="G1896" s="7" t="s">
        <v>5216</v>
      </c>
      <c r="H1896" s="7">
        <v>0.27300000000000002</v>
      </c>
      <c r="I1896" s="7">
        <v>32</v>
      </c>
      <c r="J1896" s="7">
        <v>800</v>
      </c>
      <c r="K1896" s="7">
        <v>600</v>
      </c>
      <c r="L1896" s="7">
        <v>150</v>
      </c>
      <c r="M1896" s="7">
        <v>30</v>
      </c>
      <c r="N1896" s="7">
        <v>60</v>
      </c>
      <c r="O1896" s="7">
        <v>54</v>
      </c>
      <c r="P1896" s="7">
        <v>300</v>
      </c>
    </row>
    <row r="1897" spans="1:16" s="10" customFormat="1">
      <c r="A1897" s="7">
        <f>IF(B1897="","",SUBTOTAL(103,$B$2:B1897))</f>
        <v>1896</v>
      </c>
      <c r="B1897" s="8" t="s">
        <v>5185</v>
      </c>
      <c r="C1897" s="7" t="s">
        <v>5152</v>
      </c>
      <c r="D1897" s="9" t="s">
        <v>5217</v>
      </c>
      <c r="E1897" s="7" t="s">
        <v>5187</v>
      </c>
      <c r="F1897" s="7" t="s">
        <v>1339</v>
      </c>
      <c r="G1897" s="7" t="s">
        <v>5218</v>
      </c>
      <c r="H1897" s="7">
        <v>0.55800000000000005</v>
      </c>
      <c r="I1897" s="7">
        <v>16</v>
      </c>
      <c r="J1897" s="7">
        <v>800</v>
      </c>
      <c r="K1897" s="7">
        <v>600</v>
      </c>
      <c r="L1897" s="7">
        <v>150</v>
      </c>
      <c r="M1897" s="7">
        <v>30</v>
      </c>
      <c r="N1897" s="7">
        <v>60</v>
      </c>
      <c r="O1897" s="7">
        <v>125</v>
      </c>
      <c r="P1897" s="7">
        <v>450</v>
      </c>
    </row>
    <row r="1898" spans="1:16" s="10" customFormat="1">
      <c r="A1898" s="7">
        <f>IF(B1898="","",SUBTOTAL(103,$B$2:B1898))</f>
        <v>1897</v>
      </c>
      <c r="B1898" s="8" t="s">
        <v>5185</v>
      </c>
      <c r="C1898" s="7" t="s">
        <v>5219</v>
      </c>
      <c r="D1898" s="9" t="s">
        <v>5220</v>
      </c>
      <c r="E1898" s="7" t="s">
        <v>5187</v>
      </c>
      <c r="F1898" s="7" t="s">
        <v>1342</v>
      </c>
      <c r="G1898" s="7" t="s">
        <v>5221</v>
      </c>
      <c r="H1898" s="7">
        <v>0.55800000000000005</v>
      </c>
      <c r="I1898" s="7">
        <v>16</v>
      </c>
      <c r="J1898" s="7">
        <v>800</v>
      </c>
      <c r="K1898" s="7">
        <v>600</v>
      </c>
      <c r="L1898" s="7">
        <v>150</v>
      </c>
      <c r="M1898" s="7">
        <v>30</v>
      </c>
      <c r="N1898" s="7">
        <v>60</v>
      </c>
      <c r="O1898" s="7">
        <v>125</v>
      </c>
      <c r="P1898" s="7">
        <v>450</v>
      </c>
    </row>
    <row r="1899" spans="1:16" s="10" customFormat="1">
      <c r="A1899" s="7">
        <f>IF(B1899="","",SUBTOTAL(103,$B$2:B1899))</f>
        <v>1898</v>
      </c>
      <c r="B1899" s="8" t="s">
        <v>5185</v>
      </c>
      <c r="C1899" s="7" t="s">
        <v>5157</v>
      </c>
      <c r="D1899" s="9" t="s">
        <v>5222</v>
      </c>
      <c r="E1899" s="7" t="s">
        <v>5187</v>
      </c>
      <c r="F1899" s="7" t="s">
        <v>1345</v>
      </c>
      <c r="G1899" s="7" t="s">
        <v>5223</v>
      </c>
      <c r="H1899" s="7">
        <v>0.65200000000000002</v>
      </c>
      <c r="I1899" s="7">
        <v>6</v>
      </c>
      <c r="J1899" s="7">
        <v>800</v>
      </c>
      <c r="K1899" s="7">
        <v>600</v>
      </c>
      <c r="L1899" s="7">
        <v>150</v>
      </c>
      <c r="M1899" s="7">
        <v>30</v>
      </c>
      <c r="N1899" s="7">
        <v>60</v>
      </c>
      <c r="O1899" s="7">
        <v>310</v>
      </c>
      <c r="P1899" s="7">
        <v>350</v>
      </c>
    </row>
    <row r="1900" spans="1:16" s="10" customFormat="1">
      <c r="A1900" s="7">
        <f>IF(B1900="","",SUBTOTAL(103,$B$2:B1900))</f>
        <v>1899</v>
      </c>
      <c r="B1900" s="8" t="s">
        <v>5185</v>
      </c>
      <c r="C1900" s="7" t="s">
        <v>5224</v>
      </c>
      <c r="D1900" s="9" t="s">
        <v>5225</v>
      </c>
      <c r="E1900" s="7" t="s">
        <v>5187</v>
      </c>
      <c r="F1900" s="7" t="s">
        <v>1348</v>
      </c>
      <c r="G1900" s="7" t="s">
        <v>5226</v>
      </c>
      <c r="H1900" s="7">
        <v>0.65200000000000002</v>
      </c>
      <c r="I1900" s="7">
        <v>6</v>
      </c>
      <c r="J1900" s="7">
        <v>800</v>
      </c>
      <c r="K1900" s="7">
        <v>600</v>
      </c>
      <c r="L1900" s="7">
        <v>150</v>
      </c>
      <c r="M1900" s="7">
        <v>30</v>
      </c>
      <c r="N1900" s="7">
        <v>60</v>
      </c>
      <c r="O1900" s="7">
        <v>310</v>
      </c>
      <c r="P1900" s="7">
        <v>350</v>
      </c>
    </row>
    <row r="1901" spans="1:16" s="10" customFormat="1">
      <c r="A1901" s="7">
        <f>IF(B1901="","",SUBTOTAL(103,$B$2:B1901))</f>
        <v>1900</v>
      </c>
      <c r="B1901" s="8" t="s">
        <v>5185</v>
      </c>
      <c r="C1901" s="7" t="s">
        <v>5162</v>
      </c>
      <c r="D1901" s="9" t="s">
        <v>5227</v>
      </c>
      <c r="E1901" s="7" t="s">
        <v>5187</v>
      </c>
      <c r="F1901" s="7" t="s">
        <v>1351</v>
      </c>
      <c r="G1901" s="7" t="s">
        <v>5228</v>
      </c>
      <c r="H1901" s="7">
        <v>1.024</v>
      </c>
      <c r="I1901" s="7">
        <v>6</v>
      </c>
      <c r="J1901" s="7">
        <v>800</v>
      </c>
      <c r="K1901" s="7">
        <v>600</v>
      </c>
      <c r="L1901" s="7">
        <v>150</v>
      </c>
      <c r="M1901" s="7">
        <v>30</v>
      </c>
      <c r="N1901" s="7">
        <v>60</v>
      </c>
      <c r="O1901" s="7">
        <v>310</v>
      </c>
      <c r="P1901" s="7">
        <v>350</v>
      </c>
    </row>
    <row r="1902" spans="1:16" s="10" customFormat="1">
      <c r="A1902" s="7">
        <f>IF(B1902="","",SUBTOTAL(103,$B$2:B1902))</f>
        <v>1901</v>
      </c>
      <c r="B1902" s="8" t="s">
        <v>5185</v>
      </c>
      <c r="C1902" s="7" t="s">
        <v>5229</v>
      </c>
      <c r="D1902" s="9" t="s">
        <v>5230</v>
      </c>
      <c r="E1902" s="7" t="s">
        <v>5187</v>
      </c>
      <c r="F1902" s="7" t="s">
        <v>1354</v>
      </c>
      <c r="G1902" s="7" t="s">
        <v>5231</v>
      </c>
      <c r="H1902" s="7">
        <v>1.024</v>
      </c>
      <c r="I1902" s="7">
        <v>6</v>
      </c>
      <c r="J1902" s="7">
        <v>800</v>
      </c>
      <c r="K1902" s="7">
        <v>600</v>
      </c>
      <c r="L1902" s="7">
        <v>150</v>
      </c>
      <c r="M1902" s="7">
        <v>30</v>
      </c>
      <c r="N1902" s="7">
        <v>60</v>
      </c>
      <c r="O1902" s="7">
        <v>310</v>
      </c>
      <c r="P1902" s="7">
        <v>350</v>
      </c>
    </row>
    <row r="1903" spans="1:16" s="10" customFormat="1">
      <c r="A1903" s="7">
        <f>IF(B1903="","",SUBTOTAL(103,$B$2:B1903))</f>
        <v>1902</v>
      </c>
      <c r="B1903" s="8" t="s">
        <v>5185</v>
      </c>
      <c r="C1903" s="7" t="s">
        <v>5167</v>
      </c>
      <c r="D1903" s="9" t="s">
        <v>5232</v>
      </c>
      <c r="E1903" s="7" t="s">
        <v>5187</v>
      </c>
      <c r="F1903" s="7" t="s">
        <v>1357</v>
      </c>
      <c r="G1903" s="7" t="s">
        <v>5233</v>
      </c>
      <c r="H1903" s="7">
        <v>0.111</v>
      </c>
      <c r="I1903" s="7">
        <v>58</v>
      </c>
      <c r="J1903" s="7">
        <v>800</v>
      </c>
      <c r="K1903" s="7">
        <v>600</v>
      </c>
      <c r="L1903" s="7">
        <v>150</v>
      </c>
      <c r="M1903" s="7">
        <v>30</v>
      </c>
      <c r="N1903" s="7">
        <v>60</v>
      </c>
      <c r="O1903" s="7">
        <v>34</v>
      </c>
      <c r="P1903" s="7">
        <v>200</v>
      </c>
    </row>
    <row r="1904" spans="1:16" s="10" customFormat="1">
      <c r="A1904" s="7">
        <f>IF(B1904="","",SUBTOTAL(103,$B$2:B1904))</f>
        <v>1903</v>
      </c>
      <c r="B1904" s="8" t="s">
        <v>5185</v>
      </c>
      <c r="C1904" s="7" t="s">
        <v>5234</v>
      </c>
      <c r="D1904" s="9" t="s">
        <v>5235</v>
      </c>
      <c r="E1904" s="7" t="s">
        <v>5187</v>
      </c>
      <c r="F1904" s="7" t="s">
        <v>1360</v>
      </c>
      <c r="G1904" s="7" t="s">
        <v>5236</v>
      </c>
      <c r="H1904" s="7">
        <v>0.111</v>
      </c>
      <c r="I1904" s="7">
        <v>58</v>
      </c>
      <c r="J1904" s="7">
        <v>800</v>
      </c>
      <c r="K1904" s="7">
        <v>600</v>
      </c>
      <c r="L1904" s="7">
        <v>150</v>
      </c>
      <c r="M1904" s="7">
        <v>30</v>
      </c>
      <c r="N1904" s="7">
        <v>60</v>
      </c>
      <c r="O1904" s="7">
        <v>34</v>
      </c>
      <c r="P1904" s="7">
        <v>200</v>
      </c>
    </row>
    <row r="1905" spans="1:16" s="10" customFormat="1">
      <c r="A1905" s="7">
        <f>IF(B1905="","",SUBTOTAL(103,$B$2:B1905))</f>
        <v>1904</v>
      </c>
      <c r="B1905" s="8" t="s">
        <v>5185</v>
      </c>
      <c r="C1905" s="7" t="s">
        <v>5172</v>
      </c>
      <c r="D1905" s="9" t="s">
        <v>5237</v>
      </c>
      <c r="E1905" s="7" t="s">
        <v>5187</v>
      </c>
      <c r="F1905" s="7" t="s">
        <v>1363</v>
      </c>
      <c r="G1905" s="7" t="s">
        <v>5238</v>
      </c>
      <c r="H1905" s="7">
        <v>4.5999999999999999E-2</v>
      </c>
      <c r="I1905" s="7">
        <v>92</v>
      </c>
      <c r="J1905" s="7">
        <v>800</v>
      </c>
      <c r="K1905" s="7">
        <v>600</v>
      </c>
      <c r="L1905" s="7">
        <v>150</v>
      </c>
      <c r="M1905" s="7">
        <v>30</v>
      </c>
      <c r="N1905" s="7">
        <v>60</v>
      </c>
      <c r="O1905" s="7">
        <v>27</v>
      </c>
      <c r="P1905" s="7">
        <v>135</v>
      </c>
    </row>
    <row r="1906" spans="1:16" s="10" customFormat="1">
      <c r="A1906" s="7">
        <f>IF(B1906="","",SUBTOTAL(103,$B$2:B1906))</f>
        <v>1905</v>
      </c>
      <c r="B1906" s="8" t="s">
        <v>5185</v>
      </c>
      <c r="C1906" s="7" t="s">
        <v>5239</v>
      </c>
      <c r="D1906" s="9" t="s">
        <v>5240</v>
      </c>
      <c r="E1906" s="7" t="s">
        <v>5187</v>
      </c>
      <c r="F1906" s="7" t="s">
        <v>1366</v>
      </c>
      <c r="G1906" s="7" t="s">
        <v>5241</v>
      </c>
      <c r="H1906" s="7">
        <v>4.5999999999999999E-2</v>
      </c>
      <c r="I1906" s="7">
        <v>92</v>
      </c>
      <c r="J1906" s="7">
        <v>800</v>
      </c>
      <c r="K1906" s="7">
        <v>600</v>
      </c>
      <c r="L1906" s="7">
        <v>150</v>
      </c>
      <c r="M1906" s="7">
        <v>30</v>
      </c>
      <c r="N1906" s="7">
        <v>60</v>
      </c>
      <c r="O1906" s="7">
        <v>27</v>
      </c>
      <c r="P1906" s="7">
        <v>135</v>
      </c>
    </row>
    <row r="1907" spans="1:16" s="10" customFormat="1">
      <c r="A1907" s="7">
        <f>IF(B1907="","",SUBTOTAL(103,$B$2:B1907))</f>
        <v>1906</v>
      </c>
      <c r="B1907" s="8" t="s">
        <v>5185</v>
      </c>
      <c r="C1907" s="7" t="s">
        <v>5177</v>
      </c>
      <c r="D1907" s="9" t="s">
        <v>5242</v>
      </c>
      <c r="E1907" s="7" t="s">
        <v>5187</v>
      </c>
      <c r="F1907" s="7" t="s">
        <v>1369</v>
      </c>
      <c r="G1907" s="7" t="s">
        <v>5243</v>
      </c>
      <c r="H1907" s="7">
        <v>7.1999999999999995E-2</v>
      </c>
      <c r="I1907" s="7">
        <v>5</v>
      </c>
      <c r="J1907" s="7">
        <v>800</v>
      </c>
      <c r="K1907" s="7">
        <v>600</v>
      </c>
      <c r="L1907" s="7">
        <v>150</v>
      </c>
      <c r="M1907" s="7">
        <v>30</v>
      </c>
      <c r="N1907" s="7">
        <v>60</v>
      </c>
      <c r="O1907" s="7">
        <v>400</v>
      </c>
      <c r="P1907" s="7">
        <v>565</v>
      </c>
    </row>
    <row r="1908" spans="1:16" s="10" customFormat="1">
      <c r="A1908" s="7">
        <f>IF(B1908="","",SUBTOTAL(103,$B$2:B1908))</f>
        <v>1907</v>
      </c>
      <c r="B1908" s="8" t="s">
        <v>5185</v>
      </c>
      <c r="C1908" s="7" t="s">
        <v>5244</v>
      </c>
      <c r="D1908" s="9" t="s">
        <v>5245</v>
      </c>
      <c r="E1908" s="7" t="s">
        <v>5187</v>
      </c>
      <c r="F1908" s="7" t="s">
        <v>1372</v>
      </c>
      <c r="G1908" s="7" t="s">
        <v>5246</v>
      </c>
      <c r="H1908" s="7">
        <v>7.1999999999999995E-2</v>
      </c>
      <c r="I1908" s="7">
        <v>5</v>
      </c>
      <c r="J1908" s="7">
        <v>800</v>
      </c>
      <c r="K1908" s="7">
        <v>600</v>
      </c>
      <c r="L1908" s="7">
        <v>150</v>
      </c>
      <c r="M1908" s="7">
        <v>30</v>
      </c>
      <c r="N1908" s="7">
        <v>60</v>
      </c>
      <c r="O1908" s="7">
        <v>400</v>
      </c>
      <c r="P1908" s="7">
        <v>565</v>
      </c>
    </row>
    <row r="1909" spans="1:16" s="10" customFormat="1">
      <c r="A1909" s="7">
        <f>IF(B1909="","",SUBTOTAL(103,$B$2:B1909))</f>
        <v>1908</v>
      </c>
      <c r="B1909" s="8" t="s">
        <v>5122</v>
      </c>
      <c r="C1909" s="7" t="s">
        <v>5134</v>
      </c>
      <c r="D1909" s="9" t="s">
        <v>5247</v>
      </c>
      <c r="E1909" s="7" t="s">
        <v>5248</v>
      </c>
      <c r="F1909" s="7" t="s">
        <v>5249</v>
      </c>
      <c r="G1909" s="7" t="s">
        <v>5250</v>
      </c>
      <c r="H1909" s="7">
        <v>0.05</v>
      </c>
      <c r="I1909" s="7">
        <v>56</v>
      </c>
      <c r="J1909" s="7">
        <v>800</v>
      </c>
      <c r="K1909" s="7">
        <v>600</v>
      </c>
      <c r="L1909" s="7">
        <v>150</v>
      </c>
      <c r="M1909" s="7">
        <v>30</v>
      </c>
      <c r="N1909" s="7">
        <v>60</v>
      </c>
      <c r="O1909" s="7">
        <v>34</v>
      </c>
      <c r="P1909" s="7">
        <v>170</v>
      </c>
    </row>
    <row r="1910" spans="1:16" s="10" customFormat="1">
      <c r="A1910" s="7">
        <f>IF(B1910="","",SUBTOTAL(103,$B$2:B1910))</f>
        <v>1909</v>
      </c>
      <c r="B1910" s="8" t="s">
        <v>5251</v>
      </c>
      <c r="C1910" s="7" t="s">
        <v>5252</v>
      </c>
      <c r="D1910" s="9" t="s">
        <v>5253</v>
      </c>
      <c r="E1910" s="7" t="s">
        <v>5254</v>
      </c>
      <c r="F1910" s="7" t="s">
        <v>3807</v>
      </c>
      <c r="G1910" s="7" t="s">
        <v>5255</v>
      </c>
      <c r="H1910" s="7">
        <v>8.1000000000000003E-2</v>
      </c>
      <c r="I1910" s="7">
        <v>48</v>
      </c>
      <c r="J1910" s="7">
        <v>800</v>
      </c>
      <c r="K1910" s="7">
        <v>600</v>
      </c>
      <c r="L1910" s="7">
        <v>150</v>
      </c>
      <c r="M1910" s="7">
        <v>30</v>
      </c>
      <c r="N1910" s="7">
        <v>60</v>
      </c>
      <c r="O1910" s="7">
        <v>41</v>
      </c>
      <c r="P1910" s="7">
        <v>125</v>
      </c>
    </row>
    <row r="1911" spans="1:16" s="10" customFormat="1">
      <c r="A1911" s="7">
        <f>IF(B1911="","",SUBTOTAL(103,$B$2:B1911))</f>
        <v>1910</v>
      </c>
      <c r="B1911" s="8" t="s">
        <v>5251</v>
      </c>
      <c r="C1911" s="7" t="s">
        <v>5256</v>
      </c>
      <c r="D1911" s="9" t="s">
        <v>5257</v>
      </c>
      <c r="E1911" s="7" t="s">
        <v>5254</v>
      </c>
      <c r="F1911" s="7" t="s">
        <v>4206</v>
      </c>
      <c r="G1911" s="7" t="s">
        <v>5258</v>
      </c>
      <c r="H1911" s="7">
        <v>7.6999999999999999E-2</v>
      </c>
      <c r="I1911" s="7">
        <v>56</v>
      </c>
      <c r="J1911" s="7">
        <v>800</v>
      </c>
      <c r="K1911" s="7">
        <v>600</v>
      </c>
      <c r="L1911" s="7">
        <v>150</v>
      </c>
      <c r="M1911" s="7">
        <v>30</v>
      </c>
      <c r="N1911" s="7">
        <v>60</v>
      </c>
      <c r="O1911" s="7">
        <v>34</v>
      </c>
      <c r="P1911" s="7">
        <v>125</v>
      </c>
    </row>
    <row r="1912" spans="1:16" s="10" customFormat="1">
      <c r="A1912" s="7">
        <f>IF(B1912="","",SUBTOTAL(103,$B$2:B1912))</f>
        <v>1911</v>
      </c>
      <c r="B1912" s="8" t="s">
        <v>5251</v>
      </c>
      <c r="C1912" s="7" t="s">
        <v>5259</v>
      </c>
      <c r="D1912" s="9" t="s">
        <v>5260</v>
      </c>
      <c r="E1912" s="7" t="s">
        <v>5254</v>
      </c>
      <c r="F1912" s="7" t="s">
        <v>3813</v>
      </c>
      <c r="G1912" s="7" t="s">
        <v>5261</v>
      </c>
      <c r="H1912" s="7">
        <v>9.0999999999999998E-2</v>
      </c>
      <c r="I1912" s="7">
        <v>56</v>
      </c>
      <c r="J1912" s="7">
        <v>800</v>
      </c>
      <c r="K1912" s="7">
        <v>600</v>
      </c>
      <c r="L1912" s="7">
        <v>150</v>
      </c>
      <c r="M1912" s="7">
        <v>30</v>
      </c>
      <c r="N1912" s="7">
        <v>60</v>
      </c>
      <c r="O1912" s="7">
        <v>34</v>
      </c>
      <c r="P1912" s="7">
        <v>125</v>
      </c>
    </row>
    <row r="1913" spans="1:16" s="10" customFormat="1">
      <c r="A1913" s="7">
        <f>IF(B1913="","",SUBTOTAL(103,$B$2:B1913))</f>
        <v>1912</v>
      </c>
      <c r="B1913" s="8" t="s">
        <v>5251</v>
      </c>
      <c r="C1913" s="7" t="s">
        <v>5262</v>
      </c>
      <c r="D1913" s="9" t="s">
        <v>5263</v>
      </c>
      <c r="E1913" s="7" t="s">
        <v>5254</v>
      </c>
      <c r="F1913" s="7" t="s">
        <v>3848</v>
      </c>
      <c r="G1913" s="7" t="s">
        <v>5264</v>
      </c>
      <c r="H1913" s="7">
        <v>0.13200000000000001</v>
      </c>
      <c r="I1913" s="7">
        <v>38</v>
      </c>
      <c r="J1913" s="7">
        <v>800</v>
      </c>
      <c r="K1913" s="7">
        <v>600</v>
      </c>
      <c r="L1913" s="7">
        <v>150</v>
      </c>
      <c r="M1913" s="7">
        <v>30</v>
      </c>
      <c r="N1913" s="7">
        <v>60</v>
      </c>
      <c r="O1913" s="7">
        <v>50</v>
      </c>
      <c r="P1913" s="7">
        <v>135</v>
      </c>
    </row>
    <row r="1914" spans="1:16" s="10" customFormat="1">
      <c r="A1914" s="7">
        <f>IF(B1914="","",SUBTOTAL(103,$B$2:B1914))</f>
        <v>1913</v>
      </c>
      <c r="B1914" s="8" t="s">
        <v>5265</v>
      </c>
      <c r="C1914" s="7" t="s">
        <v>5266</v>
      </c>
      <c r="D1914" s="9" t="s">
        <v>5267</v>
      </c>
      <c r="E1914" s="7" t="s">
        <v>5268</v>
      </c>
      <c r="F1914" s="7" t="s">
        <v>1148</v>
      </c>
      <c r="G1914" s="7" t="s">
        <v>5269</v>
      </c>
      <c r="H1914" s="7">
        <v>0.185</v>
      </c>
      <c r="I1914" s="7">
        <v>22</v>
      </c>
      <c r="J1914" s="7">
        <v>800</v>
      </c>
      <c r="K1914" s="7">
        <v>600</v>
      </c>
      <c r="L1914" s="7">
        <v>150</v>
      </c>
      <c r="M1914" s="7">
        <v>30</v>
      </c>
      <c r="N1914" s="7">
        <v>60</v>
      </c>
      <c r="O1914" s="7">
        <v>90</v>
      </c>
      <c r="P1914" s="7">
        <v>145</v>
      </c>
    </row>
    <row r="1915" spans="1:16" s="10" customFormat="1">
      <c r="A1915" s="7">
        <f>IF(B1915="","",SUBTOTAL(103,$B$2:B1915))</f>
        <v>1914</v>
      </c>
      <c r="B1915" s="8" t="s">
        <v>5265</v>
      </c>
      <c r="C1915" s="7" t="s">
        <v>5266</v>
      </c>
      <c r="D1915" s="9" t="s">
        <v>5270</v>
      </c>
      <c r="E1915" s="7" t="s">
        <v>5268</v>
      </c>
      <c r="F1915" s="7" t="s">
        <v>1151</v>
      </c>
      <c r="G1915" s="7" t="s">
        <v>5271</v>
      </c>
      <c r="H1915" s="7">
        <v>0.185</v>
      </c>
      <c r="I1915" s="7">
        <v>22</v>
      </c>
      <c r="J1915" s="7">
        <v>800</v>
      </c>
      <c r="K1915" s="7">
        <v>600</v>
      </c>
      <c r="L1915" s="7">
        <v>150</v>
      </c>
      <c r="M1915" s="7">
        <v>30</v>
      </c>
      <c r="N1915" s="7">
        <v>60</v>
      </c>
      <c r="O1915" s="7">
        <v>90</v>
      </c>
      <c r="P1915" s="7">
        <v>145</v>
      </c>
    </row>
    <row r="1916" spans="1:16" s="10" customFormat="1">
      <c r="A1916" s="7">
        <f>IF(B1916="","",SUBTOTAL(103,$B$2:B1916))</f>
        <v>1915</v>
      </c>
      <c r="B1916" s="8" t="s">
        <v>5265</v>
      </c>
      <c r="C1916" s="7" t="s">
        <v>5272</v>
      </c>
      <c r="D1916" s="9" t="s">
        <v>5273</v>
      </c>
      <c r="E1916" s="7" t="s">
        <v>5268</v>
      </c>
      <c r="F1916" s="7" t="s">
        <v>1155</v>
      </c>
      <c r="G1916" s="7" t="s">
        <v>5274</v>
      </c>
      <c r="H1916" s="7">
        <v>8.6999999999999994E-2</v>
      </c>
      <c r="I1916" s="7">
        <v>28</v>
      </c>
      <c r="J1916" s="7">
        <v>800</v>
      </c>
      <c r="K1916" s="7">
        <v>600</v>
      </c>
      <c r="L1916" s="7">
        <v>150</v>
      </c>
      <c r="M1916" s="7">
        <v>30</v>
      </c>
      <c r="N1916" s="7">
        <v>60</v>
      </c>
      <c r="O1916" s="7">
        <v>70</v>
      </c>
      <c r="P1916" s="7">
        <v>125</v>
      </c>
    </row>
    <row r="1917" spans="1:16" s="10" customFormat="1">
      <c r="A1917" s="7">
        <f>IF(B1917="","",SUBTOTAL(103,$B$2:B1917))</f>
        <v>1916</v>
      </c>
      <c r="B1917" s="8" t="s">
        <v>5265</v>
      </c>
      <c r="C1917" s="7" t="s">
        <v>5272</v>
      </c>
      <c r="D1917" s="9" t="s">
        <v>5275</v>
      </c>
      <c r="E1917" s="7" t="s">
        <v>5268</v>
      </c>
      <c r="F1917" s="7" t="s">
        <v>1158</v>
      </c>
      <c r="G1917" s="7" t="s">
        <v>5276</v>
      </c>
      <c r="H1917" s="7">
        <v>8.6999999999999994E-2</v>
      </c>
      <c r="I1917" s="7">
        <v>28</v>
      </c>
      <c r="J1917" s="7">
        <v>800</v>
      </c>
      <c r="K1917" s="7">
        <v>600</v>
      </c>
      <c r="L1917" s="7">
        <v>150</v>
      </c>
      <c r="M1917" s="7">
        <v>30</v>
      </c>
      <c r="N1917" s="7">
        <v>60</v>
      </c>
      <c r="O1917" s="7">
        <v>70</v>
      </c>
      <c r="P1917" s="7">
        <v>125</v>
      </c>
    </row>
    <row r="1918" spans="1:16" s="10" customFormat="1">
      <c r="A1918" s="7">
        <f>IF(B1918="","",SUBTOTAL(103,$B$2:B1918))</f>
        <v>1917</v>
      </c>
      <c r="B1918" s="8" t="s">
        <v>5265</v>
      </c>
      <c r="C1918" s="7" t="s">
        <v>5277</v>
      </c>
      <c r="D1918" s="9" t="s">
        <v>5278</v>
      </c>
      <c r="E1918" s="7" t="s">
        <v>5268</v>
      </c>
      <c r="F1918" s="7" t="s">
        <v>3872</v>
      </c>
      <c r="G1918" s="7" t="s">
        <v>5279</v>
      </c>
      <c r="H1918" s="7">
        <v>0.39700000000000002</v>
      </c>
      <c r="I1918" s="7">
        <v>28</v>
      </c>
      <c r="J1918" s="7">
        <v>800</v>
      </c>
      <c r="K1918" s="7">
        <v>600</v>
      </c>
      <c r="L1918" s="7">
        <v>150</v>
      </c>
      <c r="M1918" s="7">
        <v>30</v>
      </c>
      <c r="N1918" s="7">
        <v>60</v>
      </c>
      <c r="O1918" s="7">
        <v>70</v>
      </c>
      <c r="P1918" s="7">
        <v>125</v>
      </c>
    </row>
    <row r="1919" spans="1:16" s="10" customFormat="1">
      <c r="A1919" s="7">
        <f>IF(B1919="","",SUBTOTAL(103,$B$2:B1919))</f>
        <v>1918</v>
      </c>
      <c r="B1919" s="8" t="s">
        <v>5265</v>
      </c>
      <c r="C1919" s="7" t="s">
        <v>5277</v>
      </c>
      <c r="D1919" s="9" t="s">
        <v>5280</v>
      </c>
      <c r="E1919" s="7" t="s">
        <v>5268</v>
      </c>
      <c r="F1919" s="7" t="s">
        <v>3875</v>
      </c>
      <c r="G1919" s="7" t="s">
        <v>5281</v>
      </c>
      <c r="H1919" s="7">
        <v>0.39700000000000002</v>
      </c>
      <c r="I1919" s="7">
        <v>28</v>
      </c>
      <c r="J1919" s="7">
        <v>800</v>
      </c>
      <c r="K1919" s="7">
        <v>600</v>
      </c>
      <c r="L1919" s="7">
        <v>150</v>
      </c>
      <c r="M1919" s="7">
        <v>30</v>
      </c>
      <c r="N1919" s="7">
        <v>60</v>
      </c>
      <c r="O1919" s="7">
        <v>70</v>
      </c>
      <c r="P1919" s="7">
        <v>125</v>
      </c>
    </row>
    <row r="1920" spans="1:16" s="10" customFormat="1">
      <c r="A1920" s="7">
        <f>IF(B1920="","",SUBTOTAL(103,$B$2:B1920))</f>
        <v>1919</v>
      </c>
      <c r="B1920" s="8" t="s">
        <v>5265</v>
      </c>
      <c r="C1920" s="7" t="s">
        <v>5282</v>
      </c>
      <c r="D1920" s="9" t="s">
        <v>5283</v>
      </c>
      <c r="E1920" s="7" t="s">
        <v>5268</v>
      </c>
      <c r="F1920" s="7" t="s">
        <v>1162</v>
      </c>
      <c r="G1920" s="7" t="s">
        <v>5284</v>
      </c>
      <c r="H1920" s="7">
        <v>0.17599999999999999</v>
      </c>
      <c r="I1920" s="7">
        <v>28</v>
      </c>
      <c r="J1920" s="7">
        <v>800</v>
      </c>
      <c r="K1920" s="7">
        <v>600</v>
      </c>
      <c r="L1920" s="7">
        <v>150</v>
      </c>
      <c r="M1920" s="7">
        <v>30</v>
      </c>
      <c r="N1920" s="7">
        <v>60</v>
      </c>
      <c r="O1920" s="7">
        <v>70</v>
      </c>
      <c r="P1920" s="7">
        <v>145</v>
      </c>
    </row>
    <row r="1921" spans="1:16" s="10" customFormat="1">
      <c r="A1921" s="7">
        <f>IF(B1921="","",SUBTOTAL(103,$B$2:B1921))</f>
        <v>1920</v>
      </c>
      <c r="B1921" s="8" t="s">
        <v>5265</v>
      </c>
      <c r="C1921" s="7" t="s">
        <v>5282</v>
      </c>
      <c r="D1921" s="9" t="s">
        <v>5285</v>
      </c>
      <c r="E1921" s="7" t="s">
        <v>5268</v>
      </c>
      <c r="F1921" s="7" t="s">
        <v>1165</v>
      </c>
      <c r="G1921" s="7" t="s">
        <v>5286</v>
      </c>
      <c r="H1921" s="7">
        <v>0.34499999999999997</v>
      </c>
      <c r="I1921" s="7">
        <v>28</v>
      </c>
      <c r="J1921" s="7">
        <v>800</v>
      </c>
      <c r="K1921" s="7">
        <v>600</v>
      </c>
      <c r="L1921" s="7">
        <v>150</v>
      </c>
      <c r="M1921" s="7">
        <v>30</v>
      </c>
      <c r="N1921" s="7">
        <v>60</v>
      </c>
      <c r="O1921" s="7">
        <v>70</v>
      </c>
      <c r="P1921" s="7">
        <v>145</v>
      </c>
    </row>
    <row r="1922" spans="1:16" s="10" customFormat="1">
      <c r="A1922" s="7">
        <f>IF(B1922="","",SUBTOTAL(103,$B$2:B1922))</f>
        <v>1921</v>
      </c>
      <c r="B1922" s="8" t="s">
        <v>5265</v>
      </c>
      <c r="C1922" s="7" t="s">
        <v>5287</v>
      </c>
      <c r="D1922" s="9" t="s">
        <v>5288</v>
      </c>
      <c r="E1922" s="7" t="s">
        <v>5268</v>
      </c>
      <c r="F1922" s="7" t="s">
        <v>1169</v>
      </c>
      <c r="G1922" s="7" t="s">
        <v>5289</v>
      </c>
      <c r="H1922" s="7">
        <v>7.8E-2</v>
      </c>
      <c r="I1922" s="7">
        <v>28</v>
      </c>
      <c r="J1922" s="7">
        <v>800</v>
      </c>
      <c r="K1922" s="7">
        <v>600</v>
      </c>
      <c r="L1922" s="7">
        <v>150</v>
      </c>
      <c r="M1922" s="7">
        <v>30</v>
      </c>
      <c r="N1922" s="7">
        <v>60</v>
      </c>
      <c r="O1922" s="7">
        <v>70</v>
      </c>
      <c r="P1922" s="7">
        <v>125</v>
      </c>
    </row>
    <row r="1923" spans="1:16" s="10" customFormat="1">
      <c r="A1923" s="7">
        <f>IF(B1923="","",SUBTOTAL(103,$B$2:B1923))</f>
        <v>1922</v>
      </c>
      <c r="B1923" s="8" t="s">
        <v>5265</v>
      </c>
      <c r="C1923" s="7" t="s">
        <v>5287</v>
      </c>
      <c r="D1923" s="9" t="s">
        <v>5290</v>
      </c>
      <c r="E1923" s="7" t="s">
        <v>5268</v>
      </c>
      <c r="F1923" s="7" t="s">
        <v>1172</v>
      </c>
      <c r="G1923" s="7" t="s">
        <v>5291</v>
      </c>
      <c r="H1923" s="7">
        <v>7.8E-2</v>
      </c>
      <c r="I1923" s="7">
        <v>28</v>
      </c>
      <c r="J1923" s="7">
        <v>800</v>
      </c>
      <c r="K1923" s="7">
        <v>600</v>
      </c>
      <c r="L1923" s="7">
        <v>150</v>
      </c>
      <c r="M1923" s="7">
        <v>30</v>
      </c>
      <c r="N1923" s="7">
        <v>60</v>
      </c>
      <c r="O1923" s="7">
        <v>70</v>
      </c>
      <c r="P1923" s="7">
        <v>125</v>
      </c>
    </row>
    <row r="1924" spans="1:16" s="10" customFormat="1">
      <c r="A1924" s="7">
        <f>IF(B1924="","",SUBTOTAL(103,$B$2:B1924))</f>
        <v>1923</v>
      </c>
      <c r="B1924" s="8" t="s">
        <v>5265</v>
      </c>
      <c r="C1924" s="7" t="s">
        <v>5292</v>
      </c>
      <c r="D1924" s="9" t="s">
        <v>5293</v>
      </c>
      <c r="E1924" s="7" t="s">
        <v>5268</v>
      </c>
      <c r="F1924" s="7" t="s">
        <v>1176</v>
      </c>
      <c r="G1924" s="7" t="s">
        <v>5294</v>
      </c>
      <c r="H1924" s="7">
        <v>8.6999999999999994E-2</v>
      </c>
      <c r="I1924" s="7">
        <v>48</v>
      </c>
      <c r="J1924" s="7">
        <v>800</v>
      </c>
      <c r="K1924" s="7">
        <v>600</v>
      </c>
      <c r="L1924" s="7">
        <v>150</v>
      </c>
      <c r="M1924" s="7">
        <v>30</v>
      </c>
      <c r="N1924" s="7">
        <v>60</v>
      </c>
      <c r="O1924" s="7">
        <v>41</v>
      </c>
      <c r="P1924" s="7">
        <v>125</v>
      </c>
    </row>
    <row r="1925" spans="1:16" s="10" customFormat="1">
      <c r="A1925" s="7">
        <f>IF(B1925="","",SUBTOTAL(103,$B$2:B1925))</f>
        <v>1924</v>
      </c>
      <c r="B1925" s="8" t="s">
        <v>5265</v>
      </c>
      <c r="C1925" s="7" t="s">
        <v>5292</v>
      </c>
      <c r="D1925" s="9" t="s">
        <v>5295</v>
      </c>
      <c r="E1925" s="7" t="s">
        <v>5268</v>
      </c>
      <c r="F1925" s="7" t="s">
        <v>1179</v>
      </c>
      <c r="G1925" s="7" t="s">
        <v>5296</v>
      </c>
      <c r="H1925" s="7">
        <v>8.6999999999999994E-2</v>
      </c>
      <c r="I1925" s="7">
        <v>48</v>
      </c>
      <c r="J1925" s="7">
        <v>800</v>
      </c>
      <c r="K1925" s="7">
        <v>600</v>
      </c>
      <c r="L1925" s="7">
        <v>150</v>
      </c>
      <c r="M1925" s="7">
        <v>30</v>
      </c>
      <c r="N1925" s="7">
        <v>60</v>
      </c>
      <c r="O1925" s="7">
        <v>41</v>
      </c>
      <c r="P1925" s="7">
        <v>125</v>
      </c>
    </row>
    <row r="1926" spans="1:16" s="10" customFormat="1">
      <c r="A1926" s="7">
        <f>IF(B1926="","",SUBTOTAL(103,$B$2:B1926))</f>
        <v>1925</v>
      </c>
      <c r="B1926" s="8" t="s">
        <v>5265</v>
      </c>
      <c r="C1926" s="7" t="s">
        <v>5297</v>
      </c>
      <c r="D1926" s="9" t="s">
        <v>5298</v>
      </c>
      <c r="E1926" s="7" t="s">
        <v>5268</v>
      </c>
      <c r="F1926" s="7" t="s">
        <v>1183</v>
      </c>
      <c r="G1926" s="7" t="s">
        <v>5299</v>
      </c>
      <c r="H1926" s="7">
        <v>8.1000000000000003E-2</v>
      </c>
      <c r="I1926" s="7">
        <v>48</v>
      </c>
      <c r="J1926" s="7">
        <v>800</v>
      </c>
      <c r="K1926" s="7">
        <v>600</v>
      </c>
      <c r="L1926" s="7">
        <v>150</v>
      </c>
      <c r="M1926" s="7">
        <v>30</v>
      </c>
      <c r="N1926" s="7">
        <v>60</v>
      </c>
      <c r="O1926" s="7">
        <v>41</v>
      </c>
      <c r="P1926" s="7">
        <v>125</v>
      </c>
    </row>
    <row r="1927" spans="1:16" s="10" customFormat="1">
      <c r="A1927" s="7">
        <f>IF(B1927="","",SUBTOTAL(103,$B$2:B1927))</f>
        <v>1926</v>
      </c>
      <c r="B1927" s="8" t="s">
        <v>5265</v>
      </c>
      <c r="C1927" s="7" t="s">
        <v>5297</v>
      </c>
      <c r="D1927" s="9" t="s">
        <v>5300</v>
      </c>
      <c r="E1927" s="7" t="s">
        <v>5268</v>
      </c>
      <c r="F1927" s="7" t="s">
        <v>1186</v>
      </c>
      <c r="G1927" s="7" t="s">
        <v>5301</v>
      </c>
      <c r="H1927" s="7">
        <v>8.1000000000000003E-2</v>
      </c>
      <c r="I1927" s="7">
        <v>48</v>
      </c>
      <c r="J1927" s="7">
        <v>800</v>
      </c>
      <c r="K1927" s="7">
        <v>600</v>
      </c>
      <c r="L1927" s="7">
        <v>150</v>
      </c>
      <c r="M1927" s="7">
        <v>30</v>
      </c>
      <c r="N1927" s="7">
        <v>60</v>
      </c>
      <c r="O1927" s="7">
        <v>41</v>
      </c>
      <c r="P1927" s="7">
        <v>125</v>
      </c>
    </row>
    <row r="1928" spans="1:16" s="10" customFormat="1">
      <c r="A1928" s="7">
        <f>IF(B1928="","",SUBTOTAL(103,$B$2:B1928))</f>
        <v>1927</v>
      </c>
      <c r="B1928" s="8" t="s">
        <v>5265</v>
      </c>
      <c r="C1928" s="7" t="s">
        <v>5302</v>
      </c>
      <c r="D1928" s="9" t="s">
        <v>5303</v>
      </c>
      <c r="E1928" s="7" t="s">
        <v>5268</v>
      </c>
      <c r="F1928" s="7" t="s">
        <v>1190</v>
      </c>
      <c r="G1928" s="7" t="s">
        <v>5304</v>
      </c>
      <c r="H1928" s="7">
        <v>7.8E-2</v>
      </c>
      <c r="I1928" s="7">
        <v>48</v>
      </c>
      <c r="J1928" s="7">
        <v>800</v>
      </c>
      <c r="K1928" s="7">
        <v>600</v>
      </c>
      <c r="L1928" s="7">
        <v>150</v>
      </c>
      <c r="M1928" s="7">
        <v>30</v>
      </c>
      <c r="N1928" s="7">
        <v>60</v>
      </c>
      <c r="O1928" s="7">
        <v>41</v>
      </c>
      <c r="P1928" s="7">
        <v>125</v>
      </c>
    </row>
    <row r="1929" spans="1:16" s="10" customFormat="1">
      <c r="A1929" s="7">
        <f>IF(B1929="","",SUBTOTAL(103,$B$2:B1929))</f>
        <v>1928</v>
      </c>
      <c r="B1929" s="8" t="s">
        <v>5265</v>
      </c>
      <c r="C1929" s="7" t="s">
        <v>5302</v>
      </c>
      <c r="D1929" s="9" t="s">
        <v>5305</v>
      </c>
      <c r="E1929" s="7" t="s">
        <v>5268</v>
      </c>
      <c r="F1929" s="7" t="s">
        <v>1193</v>
      </c>
      <c r="G1929" s="7" t="s">
        <v>5306</v>
      </c>
      <c r="H1929" s="7">
        <v>7.8E-2</v>
      </c>
      <c r="I1929" s="7">
        <v>48</v>
      </c>
      <c r="J1929" s="7">
        <v>800</v>
      </c>
      <c r="K1929" s="7">
        <v>600</v>
      </c>
      <c r="L1929" s="7">
        <v>150</v>
      </c>
      <c r="M1929" s="7">
        <v>30</v>
      </c>
      <c r="N1929" s="7">
        <v>60</v>
      </c>
      <c r="O1929" s="7">
        <v>41</v>
      </c>
      <c r="P1929" s="7">
        <v>125</v>
      </c>
    </row>
    <row r="1930" spans="1:16" s="10" customFormat="1">
      <c r="A1930" s="7">
        <f>IF(B1930="","",SUBTOTAL(103,$B$2:B1930))</f>
        <v>1929</v>
      </c>
      <c r="B1930" s="8" t="s">
        <v>5265</v>
      </c>
      <c r="C1930" s="7" t="s">
        <v>5307</v>
      </c>
      <c r="D1930" s="9" t="s">
        <v>5308</v>
      </c>
      <c r="E1930" s="7" t="s">
        <v>5268</v>
      </c>
      <c r="F1930" s="7" t="s">
        <v>1197</v>
      </c>
      <c r="G1930" s="7" t="s">
        <v>5309</v>
      </c>
      <c r="H1930" s="7">
        <v>0.39700000000000002</v>
      </c>
      <c r="I1930" s="7">
        <v>56</v>
      </c>
      <c r="J1930" s="7">
        <v>800</v>
      </c>
      <c r="K1930" s="7">
        <v>600</v>
      </c>
      <c r="L1930" s="7">
        <v>150</v>
      </c>
      <c r="M1930" s="7">
        <v>30</v>
      </c>
      <c r="N1930" s="7">
        <v>60</v>
      </c>
      <c r="O1930" s="7">
        <v>34</v>
      </c>
      <c r="P1930" s="7">
        <v>125</v>
      </c>
    </row>
    <row r="1931" spans="1:16" s="10" customFormat="1">
      <c r="A1931" s="7">
        <f>IF(B1931="","",SUBTOTAL(103,$B$2:B1931))</f>
        <v>1930</v>
      </c>
      <c r="B1931" s="8" t="s">
        <v>5265</v>
      </c>
      <c r="C1931" s="7" t="s">
        <v>5307</v>
      </c>
      <c r="D1931" s="9" t="s">
        <v>5310</v>
      </c>
      <c r="E1931" s="7" t="s">
        <v>5268</v>
      </c>
      <c r="F1931" s="7" t="s">
        <v>1200</v>
      </c>
      <c r="G1931" s="7" t="s">
        <v>5311</v>
      </c>
      <c r="H1931" s="7">
        <v>0.39700000000000002</v>
      </c>
      <c r="I1931" s="7">
        <v>56</v>
      </c>
      <c r="J1931" s="7">
        <v>800</v>
      </c>
      <c r="K1931" s="7">
        <v>600</v>
      </c>
      <c r="L1931" s="7">
        <v>150</v>
      </c>
      <c r="M1931" s="7">
        <v>30</v>
      </c>
      <c r="N1931" s="7">
        <v>60</v>
      </c>
      <c r="O1931" s="7">
        <v>34</v>
      </c>
      <c r="P1931" s="7">
        <v>125</v>
      </c>
    </row>
    <row r="1932" spans="1:16" s="10" customFormat="1">
      <c r="A1932" s="7">
        <f>IF(B1932="","",SUBTOTAL(103,$B$2:B1932))</f>
        <v>1931</v>
      </c>
      <c r="B1932" s="8" t="s">
        <v>5265</v>
      </c>
      <c r="C1932" s="7" t="s">
        <v>5312</v>
      </c>
      <c r="D1932" s="9" t="s">
        <v>5313</v>
      </c>
      <c r="E1932" s="7" t="s">
        <v>5268</v>
      </c>
      <c r="F1932" s="7" t="s">
        <v>1204</v>
      </c>
      <c r="G1932" s="7" t="s">
        <v>5314</v>
      </c>
      <c r="H1932" s="7">
        <v>0.33</v>
      </c>
      <c r="I1932" s="7">
        <v>12</v>
      </c>
      <c r="J1932" s="7">
        <v>800</v>
      </c>
      <c r="K1932" s="7">
        <v>600</v>
      </c>
      <c r="L1932" s="7">
        <v>150</v>
      </c>
      <c r="M1932" s="7">
        <v>30</v>
      </c>
      <c r="N1932" s="7">
        <v>60</v>
      </c>
      <c r="O1932" s="7">
        <v>150</v>
      </c>
      <c r="P1932" s="7">
        <v>225</v>
      </c>
    </row>
    <row r="1933" spans="1:16" s="10" customFormat="1">
      <c r="A1933" s="7">
        <f>IF(B1933="","",SUBTOTAL(103,$B$2:B1933))</f>
        <v>1932</v>
      </c>
      <c r="B1933" s="8" t="s">
        <v>5265</v>
      </c>
      <c r="C1933" s="7" t="s">
        <v>5312</v>
      </c>
      <c r="D1933" s="9" t="s">
        <v>5315</v>
      </c>
      <c r="E1933" s="7" t="s">
        <v>5268</v>
      </c>
      <c r="F1933" s="7" t="s">
        <v>1207</v>
      </c>
      <c r="G1933" s="7" t="s">
        <v>5316</v>
      </c>
      <c r="H1933" s="7">
        <v>0.33</v>
      </c>
      <c r="I1933" s="7">
        <v>12</v>
      </c>
      <c r="J1933" s="7">
        <v>800</v>
      </c>
      <c r="K1933" s="7">
        <v>600</v>
      </c>
      <c r="L1933" s="7">
        <v>150</v>
      </c>
      <c r="M1933" s="7">
        <v>30</v>
      </c>
      <c r="N1933" s="7">
        <v>60</v>
      </c>
      <c r="O1933" s="7">
        <v>150</v>
      </c>
      <c r="P1933" s="7">
        <v>225</v>
      </c>
    </row>
    <row r="1934" spans="1:16" s="10" customFormat="1">
      <c r="A1934" s="7">
        <f>IF(B1934="","",SUBTOTAL(103,$B$2:B1934))</f>
        <v>1933</v>
      </c>
      <c r="B1934" s="8" t="s">
        <v>5265</v>
      </c>
      <c r="C1934" s="7" t="s">
        <v>5317</v>
      </c>
      <c r="D1934" s="9" t="s">
        <v>5318</v>
      </c>
      <c r="E1934" s="7" t="s">
        <v>5268</v>
      </c>
      <c r="F1934" s="7" t="s">
        <v>3914</v>
      </c>
      <c r="G1934" s="7" t="s">
        <v>5319</v>
      </c>
      <c r="H1934" s="7">
        <v>0.30199999999999999</v>
      </c>
      <c r="I1934" s="7">
        <v>18</v>
      </c>
      <c r="J1934" s="7">
        <v>800</v>
      </c>
      <c r="K1934" s="7">
        <v>600</v>
      </c>
      <c r="L1934" s="7">
        <v>150</v>
      </c>
      <c r="M1934" s="7">
        <v>30</v>
      </c>
      <c r="N1934" s="7">
        <v>60</v>
      </c>
      <c r="O1934" s="7">
        <v>100</v>
      </c>
      <c r="P1934" s="7">
        <v>225</v>
      </c>
    </row>
    <row r="1935" spans="1:16" s="10" customFormat="1">
      <c r="A1935" s="7">
        <f>IF(B1935="","",SUBTOTAL(103,$B$2:B1935))</f>
        <v>1934</v>
      </c>
      <c r="B1935" s="8" t="s">
        <v>5265</v>
      </c>
      <c r="C1935" s="7" t="s">
        <v>5317</v>
      </c>
      <c r="D1935" s="9" t="s">
        <v>5320</v>
      </c>
      <c r="E1935" s="7" t="s">
        <v>5268</v>
      </c>
      <c r="F1935" s="7" t="s">
        <v>3917</v>
      </c>
      <c r="G1935" s="7" t="s">
        <v>5321</v>
      </c>
      <c r="H1935" s="7">
        <v>0.30199999999999999</v>
      </c>
      <c r="I1935" s="7">
        <v>18</v>
      </c>
      <c r="J1935" s="7">
        <v>800</v>
      </c>
      <c r="K1935" s="7">
        <v>600</v>
      </c>
      <c r="L1935" s="7">
        <v>150</v>
      </c>
      <c r="M1935" s="7">
        <v>30</v>
      </c>
      <c r="N1935" s="7">
        <v>60</v>
      </c>
      <c r="O1935" s="7">
        <v>100</v>
      </c>
      <c r="P1935" s="7">
        <v>225</v>
      </c>
    </row>
    <row r="1936" spans="1:16" s="10" customFormat="1">
      <c r="A1936" s="7">
        <f>IF(B1936="","",SUBTOTAL(103,$B$2:B1936))</f>
        <v>1935</v>
      </c>
      <c r="B1936" s="8" t="s">
        <v>5265</v>
      </c>
      <c r="C1936" s="7" t="s">
        <v>5322</v>
      </c>
      <c r="D1936" s="9" t="s">
        <v>5323</v>
      </c>
      <c r="E1936" s="7" t="s">
        <v>5268</v>
      </c>
      <c r="F1936" s="7" t="s">
        <v>1211</v>
      </c>
      <c r="G1936" s="7" t="s">
        <v>5324</v>
      </c>
      <c r="H1936" s="7">
        <v>0.38400000000000001</v>
      </c>
      <c r="I1936" s="7">
        <v>18</v>
      </c>
      <c r="J1936" s="7">
        <v>800</v>
      </c>
      <c r="K1936" s="7">
        <v>600</v>
      </c>
      <c r="L1936" s="7">
        <v>150</v>
      </c>
      <c r="M1936" s="7">
        <v>30</v>
      </c>
      <c r="N1936" s="7">
        <v>60</v>
      </c>
      <c r="O1936" s="7">
        <v>100</v>
      </c>
      <c r="P1936" s="7">
        <v>225</v>
      </c>
    </row>
    <row r="1937" spans="1:16" s="10" customFormat="1">
      <c r="A1937" s="7">
        <f>IF(B1937="","",SUBTOTAL(103,$B$2:B1937))</f>
        <v>1936</v>
      </c>
      <c r="B1937" s="8" t="s">
        <v>5265</v>
      </c>
      <c r="C1937" s="7" t="s">
        <v>5322</v>
      </c>
      <c r="D1937" s="9" t="s">
        <v>5325</v>
      </c>
      <c r="E1937" s="7" t="s">
        <v>5268</v>
      </c>
      <c r="F1937" s="7" t="s">
        <v>1214</v>
      </c>
      <c r="G1937" s="7" t="s">
        <v>5326</v>
      </c>
      <c r="H1937" s="7">
        <v>0.38400000000000001</v>
      </c>
      <c r="I1937" s="7">
        <v>18</v>
      </c>
      <c r="J1937" s="7">
        <v>800</v>
      </c>
      <c r="K1937" s="7">
        <v>600</v>
      </c>
      <c r="L1937" s="7">
        <v>150</v>
      </c>
      <c r="M1937" s="7">
        <v>30</v>
      </c>
      <c r="N1937" s="7">
        <v>60</v>
      </c>
      <c r="O1937" s="7">
        <v>100</v>
      </c>
      <c r="P1937" s="7">
        <v>225</v>
      </c>
    </row>
    <row r="1938" spans="1:16" s="10" customFormat="1">
      <c r="A1938" s="7">
        <f>IF(B1938="","",SUBTOTAL(103,$B$2:B1938))</f>
        <v>1937</v>
      </c>
      <c r="B1938" s="8" t="s">
        <v>5265</v>
      </c>
      <c r="C1938" s="7" t="s">
        <v>5327</v>
      </c>
      <c r="D1938" s="9" t="s">
        <v>5328</v>
      </c>
      <c r="E1938" s="7" t="s">
        <v>5268</v>
      </c>
      <c r="F1938" s="7" t="s">
        <v>1218</v>
      </c>
      <c r="G1938" s="7" t="s">
        <v>5329</v>
      </c>
      <c r="H1938" s="7">
        <v>0.34499999999999997</v>
      </c>
      <c r="I1938" s="7">
        <v>18</v>
      </c>
      <c r="J1938" s="7">
        <v>800</v>
      </c>
      <c r="K1938" s="7">
        <v>600</v>
      </c>
      <c r="L1938" s="7">
        <v>150</v>
      </c>
      <c r="M1938" s="7">
        <v>30</v>
      </c>
      <c r="N1938" s="7">
        <v>60</v>
      </c>
      <c r="O1938" s="7">
        <v>100</v>
      </c>
      <c r="P1938" s="7">
        <v>225</v>
      </c>
    </row>
    <row r="1939" spans="1:16" s="10" customFormat="1">
      <c r="A1939" s="7">
        <f>IF(B1939="","",SUBTOTAL(103,$B$2:B1939))</f>
        <v>1938</v>
      </c>
      <c r="B1939" s="8" t="s">
        <v>5265</v>
      </c>
      <c r="C1939" s="7" t="s">
        <v>5327</v>
      </c>
      <c r="D1939" s="9" t="s">
        <v>5330</v>
      </c>
      <c r="E1939" s="7" t="s">
        <v>5268</v>
      </c>
      <c r="F1939" s="7" t="s">
        <v>1221</v>
      </c>
      <c r="G1939" s="7" t="s">
        <v>5331</v>
      </c>
      <c r="H1939" s="7">
        <v>0.34499999999999997</v>
      </c>
      <c r="I1939" s="7">
        <v>18</v>
      </c>
      <c r="J1939" s="7">
        <v>800</v>
      </c>
      <c r="K1939" s="7">
        <v>600</v>
      </c>
      <c r="L1939" s="7">
        <v>150</v>
      </c>
      <c r="M1939" s="7">
        <v>30</v>
      </c>
      <c r="N1939" s="7">
        <v>60</v>
      </c>
      <c r="O1939" s="7">
        <v>100</v>
      </c>
      <c r="P1939" s="7">
        <v>225</v>
      </c>
    </row>
    <row r="1940" spans="1:16" s="10" customFormat="1">
      <c r="A1940" s="7">
        <f>IF(B1940="","",SUBTOTAL(103,$B$2:B1940))</f>
        <v>1939</v>
      </c>
      <c r="B1940" s="8" t="s">
        <v>5265</v>
      </c>
      <c r="C1940" s="7" t="s">
        <v>5332</v>
      </c>
      <c r="D1940" s="9" t="s">
        <v>5333</v>
      </c>
      <c r="E1940" s="7" t="s">
        <v>5268</v>
      </c>
      <c r="F1940" s="7" t="s">
        <v>3938</v>
      </c>
      <c r="G1940" s="7" t="s">
        <v>5334</v>
      </c>
      <c r="H1940" s="7">
        <v>7.8E-2</v>
      </c>
      <c r="I1940" s="7">
        <v>18</v>
      </c>
      <c r="J1940" s="7">
        <v>800</v>
      </c>
      <c r="K1940" s="7">
        <v>600</v>
      </c>
      <c r="L1940" s="7">
        <v>150</v>
      </c>
      <c r="M1940" s="7">
        <v>30</v>
      </c>
      <c r="N1940" s="7">
        <v>60</v>
      </c>
      <c r="O1940" s="7">
        <v>100</v>
      </c>
      <c r="P1940" s="7">
        <v>225</v>
      </c>
    </row>
    <row r="1941" spans="1:16" s="10" customFormat="1">
      <c r="A1941" s="7">
        <f>IF(B1941="","",SUBTOTAL(103,$B$2:B1941))</f>
        <v>1940</v>
      </c>
      <c r="B1941" s="8" t="s">
        <v>5265</v>
      </c>
      <c r="C1941" s="7" t="s">
        <v>5335</v>
      </c>
      <c r="D1941" s="9" t="s">
        <v>5336</v>
      </c>
      <c r="E1941" s="7" t="s">
        <v>5268</v>
      </c>
      <c r="F1941" s="7" t="s">
        <v>1225</v>
      </c>
      <c r="G1941" s="7" t="s">
        <v>5337</v>
      </c>
      <c r="H1941" s="7">
        <v>0.28299999999999997</v>
      </c>
      <c r="I1941" s="7">
        <v>24</v>
      </c>
      <c r="J1941" s="7">
        <v>800</v>
      </c>
      <c r="K1941" s="7">
        <v>600</v>
      </c>
      <c r="L1941" s="7">
        <v>150</v>
      </c>
      <c r="M1941" s="7">
        <v>30</v>
      </c>
      <c r="N1941" s="7">
        <v>60</v>
      </c>
      <c r="O1941" s="7">
        <v>75</v>
      </c>
      <c r="P1941" s="7">
        <v>185</v>
      </c>
    </row>
    <row r="1942" spans="1:16" s="10" customFormat="1">
      <c r="A1942" s="7">
        <f>IF(B1942="","",SUBTOTAL(103,$B$2:B1942))</f>
        <v>1941</v>
      </c>
      <c r="B1942" s="8" t="s">
        <v>5265</v>
      </c>
      <c r="C1942" s="7" t="s">
        <v>5335</v>
      </c>
      <c r="D1942" s="9" t="s">
        <v>5338</v>
      </c>
      <c r="E1942" s="7" t="s">
        <v>5268</v>
      </c>
      <c r="F1942" s="7" t="s">
        <v>1228</v>
      </c>
      <c r="G1942" s="7" t="s">
        <v>5339</v>
      </c>
      <c r="H1942" s="7">
        <v>0.28299999999999997</v>
      </c>
      <c r="I1942" s="7">
        <v>24</v>
      </c>
      <c r="J1942" s="7">
        <v>800</v>
      </c>
      <c r="K1942" s="7">
        <v>600</v>
      </c>
      <c r="L1942" s="7">
        <v>150</v>
      </c>
      <c r="M1942" s="7">
        <v>30</v>
      </c>
      <c r="N1942" s="7">
        <v>60</v>
      </c>
      <c r="O1942" s="7">
        <v>75</v>
      </c>
      <c r="P1942" s="7">
        <v>185</v>
      </c>
    </row>
    <row r="1943" spans="1:16" s="10" customFormat="1">
      <c r="A1943" s="7">
        <f>IF(B1943="","",SUBTOTAL(103,$B$2:B1943))</f>
        <v>1942</v>
      </c>
      <c r="B1943" s="8" t="s">
        <v>5265</v>
      </c>
      <c r="C1943" s="7" t="s">
        <v>5340</v>
      </c>
      <c r="D1943" s="9" t="s">
        <v>5341</v>
      </c>
      <c r="E1943" s="7" t="s">
        <v>5268</v>
      </c>
      <c r="F1943" s="7" t="s">
        <v>3950</v>
      </c>
      <c r="G1943" s="7" t="s">
        <v>5342</v>
      </c>
      <c r="H1943" s="7">
        <v>0.26800000000000002</v>
      </c>
      <c r="I1943" s="7">
        <v>24</v>
      </c>
      <c r="J1943" s="7">
        <v>800</v>
      </c>
      <c r="K1943" s="7">
        <v>600</v>
      </c>
      <c r="L1943" s="7">
        <v>150</v>
      </c>
      <c r="M1943" s="7">
        <v>30</v>
      </c>
      <c r="N1943" s="7">
        <v>60</v>
      </c>
      <c r="O1943" s="7">
        <v>75</v>
      </c>
      <c r="P1943" s="7">
        <v>185</v>
      </c>
    </row>
    <row r="1944" spans="1:16" s="10" customFormat="1">
      <c r="A1944" s="7">
        <f>IF(B1944="","",SUBTOTAL(103,$B$2:B1944))</f>
        <v>1943</v>
      </c>
      <c r="B1944" s="8" t="s">
        <v>5265</v>
      </c>
      <c r="C1944" s="7" t="s">
        <v>5340</v>
      </c>
      <c r="D1944" s="9" t="s">
        <v>5343</v>
      </c>
      <c r="E1944" s="7" t="s">
        <v>5268</v>
      </c>
      <c r="F1944" s="7" t="s">
        <v>3953</v>
      </c>
      <c r="G1944" s="7" t="s">
        <v>5344</v>
      </c>
      <c r="H1944" s="7">
        <v>0.28000000000000003</v>
      </c>
      <c r="I1944" s="7">
        <v>24</v>
      </c>
      <c r="J1944" s="7">
        <v>800</v>
      </c>
      <c r="K1944" s="7">
        <v>600</v>
      </c>
      <c r="L1944" s="7">
        <v>150</v>
      </c>
      <c r="M1944" s="7">
        <v>30</v>
      </c>
      <c r="N1944" s="7">
        <v>60</v>
      </c>
      <c r="O1944" s="7">
        <v>75</v>
      </c>
      <c r="P1944" s="7">
        <v>185</v>
      </c>
    </row>
    <row r="1945" spans="1:16" s="10" customFormat="1">
      <c r="A1945" s="7">
        <f>IF(B1945="","",SUBTOTAL(103,$B$2:B1945))</f>
        <v>1944</v>
      </c>
      <c r="B1945" s="8" t="s">
        <v>5265</v>
      </c>
      <c r="C1945" s="7" t="s">
        <v>5345</v>
      </c>
      <c r="D1945" s="9" t="s">
        <v>5346</v>
      </c>
      <c r="E1945" s="7" t="s">
        <v>5268</v>
      </c>
      <c r="F1945" s="7" t="s">
        <v>1232</v>
      </c>
      <c r="G1945" s="7" t="s">
        <v>5347</v>
      </c>
      <c r="H1945" s="7">
        <v>0.26300000000000001</v>
      </c>
      <c r="I1945" s="7">
        <v>18</v>
      </c>
      <c r="J1945" s="7">
        <v>800</v>
      </c>
      <c r="K1945" s="7">
        <v>600</v>
      </c>
      <c r="L1945" s="7">
        <v>150</v>
      </c>
      <c r="M1945" s="7">
        <v>30</v>
      </c>
      <c r="N1945" s="7">
        <v>60</v>
      </c>
      <c r="O1945" s="7">
        <v>100</v>
      </c>
      <c r="P1945" s="7">
        <v>185</v>
      </c>
    </row>
    <row r="1946" spans="1:16" s="10" customFormat="1">
      <c r="A1946" s="7">
        <f>IF(B1946="","",SUBTOTAL(103,$B$2:B1946))</f>
        <v>1945</v>
      </c>
      <c r="B1946" s="8" t="s">
        <v>5265</v>
      </c>
      <c r="C1946" s="7" t="s">
        <v>5345</v>
      </c>
      <c r="D1946" s="9" t="s">
        <v>5348</v>
      </c>
      <c r="E1946" s="7" t="s">
        <v>5268</v>
      </c>
      <c r="F1946" s="7" t="s">
        <v>1235</v>
      </c>
      <c r="G1946" s="7" t="s">
        <v>5349</v>
      </c>
      <c r="H1946" s="7">
        <v>0.26300000000000001</v>
      </c>
      <c r="I1946" s="7">
        <v>18</v>
      </c>
      <c r="J1946" s="7">
        <v>800</v>
      </c>
      <c r="K1946" s="7">
        <v>600</v>
      </c>
      <c r="L1946" s="7">
        <v>150</v>
      </c>
      <c r="M1946" s="7">
        <v>30</v>
      </c>
      <c r="N1946" s="7">
        <v>60</v>
      </c>
      <c r="O1946" s="7">
        <v>100</v>
      </c>
      <c r="P1946" s="7">
        <v>185</v>
      </c>
    </row>
    <row r="1947" spans="1:16" s="10" customFormat="1">
      <c r="A1947" s="7">
        <f>IF(B1947="","",SUBTOTAL(103,$B$2:B1947))</f>
        <v>1946</v>
      </c>
      <c r="B1947" s="8" t="s">
        <v>5265</v>
      </c>
      <c r="C1947" s="7" t="s">
        <v>5350</v>
      </c>
      <c r="D1947" s="9" t="s">
        <v>5351</v>
      </c>
      <c r="E1947" s="7" t="s">
        <v>5268</v>
      </c>
      <c r="F1947" s="7" t="s">
        <v>3976</v>
      </c>
      <c r="G1947" s="7" t="s">
        <v>5352</v>
      </c>
      <c r="H1947" s="7">
        <v>0.23899999999999999</v>
      </c>
      <c r="I1947" s="7">
        <v>24</v>
      </c>
      <c r="J1947" s="7">
        <v>800</v>
      </c>
      <c r="K1947" s="7">
        <v>600</v>
      </c>
      <c r="L1947" s="7">
        <v>150</v>
      </c>
      <c r="M1947" s="7">
        <v>30</v>
      </c>
      <c r="N1947" s="7">
        <v>60</v>
      </c>
      <c r="O1947" s="7">
        <v>75</v>
      </c>
      <c r="P1947" s="7">
        <v>185</v>
      </c>
    </row>
    <row r="1948" spans="1:16" s="10" customFormat="1">
      <c r="A1948" s="7">
        <f>IF(B1948="","",SUBTOTAL(103,$B$2:B1948))</f>
        <v>1947</v>
      </c>
      <c r="B1948" s="8" t="s">
        <v>5265</v>
      </c>
      <c r="C1948" s="7" t="s">
        <v>5350</v>
      </c>
      <c r="D1948" s="9" t="s">
        <v>5353</v>
      </c>
      <c r="E1948" s="7" t="s">
        <v>5268</v>
      </c>
      <c r="F1948" s="7" t="s">
        <v>3979</v>
      </c>
      <c r="G1948" s="7" t="s">
        <v>5354</v>
      </c>
      <c r="H1948" s="7">
        <v>0.23899999999999999</v>
      </c>
      <c r="I1948" s="7">
        <v>24</v>
      </c>
      <c r="J1948" s="7">
        <v>800</v>
      </c>
      <c r="K1948" s="7">
        <v>600</v>
      </c>
      <c r="L1948" s="7">
        <v>150</v>
      </c>
      <c r="M1948" s="7">
        <v>30</v>
      </c>
      <c r="N1948" s="7">
        <v>60</v>
      </c>
      <c r="O1948" s="7">
        <v>75</v>
      </c>
      <c r="P1948" s="7">
        <v>185</v>
      </c>
    </row>
    <row r="1949" spans="1:16" s="10" customFormat="1">
      <c r="A1949" s="7">
        <f>IF(B1949="","",SUBTOTAL(103,$B$2:B1949))</f>
        <v>1948</v>
      </c>
      <c r="B1949" s="8" t="s">
        <v>5265</v>
      </c>
      <c r="C1949" s="7" t="s">
        <v>5355</v>
      </c>
      <c r="D1949" s="9" t="s">
        <v>5356</v>
      </c>
      <c r="E1949" s="7" t="s">
        <v>5268</v>
      </c>
      <c r="F1949" s="7" t="s">
        <v>1239</v>
      </c>
      <c r="G1949" s="7" t="s">
        <v>5357</v>
      </c>
      <c r="H1949" s="7">
        <v>0.48099999999999998</v>
      </c>
      <c r="I1949" s="7">
        <v>12</v>
      </c>
      <c r="J1949" s="7">
        <v>800</v>
      </c>
      <c r="K1949" s="7">
        <v>600</v>
      </c>
      <c r="L1949" s="7">
        <v>150</v>
      </c>
      <c r="M1949" s="7">
        <v>30</v>
      </c>
      <c r="N1949" s="7">
        <v>60</v>
      </c>
      <c r="O1949" s="7">
        <v>150</v>
      </c>
      <c r="P1949" s="7">
        <v>325</v>
      </c>
    </row>
    <row r="1950" spans="1:16" s="10" customFormat="1">
      <c r="A1950" s="7">
        <f>IF(B1950="","",SUBTOTAL(103,$B$2:B1950))</f>
        <v>1949</v>
      </c>
      <c r="B1950" s="8" t="s">
        <v>5265</v>
      </c>
      <c r="C1950" s="7" t="s">
        <v>5355</v>
      </c>
      <c r="D1950" s="9" t="s">
        <v>5358</v>
      </c>
      <c r="E1950" s="7" t="s">
        <v>5268</v>
      </c>
      <c r="F1950" s="7" t="s">
        <v>1242</v>
      </c>
      <c r="G1950" s="7" t="s">
        <v>5359</v>
      </c>
      <c r="H1950" s="7">
        <v>0.48099999999999998</v>
      </c>
      <c r="I1950" s="7">
        <v>12</v>
      </c>
      <c r="J1950" s="7">
        <v>800</v>
      </c>
      <c r="K1950" s="7">
        <v>600</v>
      </c>
      <c r="L1950" s="7">
        <v>150</v>
      </c>
      <c r="M1950" s="7">
        <v>30</v>
      </c>
      <c r="N1950" s="7">
        <v>60</v>
      </c>
      <c r="O1950" s="7">
        <v>150</v>
      </c>
      <c r="P1950" s="7">
        <v>325</v>
      </c>
    </row>
    <row r="1951" spans="1:16" s="10" customFormat="1">
      <c r="A1951" s="7">
        <f>IF(B1951="","",SUBTOTAL(103,$B$2:B1951))</f>
        <v>1950</v>
      </c>
      <c r="B1951" s="8" t="s">
        <v>5265</v>
      </c>
      <c r="C1951" s="7" t="s">
        <v>5360</v>
      </c>
      <c r="D1951" s="9" t="s">
        <v>5361</v>
      </c>
      <c r="E1951" s="7" t="s">
        <v>5268</v>
      </c>
      <c r="F1951" s="7" t="s">
        <v>3988</v>
      </c>
      <c r="G1951" s="7" t="s">
        <v>5362</v>
      </c>
      <c r="H1951" s="7">
        <v>0.56999999999999995</v>
      </c>
      <c r="I1951" s="7">
        <v>12</v>
      </c>
      <c r="J1951" s="7">
        <v>800</v>
      </c>
      <c r="K1951" s="7">
        <v>600</v>
      </c>
      <c r="L1951" s="7">
        <v>150</v>
      </c>
      <c r="M1951" s="7">
        <v>30</v>
      </c>
      <c r="N1951" s="7">
        <v>60</v>
      </c>
      <c r="O1951" s="7">
        <v>150</v>
      </c>
      <c r="P1951" s="7">
        <v>325</v>
      </c>
    </row>
    <row r="1952" spans="1:16" s="10" customFormat="1">
      <c r="A1952" s="7">
        <f>IF(B1952="","",SUBTOTAL(103,$B$2:B1952))</f>
        <v>1951</v>
      </c>
      <c r="B1952" s="8" t="s">
        <v>5265</v>
      </c>
      <c r="C1952" s="7" t="s">
        <v>5360</v>
      </c>
      <c r="D1952" s="9" t="s">
        <v>5363</v>
      </c>
      <c r="E1952" s="7" t="s">
        <v>5268</v>
      </c>
      <c r="F1952" s="7" t="s">
        <v>3991</v>
      </c>
      <c r="G1952" s="7" t="s">
        <v>5364</v>
      </c>
      <c r="H1952" s="7">
        <v>0.56999999999999995</v>
      </c>
      <c r="I1952" s="7">
        <v>12</v>
      </c>
      <c r="J1952" s="7">
        <v>800</v>
      </c>
      <c r="K1952" s="7">
        <v>600</v>
      </c>
      <c r="L1952" s="7">
        <v>150</v>
      </c>
      <c r="M1952" s="7">
        <v>30</v>
      </c>
      <c r="N1952" s="7">
        <v>60</v>
      </c>
      <c r="O1952" s="7">
        <v>150</v>
      </c>
      <c r="P1952" s="7">
        <v>325</v>
      </c>
    </row>
    <row r="1953" spans="1:16" s="10" customFormat="1">
      <c r="A1953" s="7">
        <f>IF(B1953="","",SUBTOTAL(103,$B$2:B1953))</f>
        <v>1952</v>
      </c>
      <c r="B1953" s="8" t="s">
        <v>5265</v>
      </c>
      <c r="C1953" s="7" t="s">
        <v>5365</v>
      </c>
      <c r="D1953" s="9" t="s">
        <v>5366</v>
      </c>
      <c r="E1953" s="7" t="s">
        <v>5268</v>
      </c>
      <c r="F1953" s="7" t="s">
        <v>1246</v>
      </c>
      <c r="G1953" s="7" t="s">
        <v>5367</v>
      </c>
      <c r="H1953" s="7">
        <v>0.56999999999999995</v>
      </c>
      <c r="I1953" s="7">
        <v>12</v>
      </c>
      <c r="J1953" s="7">
        <v>800</v>
      </c>
      <c r="K1953" s="7">
        <v>600</v>
      </c>
      <c r="L1953" s="7">
        <v>150</v>
      </c>
      <c r="M1953" s="7">
        <v>30</v>
      </c>
      <c r="N1953" s="7">
        <v>60</v>
      </c>
      <c r="O1953" s="7">
        <v>150</v>
      </c>
      <c r="P1953" s="7">
        <v>325</v>
      </c>
    </row>
    <row r="1954" spans="1:16" s="10" customFormat="1">
      <c r="A1954" s="7">
        <f>IF(B1954="","",SUBTOTAL(103,$B$2:B1954))</f>
        <v>1953</v>
      </c>
      <c r="B1954" s="8" t="s">
        <v>5265</v>
      </c>
      <c r="C1954" s="7" t="s">
        <v>5365</v>
      </c>
      <c r="D1954" s="9" t="s">
        <v>5368</v>
      </c>
      <c r="E1954" s="7" t="s">
        <v>5268</v>
      </c>
      <c r="F1954" s="7" t="s">
        <v>1249</v>
      </c>
      <c r="G1954" s="7" t="s">
        <v>5369</v>
      </c>
      <c r="H1954" s="7">
        <v>0.56999999999999995</v>
      </c>
      <c r="I1954" s="7">
        <v>12</v>
      </c>
      <c r="J1954" s="7">
        <v>800</v>
      </c>
      <c r="K1954" s="7">
        <v>600</v>
      </c>
      <c r="L1954" s="7">
        <v>150</v>
      </c>
      <c r="M1954" s="7">
        <v>30</v>
      </c>
      <c r="N1954" s="7">
        <v>60</v>
      </c>
      <c r="O1954" s="7">
        <v>150</v>
      </c>
      <c r="P1954" s="7">
        <v>325</v>
      </c>
    </row>
    <row r="1955" spans="1:16" s="10" customFormat="1">
      <c r="A1955" s="7">
        <f>IF(B1955="","",SUBTOTAL(103,$B$2:B1955))</f>
        <v>1954</v>
      </c>
      <c r="B1955" s="8" t="s">
        <v>5265</v>
      </c>
      <c r="C1955" s="7" t="s">
        <v>5370</v>
      </c>
      <c r="D1955" s="9" t="s">
        <v>5371</v>
      </c>
      <c r="E1955" s="7" t="s">
        <v>5268</v>
      </c>
      <c r="F1955" s="7" t="s">
        <v>1253</v>
      </c>
      <c r="G1955" s="7" t="s">
        <v>5372</v>
      </c>
      <c r="H1955" s="7">
        <v>0.55000000000000004</v>
      </c>
      <c r="I1955" s="7">
        <v>8</v>
      </c>
      <c r="J1955" s="7">
        <v>800</v>
      </c>
      <c r="K1955" s="7">
        <v>600</v>
      </c>
      <c r="L1955" s="7">
        <v>150</v>
      </c>
      <c r="M1955" s="7">
        <v>30</v>
      </c>
      <c r="N1955" s="7">
        <v>60</v>
      </c>
      <c r="O1955" s="7">
        <v>225</v>
      </c>
      <c r="P1955" s="7">
        <v>250</v>
      </c>
    </row>
    <row r="1956" spans="1:16" s="10" customFormat="1">
      <c r="A1956" s="7">
        <f>IF(B1956="","",SUBTOTAL(103,$B$2:B1956))</f>
        <v>1955</v>
      </c>
      <c r="B1956" s="8" t="s">
        <v>5265</v>
      </c>
      <c r="C1956" s="7" t="s">
        <v>5370</v>
      </c>
      <c r="D1956" s="9" t="s">
        <v>5373</v>
      </c>
      <c r="E1956" s="7" t="s">
        <v>5268</v>
      </c>
      <c r="F1956" s="7" t="s">
        <v>1256</v>
      </c>
      <c r="G1956" s="7" t="s">
        <v>5374</v>
      </c>
      <c r="H1956" s="7">
        <v>0.55000000000000004</v>
      </c>
      <c r="I1956" s="7">
        <v>8</v>
      </c>
      <c r="J1956" s="7">
        <v>800</v>
      </c>
      <c r="K1956" s="7">
        <v>600</v>
      </c>
      <c r="L1956" s="7">
        <v>150</v>
      </c>
      <c r="M1956" s="7">
        <v>30</v>
      </c>
      <c r="N1956" s="7">
        <v>60</v>
      </c>
      <c r="O1956" s="7">
        <v>225</v>
      </c>
      <c r="P1956" s="7">
        <v>250</v>
      </c>
    </row>
    <row r="1957" spans="1:16" s="10" customFormat="1">
      <c r="A1957" s="7">
        <f>IF(B1957="","",SUBTOTAL(103,$B$2:B1957))</f>
        <v>1956</v>
      </c>
      <c r="B1957" s="8" t="s">
        <v>5265</v>
      </c>
      <c r="C1957" s="7" t="s">
        <v>5375</v>
      </c>
      <c r="D1957" s="9" t="s">
        <v>5376</v>
      </c>
      <c r="E1957" s="7" t="s">
        <v>5268</v>
      </c>
      <c r="F1957" s="7" t="s">
        <v>4012</v>
      </c>
      <c r="G1957" s="7" t="s">
        <v>5377</v>
      </c>
      <c r="H1957" s="7">
        <v>0.45</v>
      </c>
      <c r="I1957" s="7">
        <v>12</v>
      </c>
      <c r="J1957" s="7">
        <v>800</v>
      </c>
      <c r="K1957" s="7">
        <v>600</v>
      </c>
      <c r="L1957" s="7">
        <v>150</v>
      </c>
      <c r="M1957" s="7">
        <v>30</v>
      </c>
      <c r="N1957" s="7">
        <v>60</v>
      </c>
      <c r="O1957" s="7">
        <v>150</v>
      </c>
      <c r="P1957" s="7">
        <v>325</v>
      </c>
    </row>
    <row r="1958" spans="1:16" s="10" customFormat="1">
      <c r="A1958" s="7">
        <f>IF(B1958="","",SUBTOTAL(103,$B$2:B1958))</f>
        <v>1957</v>
      </c>
      <c r="B1958" s="8" t="s">
        <v>5265</v>
      </c>
      <c r="C1958" s="7" t="s">
        <v>5375</v>
      </c>
      <c r="D1958" s="9" t="s">
        <v>5378</v>
      </c>
      <c r="E1958" s="7" t="s">
        <v>5268</v>
      </c>
      <c r="F1958" s="7" t="s">
        <v>4015</v>
      </c>
      <c r="G1958" s="7" t="s">
        <v>5379</v>
      </c>
      <c r="H1958" s="7">
        <v>0.45</v>
      </c>
      <c r="I1958" s="7">
        <v>12</v>
      </c>
      <c r="J1958" s="7">
        <v>800</v>
      </c>
      <c r="K1958" s="7">
        <v>600</v>
      </c>
      <c r="L1958" s="7">
        <v>150</v>
      </c>
      <c r="M1958" s="7">
        <v>30</v>
      </c>
      <c r="N1958" s="7">
        <v>60</v>
      </c>
      <c r="O1958" s="7">
        <v>150</v>
      </c>
      <c r="P1958" s="7">
        <v>325</v>
      </c>
    </row>
    <row r="1959" spans="1:16" s="10" customFormat="1">
      <c r="A1959" s="7">
        <f>IF(B1959="","",SUBTOTAL(103,$B$2:B1959))</f>
        <v>1958</v>
      </c>
      <c r="B1959" s="8" t="s">
        <v>5265</v>
      </c>
      <c r="C1959" s="7" t="s">
        <v>5380</v>
      </c>
      <c r="D1959" s="9" t="s">
        <v>5381</v>
      </c>
      <c r="E1959" s="7" t="s">
        <v>5268</v>
      </c>
      <c r="F1959" s="7" t="s">
        <v>5382</v>
      </c>
      <c r="G1959" s="7" t="s">
        <v>5383</v>
      </c>
      <c r="H1959" s="7">
        <v>0.84</v>
      </c>
      <c r="I1959" s="7">
        <v>3</v>
      </c>
      <c r="J1959" s="7">
        <v>800</v>
      </c>
      <c r="K1959" s="7">
        <v>600</v>
      </c>
      <c r="L1959" s="7">
        <v>150</v>
      </c>
      <c r="M1959" s="7">
        <v>30</v>
      </c>
      <c r="N1959" s="7">
        <v>60</v>
      </c>
      <c r="O1959" s="7">
        <v>650</v>
      </c>
      <c r="P1959" s="7">
        <v>675</v>
      </c>
    </row>
    <row r="1960" spans="1:16" s="10" customFormat="1">
      <c r="A1960" s="7">
        <f>IF(B1960="","",SUBTOTAL(103,$B$2:B1960))</f>
        <v>1959</v>
      </c>
      <c r="B1960" s="8" t="s">
        <v>5265</v>
      </c>
      <c r="C1960" s="7" t="s">
        <v>5380</v>
      </c>
      <c r="D1960" s="9" t="s">
        <v>5384</v>
      </c>
      <c r="E1960" s="7" t="s">
        <v>5268</v>
      </c>
      <c r="F1960" s="7" t="s">
        <v>4029</v>
      </c>
      <c r="G1960" s="7" t="s">
        <v>5385</v>
      </c>
      <c r="H1960" s="7">
        <v>0.84</v>
      </c>
      <c r="I1960" s="7">
        <v>3</v>
      </c>
      <c r="J1960" s="7">
        <v>800</v>
      </c>
      <c r="K1960" s="7">
        <v>600</v>
      </c>
      <c r="L1960" s="7">
        <v>150</v>
      </c>
      <c r="M1960" s="7">
        <v>30</v>
      </c>
      <c r="N1960" s="7">
        <v>60</v>
      </c>
      <c r="O1960" s="7">
        <v>650</v>
      </c>
      <c r="P1960" s="7">
        <v>675</v>
      </c>
    </row>
    <row r="1961" spans="1:16" s="10" customFormat="1">
      <c r="A1961" s="7">
        <f>IF(B1961="","",SUBTOTAL(103,$B$2:B1961))</f>
        <v>1960</v>
      </c>
      <c r="B1961" s="8" t="s">
        <v>5265</v>
      </c>
      <c r="C1961" s="7" t="s">
        <v>5386</v>
      </c>
      <c r="D1961" s="9" t="s">
        <v>5387</v>
      </c>
      <c r="E1961" s="7" t="s">
        <v>5268</v>
      </c>
      <c r="F1961" s="7" t="s">
        <v>5388</v>
      </c>
      <c r="G1961" s="7" t="s">
        <v>5389</v>
      </c>
      <c r="H1961" s="7">
        <v>0.84899999999999998</v>
      </c>
      <c r="I1961" s="7">
        <v>6</v>
      </c>
      <c r="J1961" s="7">
        <v>800</v>
      </c>
      <c r="K1961" s="7">
        <v>600</v>
      </c>
      <c r="L1961" s="7">
        <v>150</v>
      </c>
      <c r="M1961" s="7">
        <v>30</v>
      </c>
      <c r="N1961" s="7">
        <v>60</v>
      </c>
      <c r="O1961" s="7">
        <v>310</v>
      </c>
      <c r="P1961" s="7">
        <v>350</v>
      </c>
    </row>
    <row r="1962" spans="1:16" s="10" customFormat="1">
      <c r="A1962" s="7">
        <f>IF(B1962="","",SUBTOTAL(103,$B$2:B1962))</f>
        <v>1961</v>
      </c>
      <c r="B1962" s="8" t="s">
        <v>5265</v>
      </c>
      <c r="C1962" s="7" t="s">
        <v>5386</v>
      </c>
      <c r="D1962" s="9" t="s">
        <v>5390</v>
      </c>
      <c r="E1962" s="7" t="s">
        <v>5268</v>
      </c>
      <c r="F1962" s="7" t="s">
        <v>4043</v>
      </c>
      <c r="G1962" s="7" t="s">
        <v>5391</v>
      </c>
      <c r="H1962" s="7">
        <v>0.84899999999999998</v>
      </c>
      <c r="I1962" s="7">
        <v>6</v>
      </c>
      <c r="J1962" s="7">
        <v>800</v>
      </c>
      <c r="K1962" s="7">
        <v>600</v>
      </c>
      <c r="L1962" s="7">
        <v>150</v>
      </c>
      <c r="M1962" s="7">
        <v>30</v>
      </c>
      <c r="N1962" s="7">
        <v>60</v>
      </c>
      <c r="O1962" s="7">
        <v>310</v>
      </c>
      <c r="P1962" s="7">
        <v>350</v>
      </c>
    </row>
    <row r="1963" spans="1:16" s="10" customFormat="1">
      <c r="A1963" s="7">
        <f>IF(B1963="","",SUBTOTAL(103,$B$2:B1963))</f>
        <v>1962</v>
      </c>
      <c r="B1963" s="8" t="s">
        <v>5265</v>
      </c>
      <c r="C1963" s="7" t="s">
        <v>5392</v>
      </c>
      <c r="D1963" s="9" t="s">
        <v>5393</v>
      </c>
      <c r="E1963" s="7" t="s">
        <v>5268</v>
      </c>
      <c r="F1963" s="7" t="s">
        <v>5394</v>
      </c>
      <c r="G1963" s="7" t="s">
        <v>5395</v>
      </c>
      <c r="H1963" s="7">
        <v>0.93</v>
      </c>
      <c r="I1963" s="7">
        <v>6</v>
      </c>
      <c r="J1963" s="7">
        <v>800</v>
      </c>
      <c r="K1963" s="7">
        <v>600</v>
      </c>
      <c r="L1963" s="7">
        <v>150</v>
      </c>
      <c r="M1963" s="7">
        <v>30</v>
      </c>
      <c r="N1963" s="7">
        <v>60</v>
      </c>
      <c r="O1963" s="7">
        <v>310</v>
      </c>
      <c r="P1963" s="7">
        <v>350</v>
      </c>
    </row>
    <row r="1964" spans="1:16" s="10" customFormat="1">
      <c r="A1964" s="7">
        <f>IF(B1964="","",SUBTOTAL(103,$B$2:B1964))</f>
        <v>1963</v>
      </c>
      <c r="B1964" s="8" t="s">
        <v>5265</v>
      </c>
      <c r="C1964" s="7" t="s">
        <v>5396</v>
      </c>
      <c r="D1964" s="9" t="s">
        <v>5397</v>
      </c>
      <c r="E1964" s="7" t="s">
        <v>5268</v>
      </c>
      <c r="F1964" s="7" t="s">
        <v>5398</v>
      </c>
      <c r="G1964" s="7" t="s">
        <v>5399</v>
      </c>
      <c r="H1964" s="7">
        <v>0.81599999999999995</v>
      </c>
      <c r="I1964" s="7">
        <v>3</v>
      </c>
      <c r="J1964" s="7">
        <v>800</v>
      </c>
      <c r="K1964" s="7">
        <v>600</v>
      </c>
      <c r="L1964" s="7">
        <v>150</v>
      </c>
      <c r="M1964" s="7">
        <v>30</v>
      </c>
      <c r="N1964" s="7">
        <v>60</v>
      </c>
      <c r="O1964" s="7">
        <v>650</v>
      </c>
      <c r="P1964" s="7">
        <v>675</v>
      </c>
    </row>
    <row r="1965" spans="1:16" s="10" customFormat="1">
      <c r="A1965" s="7">
        <f>IF(B1965="","",SUBTOTAL(103,$B$2:B1965))</f>
        <v>1964</v>
      </c>
      <c r="B1965" s="8" t="s">
        <v>5265</v>
      </c>
      <c r="C1965" s="7" t="s">
        <v>5396</v>
      </c>
      <c r="D1965" s="9" t="s">
        <v>5400</v>
      </c>
      <c r="E1965" s="7" t="s">
        <v>5268</v>
      </c>
      <c r="F1965" s="7" t="s">
        <v>4057</v>
      </c>
      <c r="G1965" s="7" t="s">
        <v>5401</v>
      </c>
      <c r="H1965" s="7">
        <v>0.84899999999999998</v>
      </c>
      <c r="I1965" s="7">
        <v>3</v>
      </c>
      <c r="J1965" s="7">
        <v>800</v>
      </c>
      <c r="K1965" s="7">
        <v>600</v>
      </c>
      <c r="L1965" s="7">
        <v>150</v>
      </c>
      <c r="M1965" s="7">
        <v>30</v>
      </c>
      <c r="N1965" s="7">
        <v>60</v>
      </c>
      <c r="O1965" s="7">
        <v>650</v>
      </c>
      <c r="P1965" s="7">
        <v>675</v>
      </c>
    </row>
    <row r="1966" spans="1:16" s="10" customFormat="1">
      <c r="A1966" s="7">
        <f>IF(B1966="","",SUBTOTAL(103,$B$2:B1966))</f>
        <v>1965</v>
      </c>
      <c r="B1966" s="8" t="s">
        <v>5265</v>
      </c>
      <c r="C1966" s="7" t="s">
        <v>5402</v>
      </c>
      <c r="D1966" s="9" t="s">
        <v>5403</v>
      </c>
      <c r="E1966" s="7" t="s">
        <v>5268</v>
      </c>
      <c r="F1966" s="7" t="s">
        <v>5404</v>
      </c>
      <c r="G1966" s="7" t="s">
        <v>5405</v>
      </c>
      <c r="H1966" s="7">
        <v>0.91</v>
      </c>
      <c r="I1966" s="7">
        <v>3</v>
      </c>
      <c r="J1966" s="7">
        <v>800</v>
      </c>
      <c r="K1966" s="7">
        <v>600</v>
      </c>
      <c r="L1966" s="7">
        <v>150</v>
      </c>
      <c r="M1966" s="7">
        <v>30</v>
      </c>
      <c r="N1966" s="7">
        <v>60</v>
      </c>
      <c r="O1966" s="7">
        <v>650</v>
      </c>
      <c r="P1966" s="7">
        <v>675</v>
      </c>
    </row>
    <row r="1967" spans="1:16" s="10" customFormat="1">
      <c r="A1967" s="7">
        <f>IF(B1967="","",SUBTOTAL(103,$B$2:B1967))</f>
        <v>1966</v>
      </c>
      <c r="B1967" s="8" t="s">
        <v>5265</v>
      </c>
      <c r="C1967" s="7" t="s">
        <v>5402</v>
      </c>
      <c r="D1967" s="9" t="s">
        <v>5406</v>
      </c>
      <c r="E1967" s="7" t="s">
        <v>5268</v>
      </c>
      <c r="F1967" s="7" t="s">
        <v>4071</v>
      </c>
      <c r="G1967" s="7" t="s">
        <v>5407</v>
      </c>
      <c r="H1967" s="7">
        <v>0.91</v>
      </c>
      <c r="I1967" s="7">
        <v>3</v>
      </c>
      <c r="J1967" s="7">
        <v>800</v>
      </c>
      <c r="K1967" s="7">
        <v>600</v>
      </c>
      <c r="L1967" s="7">
        <v>150</v>
      </c>
      <c r="M1967" s="7">
        <v>30</v>
      </c>
      <c r="N1967" s="7">
        <v>60</v>
      </c>
      <c r="O1967" s="7">
        <v>650</v>
      </c>
      <c r="P1967" s="7">
        <v>675</v>
      </c>
    </row>
    <row r="1968" spans="1:16" s="10" customFormat="1">
      <c r="A1968" s="7">
        <f>IF(B1968="","",SUBTOTAL(103,$B$2:B1968))</f>
        <v>1967</v>
      </c>
      <c r="B1968" s="8" t="s">
        <v>5265</v>
      </c>
      <c r="C1968" s="7" t="s">
        <v>5408</v>
      </c>
      <c r="D1968" s="9" t="s">
        <v>5409</v>
      </c>
      <c r="E1968" s="7" t="s">
        <v>5268</v>
      </c>
      <c r="F1968" s="7" t="s">
        <v>4078</v>
      </c>
      <c r="G1968" s="7" t="s">
        <v>5410</v>
      </c>
      <c r="H1968" s="7">
        <v>0.91</v>
      </c>
      <c r="I1968" s="7">
        <v>2</v>
      </c>
      <c r="J1968" s="7">
        <v>800</v>
      </c>
      <c r="K1968" s="7">
        <v>600</v>
      </c>
      <c r="L1968" s="7">
        <v>150</v>
      </c>
      <c r="M1968" s="7">
        <v>30</v>
      </c>
      <c r="N1968" s="7">
        <v>60</v>
      </c>
      <c r="O1968" s="7">
        <v>1000</v>
      </c>
      <c r="P1968" s="7">
        <v>1100</v>
      </c>
    </row>
    <row r="1969" spans="1:16" s="10" customFormat="1">
      <c r="A1969" s="7">
        <f>IF(B1969="","",SUBTOTAL(103,$B$2:B1969))</f>
        <v>1968</v>
      </c>
      <c r="B1969" s="8" t="s">
        <v>5265</v>
      </c>
      <c r="C1969" s="7" t="s">
        <v>5408</v>
      </c>
      <c r="D1969" s="9" t="s">
        <v>5411</v>
      </c>
      <c r="E1969" s="7" t="s">
        <v>5268</v>
      </c>
      <c r="F1969" s="7" t="s">
        <v>4075</v>
      </c>
      <c r="G1969" s="7" t="s">
        <v>5412</v>
      </c>
      <c r="H1969" s="7">
        <v>0.91</v>
      </c>
      <c r="I1969" s="7">
        <v>2</v>
      </c>
      <c r="J1969" s="7">
        <v>800</v>
      </c>
      <c r="K1969" s="7">
        <v>600</v>
      </c>
      <c r="L1969" s="7">
        <v>150</v>
      </c>
      <c r="M1969" s="7">
        <v>30</v>
      </c>
      <c r="N1969" s="7">
        <v>60</v>
      </c>
      <c r="O1969" s="7">
        <v>1000</v>
      </c>
      <c r="P1969" s="7">
        <v>1100</v>
      </c>
    </row>
    <row r="1970" spans="1:16" s="10" customFormat="1">
      <c r="A1970" s="7">
        <f>IF(B1970="","",SUBTOTAL(103,$B$2:B1970))</f>
        <v>1969</v>
      </c>
      <c r="B1970" s="8" t="s">
        <v>5265</v>
      </c>
      <c r="C1970" s="7" t="s">
        <v>5413</v>
      </c>
      <c r="D1970" s="9" t="s">
        <v>5414</v>
      </c>
      <c r="E1970" s="7" t="s">
        <v>5268</v>
      </c>
      <c r="F1970" s="7" t="s">
        <v>4088</v>
      </c>
      <c r="G1970" s="7" t="s">
        <v>5415</v>
      </c>
      <c r="H1970" s="7">
        <v>0.128</v>
      </c>
      <c r="I1970" s="7">
        <v>2</v>
      </c>
      <c r="J1970" s="7">
        <v>800</v>
      </c>
      <c r="K1970" s="7">
        <v>600</v>
      </c>
      <c r="L1970" s="7">
        <v>150</v>
      </c>
      <c r="M1970" s="7">
        <v>30</v>
      </c>
      <c r="N1970" s="7">
        <v>60</v>
      </c>
      <c r="O1970" s="7">
        <v>1000</v>
      </c>
      <c r="P1970" s="7">
        <v>1100</v>
      </c>
    </row>
    <row r="1971" spans="1:16" s="10" customFormat="1">
      <c r="A1971" s="7">
        <f>IF(B1971="","",SUBTOTAL(103,$B$2:B1971))</f>
        <v>1970</v>
      </c>
      <c r="B1971" s="8" t="s">
        <v>5265</v>
      </c>
      <c r="C1971" s="7" t="s">
        <v>5413</v>
      </c>
      <c r="D1971" s="9" t="s">
        <v>5416</v>
      </c>
      <c r="E1971" s="7" t="s">
        <v>5268</v>
      </c>
      <c r="F1971" s="7" t="s">
        <v>4091</v>
      </c>
      <c r="G1971" s="7" t="s">
        <v>5417</v>
      </c>
      <c r="H1971" s="7">
        <v>0.128</v>
      </c>
      <c r="I1971" s="7">
        <v>2</v>
      </c>
      <c r="J1971" s="7">
        <v>800</v>
      </c>
      <c r="K1971" s="7">
        <v>600</v>
      </c>
      <c r="L1971" s="7">
        <v>150</v>
      </c>
      <c r="M1971" s="7">
        <v>30</v>
      </c>
      <c r="N1971" s="7">
        <v>60</v>
      </c>
      <c r="O1971" s="7">
        <v>1000</v>
      </c>
      <c r="P1971" s="7">
        <v>1100</v>
      </c>
    </row>
    <row r="1972" spans="1:16" s="10" customFormat="1">
      <c r="A1972" s="7">
        <f>IF(B1972="","",SUBTOTAL(103,$B$2:B1972))</f>
        <v>1971</v>
      </c>
      <c r="B1972" s="8" t="s">
        <v>5265</v>
      </c>
      <c r="C1972" s="7" t="s">
        <v>5418</v>
      </c>
      <c r="D1972" s="9" t="s">
        <v>5419</v>
      </c>
      <c r="E1972" s="7" t="s">
        <v>5268</v>
      </c>
      <c r="F1972" s="7" t="s">
        <v>5420</v>
      </c>
      <c r="G1972" s="7" t="s">
        <v>5421</v>
      </c>
      <c r="H1972" s="7">
        <v>0.97</v>
      </c>
      <c r="I1972" s="7">
        <v>3</v>
      </c>
      <c r="J1972" s="7">
        <v>800</v>
      </c>
      <c r="K1972" s="7">
        <v>600</v>
      </c>
      <c r="L1972" s="7">
        <v>150</v>
      </c>
      <c r="M1972" s="7">
        <v>30</v>
      </c>
      <c r="N1972" s="7">
        <v>60</v>
      </c>
      <c r="O1972" s="7">
        <v>650</v>
      </c>
      <c r="P1972" s="7">
        <v>675</v>
      </c>
    </row>
    <row r="1973" spans="1:16" s="10" customFormat="1">
      <c r="A1973" s="7">
        <f>IF(B1973="","",SUBTOTAL(103,$B$2:B1973))</f>
        <v>1972</v>
      </c>
      <c r="B1973" s="8" t="s">
        <v>5265</v>
      </c>
      <c r="C1973" s="7" t="s">
        <v>5418</v>
      </c>
      <c r="D1973" s="9" t="s">
        <v>5422</v>
      </c>
      <c r="E1973" s="7" t="s">
        <v>5268</v>
      </c>
      <c r="F1973" s="7" t="s">
        <v>4098</v>
      </c>
      <c r="G1973" s="7" t="s">
        <v>5423</v>
      </c>
      <c r="H1973" s="7">
        <v>0.97</v>
      </c>
      <c r="I1973" s="7">
        <v>3</v>
      </c>
      <c r="J1973" s="7">
        <v>800</v>
      </c>
      <c r="K1973" s="7">
        <v>600</v>
      </c>
      <c r="L1973" s="7">
        <v>150</v>
      </c>
      <c r="M1973" s="7">
        <v>30</v>
      </c>
      <c r="N1973" s="7">
        <v>60</v>
      </c>
      <c r="O1973" s="7">
        <v>650</v>
      </c>
      <c r="P1973" s="7">
        <v>675</v>
      </c>
    </row>
    <row r="1974" spans="1:16" s="10" customFormat="1">
      <c r="A1974" s="7">
        <f>IF(B1974="","",SUBTOTAL(103,$B$2:B1974))</f>
        <v>1973</v>
      </c>
      <c r="B1974" s="8" t="s">
        <v>5265</v>
      </c>
      <c r="C1974" s="7" t="s">
        <v>5424</v>
      </c>
      <c r="D1974" s="9" t="s">
        <v>5425</v>
      </c>
      <c r="E1974" s="7" t="s">
        <v>5268</v>
      </c>
      <c r="F1974" s="7" t="s">
        <v>1260</v>
      </c>
      <c r="G1974" s="7" t="s">
        <v>5426</v>
      </c>
      <c r="H1974" s="7">
        <v>0.128</v>
      </c>
      <c r="I1974" s="7">
        <v>38</v>
      </c>
      <c r="J1974" s="7">
        <v>800</v>
      </c>
      <c r="K1974" s="7">
        <v>600</v>
      </c>
      <c r="L1974" s="7">
        <v>150</v>
      </c>
      <c r="M1974" s="7">
        <v>30</v>
      </c>
      <c r="N1974" s="7">
        <v>60</v>
      </c>
      <c r="O1974" s="7">
        <v>50</v>
      </c>
      <c r="P1974" s="7">
        <v>135</v>
      </c>
    </row>
    <row r="1975" spans="1:16" s="10" customFormat="1">
      <c r="A1975" s="7">
        <f>IF(B1975="","",SUBTOTAL(103,$B$2:B1975))</f>
        <v>1974</v>
      </c>
      <c r="B1975" s="8" t="s">
        <v>5265</v>
      </c>
      <c r="C1975" s="7" t="s">
        <v>5424</v>
      </c>
      <c r="D1975" s="9" t="s">
        <v>5427</v>
      </c>
      <c r="E1975" s="7" t="s">
        <v>5268</v>
      </c>
      <c r="F1975" s="7" t="s">
        <v>1263</v>
      </c>
      <c r="G1975" s="7" t="s">
        <v>5428</v>
      </c>
      <c r="H1975" s="7">
        <v>0.128</v>
      </c>
      <c r="I1975" s="7">
        <v>38</v>
      </c>
      <c r="J1975" s="7">
        <v>800</v>
      </c>
      <c r="K1975" s="7">
        <v>600</v>
      </c>
      <c r="L1975" s="7">
        <v>150</v>
      </c>
      <c r="M1975" s="7">
        <v>30</v>
      </c>
      <c r="N1975" s="7">
        <v>60</v>
      </c>
      <c r="O1975" s="7">
        <v>50</v>
      </c>
      <c r="P1975" s="7">
        <v>135</v>
      </c>
    </row>
    <row r="1976" spans="1:16" s="10" customFormat="1">
      <c r="A1976" s="7">
        <f>IF(B1976="","",SUBTOTAL(103,$B$2:B1976))</f>
        <v>1975</v>
      </c>
      <c r="B1976" s="8" t="s">
        <v>5265</v>
      </c>
      <c r="C1976" s="7" t="s">
        <v>5429</v>
      </c>
      <c r="D1976" s="9" t="s">
        <v>5430</v>
      </c>
      <c r="E1976" s="7" t="s">
        <v>5268</v>
      </c>
      <c r="F1976" s="7" t="s">
        <v>1267</v>
      </c>
      <c r="G1976" s="7" t="s">
        <v>5431</v>
      </c>
      <c r="H1976" s="7">
        <v>0.121</v>
      </c>
      <c r="I1976" s="7">
        <v>38</v>
      </c>
      <c r="J1976" s="7">
        <v>800</v>
      </c>
      <c r="K1976" s="7">
        <v>600</v>
      </c>
      <c r="L1976" s="7">
        <v>150</v>
      </c>
      <c r="M1976" s="7">
        <v>30</v>
      </c>
      <c r="N1976" s="7">
        <v>60</v>
      </c>
      <c r="O1976" s="7">
        <v>50</v>
      </c>
      <c r="P1976" s="7">
        <v>135</v>
      </c>
    </row>
    <row r="1977" spans="1:16" s="10" customFormat="1">
      <c r="A1977" s="7">
        <f>IF(B1977="","",SUBTOTAL(103,$B$2:B1977))</f>
        <v>1976</v>
      </c>
      <c r="B1977" s="8" t="s">
        <v>5265</v>
      </c>
      <c r="C1977" s="7" t="s">
        <v>5429</v>
      </c>
      <c r="D1977" s="9" t="s">
        <v>5432</v>
      </c>
      <c r="E1977" s="7" t="s">
        <v>5268</v>
      </c>
      <c r="F1977" s="7" t="s">
        <v>1270</v>
      </c>
      <c r="G1977" s="7" t="s">
        <v>5433</v>
      </c>
      <c r="H1977" s="7">
        <v>0.121</v>
      </c>
      <c r="I1977" s="7">
        <v>38</v>
      </c>
      <c r="J1977" s="7">
        <v>800</v>
      </c>
      <c r="K1977" s="7">
        <v>600</v>
      </c>
      <c r="L1977" s="7">
        <v>150</v>
      </c>
      <c r="M1977" s="7">
        <v>30</v>
      </c>
      <c r="N1977" s="7">
        <v>60</v>
      </c>
      <c r="O1977" s="7">
        <v>50</v>
      </c>
      <c r="P1977" s="7">
        <v>135</v>
      </c>
    </row>
    <row r="1978" spans="1:16" s="10" customFormat="1">
      <c r="A1978" s="7">
        <f>IF(B1978="","",SUBTOTAL(103,$B$2:B1978))</f>
        <v>1977</v>
      </c>
      <c r="B1978" s="8" t="s">
        <v>5265</v>
      </c>
      <c r="C1978" s="7" t="s">
        <v>5434</v>
      </c>
      <c r="D1978" s="9" t="s">
        <v>5435</v>
      </c>
      <c r="E1978" s="7" t="s">
        <v>5268</v>
      </c>
      <c r="F1978" s="7" t="s">
        <v>4112</v>
      </c>
      <c r="G1978" s="7" t="s">
        <v>5436</v>
      </c>
      <c r="H1978" s="7">
        <v>0.10199999999999999</v>
      </c>
      <c r="I1978" s="7">
        <v>38</v>
      </c>
      <c r="J1978" s="7">
        <v>800</v>
      </c>
      <c r="K1978" s="7">
        <v>600</v>
      </c>
      <c r="L1978" s="7">
        <v>150</v>
      </c>
      <c r="M1978" s="7">
        <v>30</v>
      </c>
      <c r="N1978" s="7">
        <v>60</v>
      </c>
      <c r="O1978" s="7">
        <v>50</v>
      </c>
      <c r="P1978" s="7">
        <v>135</v>
      </c>
    </row>
    <row r="1979" spans="1:16" s="10" customFormat="1">
      <c r="A1979" s="7">
        <f>IF(B1979="","",SUBTOTAL(103,$B$2:B1979))</f>
        <v>1978</v>
      </c>
      <c r="B1979" s="8" t="s">
        <v>5265</v>
      </c>
      <c r="C1979" s="7" t="s">
        <v>5434</v>
      </c>
      <c r="D1979" s="9" t="s">
        <v>5437</v>
      </c>
      <c r="E1979" s="7" t="s">
        <v>5268</v>
      </c>
      <c r="F1979" s="7" t="s">
        <v>4115</v>
      </c>
      <c r="G1979" s="7" t="s">
        <v>5438</v>
      </c>
      <c r="H1979" s="7">
        <v>0.10199999999999999</v>
      </c>
      <c r="I1979" s="7">
        <v>38</v>
      </c>
      <c r="J1979" s="7">
        <v>800</v>
      </c>
      <c r="K1979" s="7">
        <v>600</v>
      </c>
      <c r="L1979" s="7">
        <v>150</v>
      </c>
      <c r="M1979" s="7">
        <v>30</v>
      </c>
      <c r="N1979" s="7">
        <v>60</v>
      </c>
      <c r="O1979" s="7">
        <v>50</v>
      </c>
      <c r="P1979" s="7">
        <v>135</v>
      </c>
    </row>
    <row r="1980" spans="1:16" s="10" customFormat="1">
      <c r="A1980" s="7">
        <f>IF(B1980="","",SUBTOTAL(103,$B$2:B1980))</f>
        <v>1979</v>
      </c>
      <c r="B1980" s="8" t="s">
        <v>5265</v>
      </c>
      <c r="C1980" s="7" t="s">
        <v>5439</v>
      </c>
      <c r="D1980" s="9" t="s">
        <v>5440</v>
      </c>
      <c r="E1980" s="7" t="s">
        <v>5268</v>
      </c>
      <c r="F1980" s="7" t="s">
        <v>1274</v>
      </c>
      <c r="G1980" s="7" t="s">
        <v>5441</v>
      </c>
      <c r="H1980" s="7">
        <v>0.113</v>
      </c>
      <c r="I1980" s="7">
        <v>38</v>
      </c>
      <c r="J1980" s="7">
        <v>800</v>
      </c>
      <c r="K1980" s="7">
        <v>600</v>
      </c>
      <c r="L1980" s="7">
        <v>150</v>
      </c>
      <c r="M1980" s="7">
        <v>30</v>
      </c>
      <c r="N1980" s="7">
        <v>60</v>
      </c>
      <c r="O1980" s="7">
        <v>50</v>
      </c>
      <c r="P1980" s="7">
        <v>135</v>
      </c>
    </row>
    <row r="1981" spans="1:16" s="10" customFormat="1">
      <c r="A1981" s="7">
        <f>IF(B1981="","",SUBTOTAL(103,$B$2:B1981))</f>
        <v>1980</v>
      </c>
      <c r="B1981" s="8" t="s">
        <v>5265</v>
      </c>
      <c r="C1981" s="7" t="s">
        <v>5439</v>
      </c>
      <c r="D1981" s="9" t="s">
        <v>5442</v>
      </c>
      <c r="E1981" s="7" t="s">
        <v>5268</v>
      </c>
      <c r="F1981" s="7" t="s">
        <v>1277</v>
      </c>
      <c r="G1981" s="7" t="s">
        <v>5443</v>
      </c>
      <c r="H1981" s="7">
        <v>0.113</v>
      </c>
      <c r="I1981" s="7">
        <v>38</v>
      </c>
      <c r="J1981" s="7">
        <v>800</v>
      </c>
      <c r="K1981" s="7">
        <v>600</v>
      </c>
      <c r="L1981" s="7">
        <v>150</v>
      </c>
      <c r="M1981" s="7">
        <v>30</v>
      </c>
      <c r="N1981" s="7">
        <v>60</v>
      </c>
      <c r="O1981" s="7">
        <v>50</v>
      </c>
      <c r="P1981" s="7">
        <v>135</v>
      </c>
    </row>
    <row r="1982" spans="1:16" s="10" customFormat="1">
      <c r="A1982" s="7">
        <f>IF(B1982="","",SUBTOTAL(103,$B$2:B1982))</f>
        <v>1981</v>
      </c>
      <c r="B1982" s="8" t="s">
        <v>5265</v>
      </c>
      <c r="C1982" s="7" t="s">
        <v>5444</v>
      </c>
      <c r="D1982" s="9" t="s">
        <v>5445</v>
      </c>
      <c r="E1982" s="7" t="s">
        <v>5268</v>
      </c>
      <c r="F1982" s="7" t="s">
        <v>1281</v>
      </c>
      <c r="G1982" s="7" t="s">
        <v>5446</v>
      </c>
      <c r="H1982" s="7">
        <v>5.0999999999999997E-2</v>
      </c>
      <c r="I1982" s="7">
        <v>56</v>
      </c>
      <c r="J1982" s="7">
        <v>800</v>
      </c>
      <c r="K1982" s="7">
        <v>600</v>
      </c>
      <c r="L1982" s="7">
        <v>150</v>
      </c>
      <c r="M1982" s="7">
        <v>30</v>
      </c>
      <c r="N1982" s="7">
        <v>60</v>
      </c>
      <c r="O1982" s="7">
        <v>34</v>
      </c>
      <c r="P1982" s="7">
        <v>125</v>
      </c>
    </row>
    <row r="1983" spans="1:16" s="10" customFormat="1">
      <c r="A1983" s="7">
        <f>IF(B1983="","",SUBTOTAL(103,$B$2:B1983))</f>
        <v>1982</v>
      </c>
      <c r="B1983" s="8" t="s">
        <v>5265</v>
      </c>
      <c r="C1983" s="7" t="s">
        <v>5444</v>
      </c>
      <c r="D1983" s="9" t="s">
        <v>5447</v>
      </c>
      <c r="E1983" s="7" t="s">
        <v>5268</v>
      </c>
      <c r="F1983" s="7" t="s">
        <v>1284</v>
      </c>
      <c r="G1983" s="7" t="s">
        <v>5448</v>
      </c>
      <c r="H1983" s="7">
        <v>5.0999999999999997E-2</v>
      </c>
      <c r="I1983" s="7">
        <v>56</v>
      </c>
      <c r="J1983" s="7">
        <v>800</v>
      </c>
      <c r="K1983" s="7">
        <v>600</v>
      </c>
      <c r="L1983" s="7">
        <v>150</v>
      </c>
      <c r="M1983" s="7">
        <v>30</v>
      </c>
      <c r="N1983" s="7">
        <v>60</v>
      </c>
      <c r="O1983" s="7">
        <v>34</v>
      </c>
      <c r="P1983" s="7">
        <v>125</v>
      </c>
    </row>
    <row r="1984" spans="1:16" s="10" customFormat="1">
      <c r="A1984" s="7">
        <f>IF(B1984="","",SUBTOTAL(103,$B$2:B1984))</f>
        <v>1983</v>
      </c>
      <c r="B1984" s="8" t="s">
        <v>5265</v>
      </c>
      <c r="C1984" s="7" t="s">
        <v>5449</v>
      </c>
      <c r="D1984" s="9" t="s">
        <v>5450</v>
      </c>
      <c r="E1984" s="7" t="s">
        <v>5268</v>
      </c>
      <c r="F1984" s="7" t="s">
        <v>1288</v>
      </c>
      <c r="G1984" s="7" t="s">
        <v>5451</v>
      </c>
      <c r="H1984" s="7">
        <v>5.3999999999999999E-2</v>
      </c>
      <c r="I1984" s="7">
        <v>56</v>
      </c>
      <c r="J1984" s="7">
        <v>800</v>
      </c>
      <c r="K1984" s="7">
        <v>600</v>
      </c>
      <c r="L1984" s="7">
        <v>150</v>
      </c>
      <c r="M1984" s="7">
        <v>30</v>
      </c>
      <c r="N1984" s="7">
        <v>60</v>
      </c>
      <c r="O1984" s="7">
        <v>34</v>
      </c>
      <c r="P1984" s="7">
        <v>125</v>
      </c>
    </row>
    <row r="1985" spans="1:16" s="10" customFormat="1">
      <c r="A1985" s="7">
        <f>IF(B1985="","",SUBTOTAL(103,$B$2:B1985))</f>
        <v>1984</v>
      </c>
      <c r="B1985" s="8" t="s">
        <v>5265</v>
      </c>
      <c r="C1985" s="7" t="s">
        <v>5449</v>
      </c>
      <c r="D1985" s="9" t="s">
        <v>5452</v>
      </c>
      <c r="E1985" s="7" t="s">
        <v>5268</v>
      </c>
      <c r="F1985" s="7" t="s">
        <v>3422</v>
      </c>
      <c r="G1985" s="7" t="s">
        <v>5453</v>
      </c>
      <c r="H1985" s="7">
        <v>5.3999999999999999E-2</v>
      </c>
      <c r="I1985" s="7">
        <v>56</v>
      </c>
      <c r="J1985" s="7">
        <v>800</v>
      </c>
      <c r="K1985" s="7">
        <v>600</v>
      </c>
      <c r="L1985" s="7">
        <v>150</v>
      </c>
      <c r="M1985" s="7">
        <v>30</v>
      </c>
      <c r="N1985" s="7">
        <v>60</v>
      </c>
      <c r="O1985" s="7">
        <v>34</v>
      </c>
      <c r="P1985" s="7">
        <v>125</v>
      </c>
    </row>
    <row r="1986" spans="1:16" s="10" customFormat="1">
      <c r="A1986" s="7">
        <f>IF(B1986="","",SUBTOTAL(103,$B$2:B1986))</f>
        <v>1985</v>
      </c>
      <c r="B1986" s="8" t="s">
        <v>5265</v>
      </c>
      <c r="C1986" s="7" t="s">
        <v>5454</v>
      </c>
      <c r="D1986" s="9" t="s">
        <v>5455</v>
      </c>
      <c r="E1986" s="7" t="s">
        <v>5268</v>
      </c>
      <c r="F1986" s="7" t="s">
        <v>4142</v>
      </c>
      <c r="G1986" s="7" t="s">
        <v>5456</v>
      </c>
      <c r="H1986" s="7">
        <v>1.48</v>
      </c>
      <c r="I1986" s="7">
        <v>2</v>
      </c>
      <c r="J1986" s="7">
        <v>800</v>
      </c>
      <c r="K1986" s="7">
        <v>600</v>
      </c>
      <c r="L1986" s="7">
        <v>150</v>
      </c>
      <c r="M1986" s="7">
        <v>30</v>
      </c>
      <c r="N1986" s="7">
        <v>60</v>
      </c>
      <c r="O1986" s="7">
        <v>1000</v>
      </c>
      <c r="P1986" s="7">
        <v>1100</v>
      </c>
    </row>
    <row r="1987" spans="1:16" s="10" customFormat="1">
      <c r="A1987" s="7">
        <f>IF(B1987="","",SUBTOTAL(103,$B$2:B1987))</f>
        <v>1986</v>
      </c>
      <c r="B1987" s="8" t="s">
        <v>5265</v>
      </c>
      <c r="C1987" s="7" t="s">
        <v>5457</v>
      </c>
      <c r="D1987" s="9" t="s">
        <v>5458</v>
      </c>
      <c r="E1987" s="7" t="s">
        <v>5268</v>
      </c>
      <c r="F1987" s="7" t="s">
        <v>4156</v>
      </c>
      <c r="G1987" s="7" t="s">
        <v>5459</v>
      </c>
      <c r="H1987" s="7">
        <v>2.0499999999999998</v>
      </c>
      <c r="I1987" s="7">
        <v>2</v>
      </c>
      <c r="J1987" s="7">
        <v>800</v>
      </c>
      <c r="K1987" s="7">
        <v>600</v>
      </c>
      <c r="L1987" s="7">
        <v>150</v>
      </c>
      <c r="M1987" s="7">
        <v>30</v>
      </c>
      <c r="N1987" s="7">
        <v>60</v>
      </c>
      <c r="O1987" s="7">
        <v>1000</v>
      </c>
      <c r="P1987" s="7">
        <v>1100</v>
      </c>
    </row>
    <row r="1988" spans="1:16" s="10" customFormat="1">
      <c r="A1988" s="7">
        <f>IF(B1988="","",SUBTOTAL(103,$B$2:B1988))</f>
        <v>1987</v>
      </c>
      <c r="B1988" s="8" t="s">
        <v>5265</v>
      </c>
      <c r="C1988" s="7" t="s">
        <v>5457</v>
      </c>
      <c r="D1988" s="9" t="s">
        <v>5460</v>
      </c>
      <c r="E1988" s="7" t="s">
        <v>5268</v>
      </c>
      <c r="F1988" s="7" t="s">
        <v>4159</v>
      </c>
      <c r="G1988" s="7" t="s">
        <v>5461</v>
      </c>
      <c r="H1988" s="7">
        <v>2.0499999999999998</v>
      </c>
      <c r="I1988" s="7">
        <v>2</v>
      </c>
      <c r="J1988" s="7">
        <v>800</v>
      </c>
      <c r="K1988" s="7">
        <v>600</v>
      </c>
      <c r="L1988" s="7">
        <v>150</v>
      </c>
      <c r="M1988" s="7">
        <v>30</v>
      </c>
      <c r="N1988" s="7">
        <v>60</v>
      </c>
      <c r="O1988" s="7">
        <v>1000</v>
      </c>
      <c r="P1988" s="7">
        <v>1100</v>
      </c>
    </row>
    <row r="1989" spans="1:16" s="10" customFormat="1">
      <c r="A1989" s="7">
        <f>IF(B1989="","",SUBTOTAL(103,$B$2:B1989))</f>
        <v>1988</v>
      </c>
      <c r="B1989" s="8" t="s">
        <v>5462</v>
      </c>
      <c r="C1989" s="7" t="s">
        <v>5463</v>
      </c>
      <c r="D1989" s="9" t="s">
        <v>5464</v>
      </c>
      <c r="E1989" s="7" t="s">
        <v>5465</v>
      </c>
      <c r="F1989" s="7" t="s">
        <v>4164</v>
      </c>
      <c r="G1989" s="7" t="s">
        <v>5466</v>
      </c>
      <c r="H1989" s="7">
        <v>0.17899999999999999</v>
      </c>
      <c r="I1989" s="7">
        <v>28</v>
      </c>
      <c r="J1989" s="7">
        <v>800</v>
      </c>
      <c r="K1989" s="7">
        <v>600</v>
      </c>
      <c r="L1989" s="7">
        <v>150</v>
      </c>
      <c r="M1989" s="7">
        <v>30</v>
      </c>
      <c r="N1989" s="7">
        <v>60</v>
      </c>
      <c r="O1989" s="7">
        <v>70</v>
      </c>
      <c r="P1989" s="7">
        <v>145</v>
      </c>
    </row>
    <row r="1990" spans="1:16" s="10" customFormat="1">
      <c r="A1990" s="7">
        <f>IF(B1990="","",SUBTOTAL(103,$B$2:B1990))</f>
        <v>1989</v>
      </c>
      <c r="B1990" s="8" t="s">
        <v>5462</v>
      </c>
      <c r="C1990" s="7" t="s">
        <v>5463</v>
      </c>
      <c r="D1990" s="9" t="s">
        <v>5467</v>
      </c>
      <c r="E1990" s="7" t="s">
        <v>5465</v>
      </c>
      <c r="F1990" s="7" t="s">
        <v>3799</v>
      </c>
      <c r="G1990" s="7" t="s">
        <v>5468</v>
      </c>
      <c r="H1990" s="7">
        <v>0.17899999999999999</v>
      </c>
      <c r="I1990" s="7">
        <v>28</v>
      </c>
      <c r="J1990" s="7">
        <v>800</v>
      </c>
      <c r="K1990" s="7">
        <v>600</v>
      </c>
      <c r="L1990" s="7">
        <v>150</v>
      </c>
      <c r="M1990" s="7">
        <v>30</v>
      </c>
      <c r="N1990" s="7">
        <v>60</v>
      </c>
      <c r="O1990" s="7">
        <v>70</v>
      </c>
      <c r="P1990" s="7">
        <v>145</v>
      </c>
    </row>
    <row r="1991" spans="1:16" s="10" customFormat="1">
      <c r="A1991" s="7">
        <f>IF(B1991="","",SUBTOTAL(103,$B$2:B1991))</f>
        <v>1990</v>
      </c>
      <c r="B1991" s="8" t="s">
        <v>5462</v>
      </c>
      <c r="C1991" s="7" t="s">
        <v>5463</v>
      </c>
      <c r="D1991" s="9" t="s">
        <v>5469</v>
      </c>
      <c r="E1991" s="7" t="s">
        <v>5254</v>
      </c>
      <c r="F1991" s="7" t="s">
        <v>3799</v>
      </c>
      <c r="G1991" s="7" t="str">
        <f>E1991&amp;F1991</f>
        <v>KI 114  KI-12A RSB1*1/2 CF8M NPT</v>
      </c>
      <c r="H1991" s="7">
        <v>0.17899999999999999</v>
      </c>
      <c r="I1991" s="7">
        <v>28</v>
      </c>
      <c r="J1991" s="7">
        <v>800</v>
      </c>
      <c r="K1991" s="7">
        <v>600</v>
      </c>
      <c r="L1991" s="7">
        <v>150</v>
      </c>
      <c r="M1991" s="7">
        <v>30</v>
      </c>
      <c r="N1991" s="7">
        <v>60</v>
      </c>
      <c r="O1991" s="7">
        <v>70</v>
      </c>
      <c r="P1991" s="7">
        <v>145</v>
      </c>
    </row>
    <row r="1992" spans="1:16" s="10" customFormat="1">
      <c r="A1992" s="7">
        <f>IF(B1992="","",SUBTOTAL(103,$B$2:B1992))</f>
        <v>1991</v>
      </c>
      <c r="B1992" s="8" t="s">
        <v>5462</v>
      </c>
      <c r="C1992" s="7" t="s">
        <v>5470</v>
      </c>
      <c r="D1992" s="9" t="s">
        <v>5471</v>
      </c>
      <c r="E1992" s="7" t="s">
        <v>5465</v>
      </c>
      <c r="F1992" s="7" t="s">
        <v>4170</v>
      </c>
      <c r="G1992" s="7" t="s">
        <v>5472</v>
      </c>
      <c r="H1992" s="7">
        <v>8.1000000000000003E-2</v>
      </c>
      <c r="I1992" s="7">
        <v>32</v>
      </c>
      <c r="J1992" s="7">
        <v>800</v>
      </c>
      <c r="K1992" s="7">
        <v>600</v>
      </c>
      <c r="L1992" s="7">
        <v>150</v>
      </c>
      <c r="M1992" s="7">
        <v>30</v>
      </c>
      <c r="N1992" s="7">
        <v>60</v>
      </c>
      <c r="O1992" s="7">
        <v>54</v>
      </c>
      <c r="P1992" s="7">
        <v>125</v>
      </c>
    </row>
    <row r="1993" spans="1:16" s="10" customFormat="1">
      <c r="A1993" s="7">
        <f>IF(B1993="","",SUBTOTAL(103,$B$2:B1993))</f>
        <v>1992</v>
      </c>
      <c r="B1993" s="8" t="s">
        <v>5462</v>
      </c>
      <c r="C1993" s="7" t="s">
        <v>5470</v>
      </c>
      <c r="D1993" s="9" t="s">
        <v>5473</v>
      </c>
      <c r="E1993" s="7" t="s">
        <v>5465</v>
      </c>
      <c r="F1993" s="7" t="s">
        <v>4173</v>
      </c>
      <c r="G1993" s="7" t="s">
        <v>5474</v>
      </c>
      <c r="H1993" s="7">
        <v>8.1000000000000003E-2</v>
      </c>
      <c r="I1993" s="7">
        <v>32</v>
      </c>
      <c r="J1993" s="7">
        <v>800</v>
      </c>
      <c r="K1993" s="7">
        <v>600</v>
      </c>
      <c r="L1993" s="7">
        <v>150</v>
      </c>
      <c r="M1993" s="7">
        <v>30</v>
      </c>
      <c r="N1993" s="7">
        <v>60</v>
      </c>
      <c r="O1993" s="7">
        <v>54</v>
      </c>
      <c r="P1993" s="7">
        <v>125</v>
      </c>
    </row>
    <row r="1994" spans="1:16" s="10" customFormat="1">
      <c r="A1994" s="7">
        <f>IF(B1994="","",SUBTOTAL(103,$B$2:B1994))</f>
        <v>1993</v>
      </c>
      <c r="B1994" s="8" t="s">
        <v>5462</v>
      </c>
      <c r="C1994" s="7" t="s">
        <v>5475</v>
      </c>
      <c r="D1994" s="9" t="s">
        <v>5476</v>
      </c>
      <c r="E1994" s="7" t="s">
        <v>5465</v>
      </c>
      <c r="F1994" s="7" t="s">
        <v>5477</v>
      </c>
      <c r="G1994" s="7" t="s">
        <v>5478</v>
      </c>
      <c r="H1994" s="7">
        <v>0.154</v>
      </c>
      <c r="I1994" s="7">
        <v>32</v>
      </c>
      <c r="J1994" s="7">
        <v>800</v>
      </c>
      <c r="K1994" s="7">
        <v>600</v>
      </c>
      <c r="L1994" s="7">
        <v>150</v>
      </c>
      <c r="M1994" s="7">
        <v>30</v>
      </c>
      <c r="N1994" s="7">
        <v>60</v>
      </c>
      <c r="O1994" s="7">
        <v>54</v>
      </c>
      <c r="P1994" s="7">
        <v>125</v>
      </c>
    </row>
    <row r="1995" spans="1:16" s="10" customFormat="1">
      <c r="A1995" s="7">
        <f>IF(B1995="","",SUBTOTAL(103,$B$2:B1995))</f>
        <v>1994</v>
      </c>
      <c r="B1995" s="8" t="s">
        <v>5462</v>
      </c>
      <c r="C1995" s="7" t="s">
        <v>5479</v>
      </c>
      <c r="D1995" s="9" t="s">
        <v>5480</v>
      </c>
      <c r="E1995" s="7" t="s">
        <v>5465</v>
      </c>
      <c r="F1995" s="7" t="s">
        <v>4185</v>
      </c>
      <c r="G1995" s="7" t="s">
        <v>5481</v>
      </c>
      <c r="H1995" s="7">
        <v>0.21099999999999999</v>
      </c>
      <c r="I1995" s="7">
        <v>28</v>
      </c>
      <c r="J1995" s="7">
        <v>800</v>
      </c>
      <c r="K1995" s="7">
        <v>600</v>
      </c>
      <c r="L1995" s="7">
        <v>150</v>
      </c>
      <c r="M1995" s="7">
        <v>30</v>
      </c>
      <c r="N1995" s="7">
        <v>60</v>
      </c>
      <c r="O1995" s="7">
        <v>70</v>
      </c>
      <c r="P1995" s="7">
        <v>145</v>
      </c>
    </row>
    <row r="1996" spans="1:16" s="10" customFormat="1">
      <c r="A1996" s="7">
        <f>IF(B1996="","",SUBTOTAL(103,$B$2:B1996))</f>
        <v>1995</v>
      </c>
      <c r="B1996" s="8" t="s">
        <v>5462</v>
      </c>
      <c r="C1996" s="7" t="s">
        <v>5479</v>
      </c>
      <c r="D1996" s="9" t="s">
        <v>5482</v>
      </c>
      <c r="E1996" s="7" t="s">
        <v>5465</v>
      </c>
      <c r="F1996" s="7" t="s">
        <v>3803</v>
      </c>
      <c r="G1996" s="7" t="s">
        <v>5483</v>
      </c>
      <c r="H1996" s="7">
        <v>0.21099999999999999</v>
      </c>
      <c r="I1996" s="7">
        <v>28</v>
      </c>
      <c r="J1996" s="7">
        <v>800</v>
      </c>
      <c r="K1996" s="7">
        <v>600</v>
      </c>
      <c r="L1996" s="7">
        <v>150</v>
      </c>
      <c r="M1996" s="7">
        <v>30</v>
      </c>
      <c r="N1996" s="7">
        <v>60</v>
      </c>
      <c r="O1996" s="7">
        <v>70</v>
      </c>
      <c r="P1996" s="7">
        <v>145</v>
      </c>
    </row>
    <row r="1997" spans="1:16" s="10" customFormat="1">
      <c r="A1997" s="7">
        <f>IF(B1997="","",SUBTOTAL(103,$B$2:B1997))</f>
        <v>1996</v>
      </c>
      <c r="B1997" s="8" t="s">
        <v>5462</v>
      </c>
      <c r="C1997" s="7" t="s">
        <v>5479</v>
      </c>
      <c r="D1997" s="9" t="s">
        <v>5484</v>
      </c>
      <c r="E1997" s="7" t="s">
        <v>5254</v>
      </c>
      <c r="F1997" s="7" t="s">
        <v>3803</v>
      </c>
      <c r="G1997" s="7" t="s">
        <v>5485</v>
      </c>
      <c r="H1997" s="7">
        <v>0.21099999999999999</v>
      </c>
      <c r="I1997" s="7">
        <v>28</v>
      </c>
      <c r="J1997" s="7">
        <v>800</v>
      </c>
      <c r="K1997" s="7">
        <v>600</v>
      </c>
      <c r="L1997" s="7">
        <v>150</v>
      </c>
      <c r="M1997" s="7">
        <v>30</v>
      </c>
      <c r="N1997" s="7">
        <v>60</v>
      </c>
      <c r="O1997" s="7">
        <v>70</v>
      </c>
      <c r="P1997" s="7">
        <v>145</v>
      </c>
    </row>
    <row r="1998" spans="1:16" s="10" customFormat="1">
      <c r="A1998" s="7">
        <f>IF(B1998="","",SUBTOTAL(103,$B$2:B1998))</f>
        <v>1997</v>
      </c>
      <c r="B1998" s="8" t="s">
        <v>5462</v>
      </c>
      <c r="C1998" s="7" t="s">
        <v>5486</v>
      </c>
      <c r="D1998" s="9" t="s">
        <v>5487</v>
      </c>
      <c r="E1998" s="7" t="s">
        <v>5465</v>
      </c>
      <c r="F1998" s="7" t="s">
        <v>4191</v>
      </c>
      <c r="G1998" s="7" t="s">
        <v>5488</v>
      </c>
      <c r="H1998" s="7">
        <v>9.0999999999999998E-2</v>
      </c>
      <c r="I1998" s="7">
        <v>28</v>
      </c>
      <c r="J1998" s="7">
        <v>800</v>
      </c>
      <c r="K1998" s="7">
        <v>600</v>
      </c>
      <c r="L1998" s="7">
        <v>150</v>
      </c>
      <c r="M1998" s="7">
        <v>30</v>
      </c>
      <c r="N1998" s="7">
        <v>60</v>
      </c>
      <c r="O1998" s="7">
        <v>70</v>
      </c>
      <c r="P1998" s="7">
        <v>125</v>
      </c>
    </row>
    <row r="1999" spans="1:16" s="10" customFormat="1">
      <c r="A1999" s="7">
        <f>IF(B1999="","",SUBTOTAL(103,$B$2:B1999))</f>
        <v>1998</v>
      </c>
      <c r="B1999" s="8" t="s">
        <v>5462</v>
      </c>
      <c r="C1999" s="7" t="s">
        <v>5486</v>
      </c>
      <c r="D1999" s="9" t="s">
        <v>5489</v>
      </c>
      <c r="E1999" s="7" t="s">
        <v>5465</v>
      </c>
      <c r="F1999" s="7" t="s">
        <v>4194</v>
      </c>
      <c r="G1999" s="7" t="s">
        <v>5490</v>
      </c>
      <c r="H1999" s="7">
        <v>9.0999999999999998E-2</v>
      </c>
      <c r="I1999" s="7">
        <v>28</v>
      </c>
      <c r="J1999" s="7">
        <v>800</v>
      </c>
      <c r="K1999" s="7">
        <v>600</v>
      </c>
      <c r="L1999" s="7">
        <v>150</v>
      </c>
      <c r="M1999" s="7">
        <v>30</v>
      </c>
      <c r="N1999" s="7">
        <v>60</v>
      </c>
      <c r="O1999" s="7">
        <v>70</v>
      </c>
      <c r="P1999" s="7">
        <v>125</v>
      </c>
    </row>
    <row r="2000" spans="1:16" s="10" customFormat="1">
      <c r="A2000" s="7">
        <f>IF(B2000="","",SUBTOTAL(103,$B$2:B2000))</f>
        <v>1999</v>
      </c>
      <c r="B2000" s="8" t="s">
        <v>5462</v>
      </c>
      <c r="C2000" s="7" t="s">
        <v>5252</v>
      </c>
      <c r="D2000" s="9" t="s">
        <v>5491</v>
      </c>
      <c r="E2000" s="7" t="s">
        <v>5465</v>
      </c>
      <c r="F2000" s="7" t="s">
        <v>3810</v>
      </c>
      <c r="G2000" s="7" t="s">
        <v>5492</v>
      </c>
      <c r="H2000" s="7">
        <v>8.1000000000000003E-2</v>
      </c>
      <c r="I2000" s="7">
        <v>48</v>
      </c>
      <c r="J2000" s="7">
        <v>800</v>
      </c>
      <c r="K2000" s="7">
        <v>600</v>
      </c>
      <c r="L2000" s="7">
        <v>150</v>
      </c>
      <c r="M2000" s="7">
        <v>30</v>
      </c>
      <c r="N2000" s="7">
        <v>60</v>
      </c>
      <c r="O2000" s="7">
        <v>41</v>
      </c>
      <c r="P2000" s="7">
        <v>125</v>
      </c>
    </row>
    <row r="2001" spans="1:16" s="10" customFormat="1">
      <c r="A2001" s="7">
        <f>IF(B2001="","",SUBTOTAL(103,$B$2:B2001))</f>
        <v>2000</v>
      </c>
      <c r="B2001" s="8" t="s">
        <v>5462</v>
      </c>
      <c r="C2001" s="7" t="s">
        <v>5252</v>
      </c>
      <c r="D2001" s="9" t="s">
        <v>5493</v>
      </c>
      <c r="E2001" s="7" t="s">
        <v>5465</v>
      </c>
      <c r="F2001" s="7" t="s">
        <v>3807</v>
      </c>
      <c r="G2001" s="7" t="s">
        <v>5494</v>
      </c>
      <c r="H2001" s="7">
        <v>8.1000000000000003E-2</v>
      </c>
      <c r="I2001" s="7">
        <v>48</v>
      </c>
      <c r="J2001" s="7">
        <v>800</v>
      </c>
      <c r="K2001" s="7">
        <v>600</v>
      </c>
      <c r="L2001" s="7">
        <v>150</v>
      </c>
      <c r="M2001" s="7">
        <v>30</v>
      </c>
      <c r="N2001" s="7">
        <v>60</v>
      </c>
      <c r="O2001" s="7">
        <v>41</v>
      </c>
      <c r="P2001" s="7">
        <v>125</v>
      </c>
    </row>
    <row r="2002" spans="1:16" s="10" customFormat="1">
      <c r="A2002" s="7">
        <f>IF(B2002="","",SUBTOTAL(103,$B$2:B2002))</f>
        <v>2001</v>
      </c>
      <c r="B2002" s="8" t="s">
        <v>5462</v>
      </c>
      <c r="C2002" s="7" t="s">
        <v>5256</v>
      </c>
      <c r="D2002" s="9" t="s">
        <v>5495</v>
      </c>
      <c r="E2002" s="7" t="s">
        <v>5465</v>
      </c>
      <c r="F2002" s="7" t="s">
        <v>4203</v>
      </c>
      <c r="G2002" s="7" t="s">
        <v>5496</v>
      </c>
      <c r="H2002" s="7">
        <v>7.6999999999999999E-2</v>
      </c>
      <c r="I2002" s="7">
        <v>56</v>
      </c>
      <c r="J2002" s="7">
        <v>800</v>
      </c>
      <c r="K2002" s="7">
        <v>600</v>
      </c>
      <c r="L2002" s="7">
        <v>150</v>
      </c>
      <c r="M2002" s="7">
        <v>30</v>
      </c>
      <c r="N2002" s="7">
        <v>60</v>
      </c>
      <c r="O2002" s="7">
        <v>34</v>
      </c>
      <c r="P2002" s="7">
        <v>125</v>
      </c>
    </row>
    <row r="2003" spans="1:16" s="10" customFormat="1">
      <c r="A2003" s="7">
        <f>IF(B2003="","",SUBTOTAL(103,$B$2:B2003))</f>
        <v>2002</v>
      </c>
      <c r="B2003" s="8" t="s">
        <v>5462</v>
      </c>
      <c r="C2003" s="7" t="s">
        <v>5256</v>
      </c>
      <c r="D2003" s="9" t="s">
        <v>5497</v>
      </c>
      <c r="E2003" s="7" t="s">
        <v>5465</v>
      </c>
      <c r="F2003" s="7" t="s">
        <v>4206</v>
      </c>
      <c r="G2003" s="7" t="s">
        <v>5498</v>
      </c>
      <c r="H2003" s="7">
        <v>7.6999999999999999E-2</v>
      </c>
      <c r="I2003" s="7">
        <v>56</v>
      </c>
      <c r="J2003" s="7">
        <v>800</v>
      </c>
      <c r="K2003" s="7">
        <v>600</v>
      </c>
      <c r="L2003" s="7">
        <v>150</v>
      </c>
      <c r="M2003" s="7">
        <v>30</v>
      </c>
      <c r="N2003" s="7">
        <v>60</v>
      </c>
      <c r="O2003" s="7">
        <v>34</v>
      </c>
      <c r="P2003" s="7">
        <v>125</v>
      </c>
    </row>
    <row r="2004" spans="1:16" s="10" customFormat="1">
      <c r="A2004" s="7">
        <f>IF(B2004="","",SUBTOTAL(103,$B$2:B2004))</f>
        <v>2003</v>
      </c>
      <c r="B2004" s="8" t="s">
        <v>5462</v>
      </c>
      <c r="C2004" s="7" t="s">
        <v>5259</v>
      </c>
      <c r="D2004" s="9" t="s">
        <v>5499</v>
      </c>
      <c r="E2004" s="7" t="s">
        <v>5465</v>
      </c>
      <c r="F2004" s="7" t="s">
        <v>4211</v>
      </c>
      <c r="G2004" s="7" t="s">
        <v>5500</v>
      </c>
      <c r="H2004" s="7">
        <v>9.0999999999999998E-2</v>
      </c>
      <c r="I2004" s="7">
        <v>56</v>
      </c>
      <c r="J2004" s="7">
        <v>800</v>
      </c>
      <c r="K2004" s="7">
        <v>600</v>
      </c>
      <c r="L2004" s="7">
        <v>150</v>
      </c>
      <c r="M2004" s="7">
        <v>30</v>
      </c>
      <c r="N2004" s="7">
        <v>60</v>
      </c>
      <c r="O2004" s="7">
        <v>34</v>
      </c>
      <c r="P2004" s="7">
        <v>125</v>
      </c>
    </row>
    <row r="2005" spans="1:16" s="10" customFormat="1">
      <c r="A2005" s="7">
        <f>IF(B2005="","",SUBTOTAL(103,$B$2:B2005))</f>
        <v>2004</v>
      </c>
      <c r="B2005" s="8" t="s">
        <v>5462</v>
      </c>
      <c r="C2005" s="7" t="s">
        <v>5259</v>
      </c>
      <c r="D2005" s="9" t="s">
        <v>5501</v>
      </c>
      <c r="E2005" s="7" t="s">
        <v>5465</v>
      </c>
      <c r="F2005" s="7" t="s">
        <v>3813</v>
      </c>
      <c r="G2005" s="7" t="s">
        <v>5502</v>
      </c>
      <c r="H2005" s="7">
        <v>9.0999999999999998E-2</v>
      </c>
      <c r="I2005" s="7">
        <v>56</v>
      </c>
      <c r="J2005" s="7">
        <v>800</v>
      </c>
      <c r="K2005" s="7">
        <v>600</v>
      </c>
      <c r="L2005" s="7">
        <v>150</v>
      </c>
      <c r="M2005" s="7">
        <v>30</v>
      </c>
      <c r="N2005" s="7">
        <v>60</v>
      </c>
      <c r="O2005" s="7">
        <v>34</v>
      </c>
      <c r="P2005" s="7">
        <v>125</v>
      </c>
    </row>
    <row r="2006" spans="1:16" s="10" customFormat="1">
      <c r="A2006" s="7">
        <f>IF(B2006="","",SUBTOTAL(103,$B$2:B2006))</f>
        <v>2005</v>
      </c>
      <c r="B2006" s="8" t="s">
        <v>5462</v>
      </c>
      <c r="C2006" s="7" t="s">
        <v>5503</v>
      </c>
      <c r="D2006" s="9" t="s">
        <v>5504</v>
      </c>
      <c r="E2006" s="7" t="s">
        <v>5465</v>
      </c>
      <c r="F2006" s="7" t="s">
        <v>4220</v>
      </c>
      <c r="G2006" s="7" t="s">
        <v>5505</v>
      </c>
      <c r="H2006" s="7">
        <v>3.6999999999999998E-2</v>
      </c>
      <c r="I2006" s="7">
        <v>68</v>
      </c>
      <c r="J2006" s="7">
        <v>800</v>
      </c>
      <c r="K2006" s="7">
        <v>600</v>
      </c>
      <c r="L2006" s="7">
        <v>150</v>
      </c>
      <c r="M2006" s="7">
        <v>30</v>
      </c>
      <c r="N2006" s="7">
        <v>60</v>
      </c>
      <c r="O2006" s="7">
        <v>30</v>
      </c>
      <c r="P2006" s="7">
        <v>125</v>
      </c>
    </row>
    <row r="2007" spans="1:16" s="10" customFormat="1">
      <c r="A2007" s="7">
        <f>IF(B2007="","",SUBTOTAL(103,$B$2:B2007))</f>
        <v>2006</v>
      </c>
      <c r="B2007" s="8" t="s">
        <v>5462</v>
      </c>
      <c r="C2007" s="7" t="s">
        <v>5503</v>
      </c>
      <c r="D2007" s="9" t="s">
        <v>5506</v>
      </c>
      <c r="E2007" s="7" t="s">
        <v>5465</v>
      </c>
      <c r="F2007" s="7" t="s">
        <v>3817</v>
      </c>
      <c r="G2007" s="7" t="s">
        <v>5507</v>
      </c>
      <c r="H2007" s="7">
        <v>3.6999999999999998E-2</v>
      </c>
      <c r="I2007" s="7">
        <v>68</v>
      </c>
      <c r="J2007" s="7">
        <v>800</v>
      </c>
      <c r="K2007" s="7">
        <v>600</v>
      </c>
      <c r="L2007" s="7">
        <v>150</v>
      </c>
      <c r="M2007" s="7">
        <v>30</v>
      </c>
      <c r="N2007" s="7">
        <v>60</v>
      </c>
      <c r="O2007" s="7">
        <v>30</v>
      </c>
      <c r="P2007" s="7">
        <v>125</v>
      </c>
    </row>
    <row r="2008" spans="1:16" s="10" customFormat="1">
      <c r="A2008" s="7">
        <f>IF(B2008="","",SUBTOTAL(103,$B$2:B2008))</f>
        <v>2007</v>
      </c>
      <c r="B2008" s="8" t="s">
        <v>5462</v>
      </c>
      <c r="C2008" s="7" t="s">
        <v>5508</v>
      </c>
      <c r="D2008" s="9" t="s">
        <v>5509</v>
      </c>
      <c r="E2008" s="7" t="s">
        <v>5465</v>
      </c>
      <c r="F2008" s="7" t="s">
        <v>3821</v>
      </c>
      <c r="G2008" s="7" t="s">
        <v>5510</v>
      </c>
      <c r="H2008" s="7">
        <v>0.38400000000000001</v>
      </c>
      <c r="I2008" s="7">
        <v>18</v>
      </c>
      <c r="J2008" s="7">
        <v>800</v>
      </c>
      <c r="K2008" s="7">
        <v>600</v>
      </c>
      <c r="L2008" s="7">
        <v>150</v>
      </c>
      <c r="M2008" s="7">
        <v>30</v>
      </c>
      <c r="N2008" s="7">
        <v>60</v>
      </c>
      <c r="O2008" s="7">
        <v>100</v>
      </c>
      <c r="P2008" s="7">
        <v>225</v>
      </c>
    </row>
    <row r="2009" spans="1:16" s="10" customFormat="1">
      <c r="A2009" s="7">
        <f>IF(B2009="","",SUBTOTAL(103,$B$2:B2009))</f>
        <v>2008</v>
      </c>
      <c r="B2009" s="8" t="s">
        <v>5462</v>
      </c>
      <c r="C2009" s="7" t="s">
        <v>5508</v>
      </c>
      <c r="D2009" s="9" t="s">
        <v>5511</v>
      </c>
      <c r="E2009" s="7" t="s">
        <v>5465</v>
      </c>
      <c r="F2009" s="7" t="s">
        <v>3824</v>
      </c>
      <c r="G2009" s="7" t="s">
        <v>5512</v>
      </c>
      <c r="H2009" s="7">
        <v>0.38400000000000001</v>
      </c>
      <c r="I2009" s="7">
        <v>18</v>
      </c>
      <c r="J2009" s="7">
        <v>800</v>
      </c>
      <c r="K2009" s="7">
        <v>600</v>
      </c>
      <c r="L2009" s="7">
        <v>150</v>
      </c>
      <c r="M2009" s="7">
        <v>30</v>
      </c>
      <c r="N2009" s="7">
        <v>60</v>
      </c>
      <c r="O2009" s="7">
        <v>100</v>
      </c>
      <c r="P2009" s="7">
        <v>225</v>
      </c>
    </row>
    <row r="2010" spans="1:16" s="10" customFormat="1">
      <c r="A2010" s="7">
        <f>IF(B2010="","",SUBTOTAL(103,$B$2:B2010))</f>
        <v>2009</v>
      </c>
      <c r="B2010" s="8" t="s">
        <v>5462</v>
      </c>
      <c r="C2010" s="7" t="s">
        <v>5508</v>
      </c>
      <c r="D2010" s="9" t="s">
        <v>5513</v>
      </c>
      <c r="E2010" s="7" t="s">
        <v>5254</v>
      </c>
      <c r="F2010" s="7" t="s">
        <v>3824</v>
      </c>
      <c r="G2010" s="7" t="str">
        <f>E2010&amp;F2010</f>
        <v>KI 114  KI-12A RSB11/2*1 CF8M NPT</v>
      </c>
      <c r="H2010" s="7">
        <v>0.38400000000000001</v>
      </c>
      <c r="I2010" s="7">
        <v>18</v>
      </c>
      <c r="J2010" s="7">
        <v>800</v>
      </c>
      <c r="K2010" s="7">
        <v>600</v>
      </c>
      <c r="L2010" s="7">
        <v>150</v>
      </c>
      <c r="M2010" s="7">
        <v>30</v>
      </c>
      <c r="N2010" s="7">
        <v>60</v>
      </c>
      <c r="O2010" s="7">
        <v>100</v>
      </c>
      <c r="P2010" s="7">
        <v>225</v>
      </c>
    </row>
    <row r="2011" spans="1:16" s="10" customFormat="1">
      <c r="A2011" s="7">
        <f>IF(B2011="","",SUBTOTAL(103,$B$2:B2011))</f>
        <v>2010</v>
      </c>
      <c r="B2011" s="8" t="s">
        <v>5462</v>
      </c>
      <c r="C2011" s="7" t="s">
        <v>5514</v>
      </c>
      <c r="D2011" s="9" t="s">
        <v>5515</v>
      </c>
      <c r="E2011" s="7" t="s">
        <v>5465</v>
      </c>
      <c r="F2011" s="7" t="s">
        <v>4230</v>
      </c>
      <c r="G2011" s="7" t="s">
        <v>5516</v>
      </c>
      <c r="H2011" s="7">
        <v>0.34300000000000003</v>
      </c>
      <c r="I2011" s="7">
        <v>18</v>
      </c>
      <c r="J2011" s="7">
        <v>800</v>
      </c>
      <c r="K2011" s="7">
        <v>600</v>
      </c>
      <c r="L2011" s="7">
        <v>150</v>
      </c>
      <c r="M2011" s="7">
        <v>30</v>
      </c>
      <c r="N2011" s="7">
        <v>60</v>
      </c>
      <c r="O2011" s="7">
        <v>100</v>
      </c>
      <c r="P2011" s="7">
        <v>225</v>
      </c>
    </row>
    <row r="2012" spans="1:16" s="10" customFormat="1">
      <c r="A2012" s="7">
        <f>IF(B2012="","",SUBTOTAL(103,$B$2:B2012))</f>
        <v>2011</v>
      </c>
      <c r="B2012" s="8" t="s">
        <v>5462</v>
      </c>
      <c r="C2012" s="7" t="s">
        <v>5514</v>
      </c>
      <c r="D2012" s="9" t="s">
        <v>5517</v>
      </c>
      <c r="E2012" s="7" t="s">
        <v>5465</v>
      </c>
      <c r="F2012" s="7" t="s">
        <v>4233</v>
      </c>
      <c r="G2012" s="7" t="s">
        <v>5518</v>
      </c>
      <c r="H2012" s="7">
        <v>0.34300000000000003</v>
      </c>
      <c r="I2012" s="7">
        <v>18</v>
      </c>
      <c r="J2012" s="7">
        <v>800</v>
      </c>
      <c r="K2012" s="7">
        <v>600</v>
      </c>
      <c r="L2012" s="7">
        <v>150</v>
      </c>
      <c r="M2012" s="7">
        <v>30</v>
      </c>
      <c r="N2012" s="7">
        <v>60</v>
      </c>
      <c r="O2012" s="7">
        <v>100</v>
      </c>
      <c r="P2012" s="7">
        <v>225</v>
      </c>
    </row>
    <row r="2013" spans="1:16" s="10" customFormat="1">
      <c r="A2013" s="7">
        <f>IF(B2013="","",SUBTOTAL(103,$B$2:B2013))</f>
        <v>2012</v>
      </c>
      <c r="B2013" s="8" t="s">
        <v>5462</v>
      </c>
      <c r="C2013" s="7" t="s">
        <v>5514</v>
      </c>
      <c r="D2013" s="9" t="s">
        <v>5519</v>
      </c>
      <c r="E2013" s="7" t="s">
        <v>5254</v>
      </c>
      <c r="F2013" s="7" t="s">
        <v>4233</v>
      </c>
      <c r="G2013" s="7" t="str">
        <f>E2013&amp;F2013</f>
        <v>KI 114  KI-12A RSB11/2*1/2 CF8M NPT</v>
      </c>
      <c r="H2013" s="7">
        <v>0.34300000000000003</v>
      </c>
      <c r="I2013" s="7">
        <v>18</v>
      </c>
      <c r="J2013" s="7">
        <v>800</v>
      </c>
      <c r="K2013" s="7">
        <v>600</v>
      </c>
      <c r="L2013" s="7">
        <v>150</v>
      </c>
      <c r="M2013" s="7">
        <v>30</v>
      </c>
      <c r="N2013" s="7">
        <v>60</v>
      </c>
      <c r="O2013" s="7">
        <v>100</v>
      </c>
      <c r="P2013" s="7">
        <v>225</v>
      </c>
    </row>
    <row r="2014" spans="1:16" s="10" customFormat="1">
      <c r="A2014" s="7">
        <f>IF(B2014="","",SUBTOTAL(103,$B$2:B2014))</f>
        <v>2013</v>
      </c>
      <c r="B2014" s="8" t="s">
        <v>5462</v>
      </c>
      <c r="C2014" s="7" t="s">
        <v>5520</v>
      </c>
      <c r="D2014" s="9" t="s">
        <v>5521</v>
      </c>
      <c r="E2014" s="7" t="s">
        <v>5465</v>
      </c>
      <c r="F2014" s="7" t="s">
        <v>4248</v>
      </c>
      <c r="G2014" s="7" t="s">
        <v>5522</v>
      </c>
      <c r="H2014" s="7">
        <v>0.45100000000000001</v>
      </c>
      <c r="I2014" s="7">
        <v>18</v>
      </c>
      <c r="J2014" s="7">
        <v>800</v>
      </c>
      <c r="K2014" s="7">
        <v>600</v>
      </c>
      <c r="L2014" s="7">
        <v>150</v>
      </c>
      <c r="M2014" s="7">
        <v>30</v>
      </c>
      <c r="N2014" s="7">
        <v>60</v>
      </c>
      <c r="O2014" s="7">
        <v>100</v>
      </c>
      <c r="P2014" s="7">
        <v>225</v>
      </c>
    </row>
    <row r="2015" spans="1:16" s="10" customFormat="1">
      <c r="A2015" s="7">
        <f>IF(B2015="","",SUBTOTAL(103,$B$2:B2015))</f>
        <v>2014</v>
      </c>
      <c r="B2015" s="8" t="s">
        <v>5462</v>
      </c>
      <c r="C2015" s="7" t="s">
        <v>5520</v>
      </c>
      <c r="D2015" s="9" t="s">
        <v>5523</v>
      </c>
      <c r="E2015" s="7" t="s">
        <v>5465</v>
      </c>
      <c r="F2015" s="7" t="s">
        <v>4251</v>
      </c>
      <c r="G2015" s="7" t="s">
        <v>5524</v>
      </c>
      <c r="H2015" s="7">
        <v>0.45100000000000001</v>
      </c>
      <c r="I2015" s="7">
        <v>18</v>
      </c>
      <c r="J2015" s="7">
        <v>800</v>
      </c>
      <c r="K2015" s="7">
        <v>600</v>
      </c>
      <c r="L2015" s="7">
        <v>150</v>
      </c>
      <c r="M2015" s="7">
        <v>30</v>
      </c>
      <c r="N2015" s="7">
        <v>60</v>
      </c>
      <c r="O2015" s="7">
        <v>100</v>
      </c>
      <c r="P2015" s="7">
        <v>225</v>
      </c>
    </row>
    <row r="2016" spans="1:16" s="10" customFormat="1">
      <c r="A2016" s="7">
        <f>IF(B2016="","",SUBTOTAL(103,$B$2:B2016))</f>
        <v>2015</v>
      </c>
      <c r="B2016" s="8" t="s">
        <v>5462</v>
      </c>
      <c r="C2016" s="7" t="s">
        <v>5520</v>
      </c>
      <c r="D2016" s="9" t="s">
        <v>5525</v>
      </c>
      <c r="E2016" s="7" t="s">
        <v>5254</v>
      </c>
      <c r="F2016" s="7" t="s">
        <v>4251</v>
      </c>
      <c r="G2016" s="7" t="str">
        <f>E2016&amp;F2016</f>
        <v>KI 114  KI-12A RSB11/2*11/4 CF8M NPT</v>
      </c>
      <c r="H2016" s="7">
        <v>0.45100000000000001</v>
      </c>
      <c r="I2016" s="7">
        <v>18</v>
      </c>
      <c r="J2016" s="7">
        <v>800</v>
      </c>
      <c r="K2016" s="7">
        <v>600</v>
      </c>
      <c r="L2016" s="7">
        <v>150</v>
      </c>
      <c r="M2016" s="7">
        <v>30</v>
      </c>
      <c r="N2016" s="7">
        <v>60</v>
      </c>
      <c r="O2016" s="7">
        <v>100</v>
      </c>
      <c r="P2016" s="7">
        <v>225</v>
      </c>
    </row>
    <row r="2017" spans="1:16" s="10" customFormat="1">
      <c r="A2017" s="7">
        <f>IF(B2017="","",SUBTOTAL(103,$B$2:B2017))</f>
        <v>2016</v>
      </c>
      <c r="B2017" s="8" t="s">
        <v>5462</v>
      </c>
      <c r="C2017" s="7" t="s">
        <v>5526</v>
      </c>
      <c r="D2017" s="9" t="s">
        <v>5527</v>
      </c>
      <c r="E2017" s="7" t="s">
        <v>5465</v>
      </c>
      <c r="F2017" s="7" t="s">
        <v>4255</v>
      </c>
      <c r="G2017" s="7" t="s">
        <v>5528</v>
      </c>
      <c r="H2017" s="7">
        <v>0.39700000000000002</v>
      </c>
      <c r="I2017" s="7">
        <v>18</v>
      </c>
      <c r="J2017" s="7">
        <v>800</v>
      </c>
      <c r="K2017" s="7">
        <v>600</v>
      </c>
      <c r="L2017" s="7">
        <v>150</v>
      </c>
      <c r="M2017" s="7">
        <v>30</v>
      </c>
      <c r="N2017" s="7">
        <v>60</v>
      </c>
      <c r="O2017" s="7">
        <v>100</v>
      </c>
      <c r="P2017" s="7">
        <v>225</v>
      </c>
    </row>
    <row r="2018" spans="1:16" s="10" customFormat="1">
      <c r="A2018" s="7">
        <f>IF(B2018="","",SUBTOTAL(103,$B$2:B2018))</f>
        <v>2017</v>
      </c>
      <c r="B2018" s="8" t="s">
        <v>5462</v>
      </c>
      <c r="C2018" s="7" t="s">
        <v>5526</v>
      </c>
      <c r="D2018" s="9" t="s">
        <v>5529</v>
      </c>
      <c r="E2018" s="7" t="s">
        <v>5465</v>
      </c>
      <c r="F2018" s="7" t="s">
        <v>3828</v>
      </c>
      <c r="G2018" s="7" t="s">
        <v>5530</v>
      </c>
      <c r="H2018" s="7">
        <v>0.39700000000000002</v>
      </c>
      <c r="I2018" s="7">
        <v>18</v>
      </c>
      <c r="J2018" s="7">
        <v>800</v>
      </c>
      <c r="K2018" s="7">
        <v>600</v>
      </c>
      <c r="L2018" s="7">
        <v>150</v>
      </c>
      <c r="M2018" s="7">
        <v>30</v>
      </c>
      <c r="N2018" s="7">
        <v>60</v>
      </c>
      <c r="O2018" s="7">
        <v>100</v>
      </c>
      <c r="P2018" s="7">
        <v>225</v>
      </c>
    </row>
    <row r="2019" spans="1:16" s="10" customFormat="1">
      <c r="A2019" s="7">
        <f>IF(B2019="","",SUBTOTAL(103,$B$2:B2019))</f>
        <v>2018</v>
      </c>
      <c r="B2019" s="8" t="s">
        <v>5462</v>
      </c>
      <c r="C2019" s="7" t="s">
        <v>5526</v>
      </c>
      <c r="D2019" s="9" t="s">
        <v>5531</v>
      </c>
      <c r="E2019" s="7" t="s">
        <v>5532</v>
      </c>
      <c r="F2019" s="7" t="s">
        <v>3828</v>
      </c>
      <c r="G2019" s="7" t="str">
        <f>E2019&amp;F2019</f>
        <v>KI 114  KI-12A RSB 11/2*3/4 CF8M NPT</v>
      </c>
      <c r="H2019" s="7">
        <v>0.39700000000000002</v>
      </c>
      <c r="I2019" s="7">
        <v>18</v>
      </c>
      <c r="J2019" s="7">
        <v>800</v>
      </c>
      <c r="K2019" s="7">
        <v>600</v>
      </c>
      <c r="L2019" s="7">
        <v>150</v>
      </c>
      <c r="M2019" s="7">
        <v>30</v>
      </c>
      <c r="N2019" s="7">
        <v>60</v>
      </c>
      <c r="O2019" s="7">
        <v>100</v>
      </c>
      <c r="P2019" s="7">
        <v>225</v>
      </c>
    </row>
    <row r="2020" spans="1:16" s="10" customFormat="1">
      <c r="A2020" s="7">
        <f>IF(B2020="","",SUBTOTAL(103,$B$2:B2020))</f>
        <v>2019</v>
      </c>
      <c r="B2020" s="8" t="s">
        <v>5462</v>
      </c>
      <c r="C2020" s="7" t="s">
        <v>5533</v>
      </c>
      <c r="D2020" s="9" t="s">
        <v>5534</v>
      </c>
      <c r="E2020" s="7" t="s">
        <v>5465</v>
      </c>
      <c r="F2020" s="7" t="s">
        <v>4263</v>
      </c>
      <c r="G2020" s="7" t="s">
        <v>5535</v>
      </c>
      <c r="H2020" s="7">
        <v>0.33300000000000002</v>
      </c>
      <c r="I2020" s="7">
        <v>18</v>
      </c>
      <c r="J2020" s="7">
        <v>800</v>
      </c>
      <c r="K2020" s="7">
        <v>600</v>
      </c>
      <c r="L2020" s="7">
        <v>150</v>
      </c>
      <c r="M2020" s="7">
        <v>30</v>
      </c>
      <c r="N2020" s="7">
        <v>60</v>
      </c>
      <c r="O2020" s="7">
        <v>100</v>
      </c>
      <c r="P2020" s="7">
        <v>225</v>
      </c>
    </row>
    <row r="2021" spans="1:16" s="10" customFormat="1">
      <c r="A2021" s="7">
        <f>IF(B2021="","",SUBTOTAL(103,$B$2:B2021))</f>
        <v>2020</v>
      </c>
      <c r="B2021" s="8" t="s">
        <v>5462</v>
      </c>
      <c r="C2021" s="7" t="s">
        <v>5533</v>
      </c>
      <c r="D2021" s="9" t="s">
        <v>5536</v>
      </c>
      <c r="E2021" s="7" t="s">
        <v>5465</v>
      </c>
      <c r="F2021" s="7" t="s">
        <v>4266</v>
      </c>
      <c r="G2021" s="7" t="s">
        <v>5537</v>
      </c>
      <c r="H2021" s="7">
        <v>0.33300000000000002</v>
      </c>
      <c r="I2021" s="7">
        <v>18</v>
      </c>
      <c r="J2021" s="7">
        <v>800</v>
      </c>
      <c r="K2021" s="7">
        <v>600</v>
      </c>
      <c r="L2021" s="7">
        <v>150</v>
      </c>
      <c r="M2021" s="7">
        <v>30</v>
      </c>
      <c r="N2021" s="7">
        <v>60</v>
      </c>
      <c r="O2021" s="7">
        <v>100</v>
      </c>
      <c r="P2021" s="7">
        <v>225</v>
      </c>
    </row>
    <row r="2022" spans="1:16" s="10" customFormat="1">
      <c r="A2022" s="7">
        <f>IF(B2022="","",SUBTOTAL(103,$B$2:B2022))</f>
        <v>2021</v>
      </c>
      <c r="B2022" s="8" t="s">
        <v>5462</v>
      </c>
      <c r="C2022" s="7" t="s">
        <v>5538</v>
      </c>
      <c r="D2022" s="9" t="s">
        <v>5539</v>
      </c>
      <c r="E2022" s="7" t="s">
        <v>5465</v>
      </c>
      <c r="F2022" s="7" t="s">
        <v>4270</v>
      </c>
      <c r="G2022" s="7" t="s">
        <v>5540</v>
      </c>
      <c r="H2022" s="7">
        <v>0.32600000000000001</v>
      </c>
      <c r="I2022" s="7">
        <v>24</v>
      </c>
      <c r="J2022" s="7">
        <v>800</v>
      </c>
      <c r="K2022" s="7">
        <v>600</v>
      </c>
      <c r="L2022" s="7">
        <v>150</v>
      </c>
      <c r="M2022" s="7">
        <v>30</v>
      </c>
      <c r="N2022" s="7">
        <v>60</v>
      </c>
      <c r="O2022" s="7">
        <v>75</v>
      </c>
      <c r="P2022" s="7">
        <v>185</v>
      </c>
    </row>
    <row r="2023" spans="1:16" s="10" customFormat="1">
      <c r="A2023" s="7">
        <f>IF(B2023="","",SUBTOTAL(103,$B$2:B2023))</f>
        <v>2022</v>
      </c>
      <c r="B2023" s="8" t="s">
        <v>5462</v>
      </c>
      <c r="C2023" s="7" t="s">
        <v>5538</v>
      </c>
      <c r="D2023" s="9" t="s">
        <v>5541</v>
      </c>
      <c r="E2023" s="7" t="s">
        <v>5465</v>
      </c>
      <c r="F2023" s="7" t="s">
        <v>3832</v>
      </c>
      <c r="G2023" s="7" t="s">
        <v>5542</v>
      </c>
      <c r="H2023" s="7">
        <v>0.32600000000000001</v>
      </c>
      <c r="I2023" s="7">
        <v>24</v>
      </c>
      <c r="J2023" s="7">
        <v>800</v>
      </c>
      <c r="K2023" s="7">
        <v>600</v>
      </c>
      <c r="L2023" s="7">
        <v>150</v>
      </c>
      <c r="M2023" s="7">
        <v>30</v>
      </c>
      <c r="N2023" s="7">
        <v>60</v>
      </c>
      <c r="O2023" s="7">
        <v>75</v>
      </c>
      <c r="P2023" s="7">
        <v>185</v>
      </c>
    </row>
    <row r="2024" spans="1:16" s="10" customFormat="1">
      <c r="A2024" s="7">
        <f>IF(B2024="","",SUBTOTAL(103,$B$2:B2024))</f>
        <v>2023</v>
      </c>
      <c r="B2024" s="8" t="s">
        <v>5462</v>
      </c>
      <c r="C2024" s="7" t="s">
        <v>5538</v>
      </c>
      <c r="D2024" s="9" t="s">
        <v>5543</v>
      </c>
      <c r="E2024" s="7" t="s">
        <v>5254</v>
      </c>
      <c r="F2024" s="7" t="s">
        <v>3832</v>
      </c>
      <c r="G2024" s="7" t="s">
        <v>5544</v>
      </c>
      <c r="H2024" s="7">
        <v>0.32600000000000001</v>
      </c>
      <c r="I2024" s="7">
        <v>24</v>
      </c>
      <c r="J2024" s="7">
        <v>800</v>
      </c>
      <c r="K2024" s="7">
        <v>600</v>
      </c>
      <c r="L2024" s="7">
        <v>150</v>
      </c>
      <c r="M2024" s="7">
        <v>30</v>
      </c>
      <c r="N2024" s="7">
        <v>60</v>
      </c>
      <c r="O2024" s="7">
        <v>75</v>
      </c>
      <c r="P2024" s="7">
        <v>185</v>
      </c>
    </row>
    <row r="2025" spans="1:16" s="10" customFormat="1">
      <c r="A2025" s="7">
        <f>IF(B2025="","",SUBTOTAL(103,$B$2:B2025))</f>
        <v>2024</v>
      </c>
      <c r="B2025" s="8" t="s">
        <v>5462</v>
      </c>
      <c r="C2025" s="7" t="s">
        <v>5545</v>
      </c>
      <c r="D2025" s="9" t="s">
        <v>5546</v>
      </c>
      <c r="E2025" s="7" t="s">
        <v>5465</v>
      </c>
      <c r="F2025" s="7" t="s">
        <v>4276</v>
      </c>
      <c r="G2025" s="7" t="s">
        <v>5547</v>
      </c>
      <c r="H2025" s="7">
        <v>0.27600000000000002</v>
      </c>
      <c r="I2025" s="7">
        <v>12</v>
      </c>
      <c r="J2025" s="7">
        <v>800</v>
      </c>
      <c r="K2025" s="7">
        <v>600</v>
      </c>
      <c r="L2025" s="7">
        <v>150</v>
      </c>
      <c r="M2025" s="7">
        <v>30</v>
      </c>
      <c r="N2025" s="7">
        <v>60</v>
      </c>
      <c r="O2025" s="7">
        <v>150</v>
      </c>
      <c r="P2025" s="7">
        <v>185</v>
      </c>
    </row>
    <row r="2026" spans="1:16" s="10" customFormat="1">
      <c r="A2026" s="7">
        <f>IF(B2026="","",SUBTOTAL(103,$B$2:B2026))</f>
        <v>2025</v>
      </c>
      <c r="B2026" s="8" t="s">
        <v>5462</v>
      </c>
      <c r="C2026" s="7" t="s">
        <v>5545</v>
      </c>
      <c r="D2026" s="9" t="s">
        <v>5548</v>
      </c>
      <c r="E2026" s="7" t="s">
        <v>5465</v>
      </c>
      <c r="F2026" s="7" t="s">
        <v>4279</v>
      </c>
      <c r="G2026" s="7" t="s">
        <v>5549</v>
      </c>
      <c r="H2026" s="7">
        <v>0.27600000000000002</v>
      </c>
      <c r="I2026" s="7">
        <v>12</v>
      </c>
      <c r="J2026" s="7">
        <v>800</v>
      </c>
      <c r="K2026" s="7">
        <v>600</v>
      </c>
      <c r="L2026" s="7">
        <v>150</v>
      </c>
      <c r="M2026" s="7">
        <v>30</v>
      </c>
      <c r="N2026" s="7">
        <v>60</v>
      </c>
      <c r="O2026" s="7">
        <v>150</v>
      </c>
      <c r="P2026" s="7">
        <v>185</v>
      </c>
    </row>
    <row r="2027" spans="1:16" s="10" customFormat="1">
      <c r="A2027" s="7">
        <f>IF(B2027="","",SUBTOTAL(103,$B$2:B2027))</f>
        <v>2026</v>
      </c>
      <c r="B2027" s="8" t="s">
        <v>5462</v>
      </c>
      <c r="C2027" s="7" t="s">
        <v>5545</v>
      </c>
      <c r="D2027" s="9" t="s">
        <v>5550</v>
      </c>
      <c r="E2027" s="7" t="s">
        <v>5254</v>
      </c>
      <c r="F2027" s="7" t="s">
        <v>4279</v>
      </c>
      <c r="G2027" s="7" t="str">
        <f>E2027&amp;F2027</f>
        <v>KI 114  KI-12A RSB11/4*1/2 CF8M NPT</v>
      </c>
      <c r="H2027" s="7">
        <v>0.27600000000000002</v>
      </c>
      <c r="I2027" s="7">
        <v>12</v>
      </c>
      <c r="J2027" s="7">
        <v>800</v>
      </c>
      <c r="K2027" s="7">
        <v>600</v>
      </c>
      <c r="L2027" s="7">
        <v>150</v>
      </c>
      <c r="M2027" s="7">
        <v>30</v>
      </c>
      <c r="N2027" s="7">
        <v>60</v>
      </c>
      <c r="O2027" s="7">
        <v>150</v>
      </c>
      <c r="P2027" s="7">
        <v>185</v>
      </c>
    </row>
    <row r="2028" spans="1:16" s="10" customFormat="1">
      <c r="A2028" s="7">
        <f>IF(B2028="","",SUBTOTAL(103,$B$2:B2028))</f>
        <v>2027</v>
      </c>
      <c r="B2028" s="8" t="s">
        <v>5462</v>
      </c>
      <c r="C2028" s="7" t="s">
        <v>5551</v>
      </c>
      <c r="D2028" s="9" t="s">
        <v>5552</v>
      </c>
      <c r="E2028" s="7" t="s">
        <v>5465</v>
      </c>
      <c r="F2028" s="7" t="s">
        <v>4292</v>
      </c>
      <c r="G2028" s="7" t="s">
        <v>5553</v>
      </c>
      <c r="H2028" s="7">
        <v>0.28699999999999998</v>
      </c>
      <c r="I2028" s="7">
        <v>18</v>
      </c>
      <c r="J2028" s="7">
        <v>800</v>
      </c>
      <c r="K2028" s="7">
        <v>600</v>
      </c>
      <c r="L2028" s="7">
        <v>150</v>
      </c>
      <c r="M2028" s="7">
        <v>30</v>
      </c>
      <c r="N2028" s="7">
        <v>60</v>
      </c>
      <c r="O2028" s="7">
        <v>100</v>
      </c>
      <c r="P2028" s="7">
        <v>185</v>
      </c>
    </row>
    <row r="2029" spans="1:16" s="10" customFormat="1">
      <c r="A2029" s="7">
        <f>IF(B2029="","",SUBTOTAL(103,$B$2:B2029))</f>
        <v>2028</v>
      </c>
      <c r="B2029" s="8" t="s">
        <v>5462</v>
      </c>
      <c r="C2029" s="7" t="s">
        <v>5551</v>
      </c>
      <c r="D2029" s="9" t="s">
        <v>5554</v>
      </c>
      <c r="E2029" s="7" t="s">
        <v>5465</v>
      </c>
      <c r="F2029" s="7" t="s">
        <v>3836</v>
      </c>
      <c r="G2029" s="7" t="s">
        <v>5555</v>
      </c>
      <c r="H2029" s="7">
        <v>0.28699999999999998</v>
      </c>
      <c r="I2029" s="7">
        <v>18</v>
      </c>
      <c r="J2029" s="7">
        <v>800</v>
      </c>
      <c r="K2029" s="7">
        <v>600</v>
      </c>
      <c r="L2029" s="7">
        <v>150</v>
      </c>
      <c r="M2029" s="7">
        <v>30</v>
      </c>
      <c r="N2029" s="7">
        <v>60</v>
      </c>
      <c r="O2029" s="7">
        <v>100</v>
      </c>
      <c r="P2029" s="7">
        <v>185</v>
      </c>
    </row>
    <row r="2030" spans="1:16" s="10" customFormat="1">
      <c r="A2030" s="7">
        <f>IF(B2030="","",SUBTOTAL(103,$B$2:B2030))</f>
        <v>2029</v>
      </c>
      <c r="B2030" s="8" t="s">
        <v>5462</v>
      </c>
      <c r="C2030" s="7" t="s">
        <v>5551</v>
      </c>
      <c r="D2030" s="9" t="s">
        <v>5556</v>
      </c>
      <c r="E2030" s="7" t="s">
        <v>5254</v>
      </c>
      <c r="F2030" s="7" t="s">
        <v>5557</v>
      </c>
      <c r="G2030" s="7" t="str">
        <f>E2030&amp;F2030</f>
        <v>KI 114  KI-12A RSB11/4*3/4 CF8M</v>
      </c>
      <c r="H2030" s="7">
        <v>0.28699999999999998</v>
      </c>
      <c r="I2030" s="7">
        <v>18</v>
      </c>
      <c r="J2030" s="7">
        <v>800</v>
      </c>
      <c r="K2030" s="7">
        <v>600</v>
      </c>
      <c r="L2030" s="7">
        <v>150</v>
      </c>
      <c r="M2030" s="7">
        <v>30</v>
      </c>
      <c r="N2030" s="7">
        <v>60</v>
      </c>
      <c r="O2030" s="7">
        <v>100</v>
      </c>
      <c r="P2030" s="7">
        <v>185</v>
      </c>
    </row>
    <row r="2031" spans="1:16" s="10" customFormat="1">
      <c r="A2031" s="7">
        <f>IF(B2031="","",SUBTOTAL(103,$B$2:B2031))</f>
        <v>2030</v>
      </c>
      <c r="B2031" s="8" t="s">
        <v>5462</v>
      </c>
      <c r="C2031" s="7" t="s">
        <v>5558</v>
      </c>
      <c r="D2031" s="9" t="s">
        <v>5559</v>
      </c>
      <c r="E2031" s="7" t="s">
        <v>5465</v>
      </c>
      <c r="F2031" s="7" t="s">
        <v>4298</v>
      </c>
      <c r="G2031" s="7" t="s">
        <v>5560</v>
      </c>
      <c r="H2031" s="7">
        <v>0.27400000000000002</v>
      </c>
      <c r="I2031" s="7">
        <v>24</v>
      </c>
      <c r="J2031" s="7">
        <v>800</v>
      </c>
      <c r="K2031" s="7">
        <v>600</v>
      </c>
      <c r="L2031" s="7">
        <v>150</v>
      </c>
      <c r="M2031" s="7">
        <v>30</v>
      </c>
      <c r="N2031" s="7">
        <v>60</v>
      </c>
      <c r="O2031" s="7">
        <v>75</v>
      </c>
      <c r="P2031" s="7">
        <v>185</v>
      </c>
    </row>
    <row r="2032" spans="1:16" s="10" customFormat="1">
      <c r="A2032" s="7">
        <f>IF(B2032="","",SUBTOTAL(103,$B$2:B2032))</f>
        <v>2031</v>
      </c>
      <c r="B2032" s="8" t="s">
        <v>5462</v>
      </c>
      <c r="C2032" s="7" t="s">
        <v>5558</v>
      </c>
      <c r="D2032" s="9" t="s">
        <v>5561</v>
      </c>
      <c r="E2032" s="7" t="s">
        <v>5465</v>
      </c>
      <c r="F2032" s="7" t="s">
        <v>4301</v>
      </c>
      <c r="G2032" s="7" t="s">
        <v>5562</v>
      </c>
      <c r="H2032" s="7">
        <v>0.27400000000000002</v>
      </c>
      <c r="I2032" s="7">
        <v>24</v>
      </c>
      <c r="J2032" s="7">
        <v>800</v>
      </c>
      <c r="K2032" s="7">
        <v>600</v>
      </c>
      <c r="L2032" s="7">
        <v>150</v>
      </c>
      <c r="M2032" s="7">
        <v>30</v>
      </c>
      <c r="N2032" s="7">
        <v>60</v>
      </c>
      <c r="O2032" s="7">
        <v>75</v>
      </c>
      <c r="P2032" s="7">
        <v>185</v>
      </c>
    </row>
    <row r="2033" spans="1:16" s="10" customFormat="1">
      <c r="A2033" s="7">
        <f>IF(B2033="","",SUBTOTAL(103,$B$2:B2033))</f>
        <v>2032</v>
      </c>
      <c r="B2033" s="8" t="s">
        <v>5462</v>
      </c>
      <c r="C2033" s="7" t="s">
        <v>5563</v>
      </c>
      <c r="D2033" s="9" t="s">
        <v>5564</v>
      </c>
      <c r="E2033" s="7" t="s">
        <v>5465</v>
      </c>
      <c r="F2033" s="7" t="s">
        <v>3840</v>
      </c>
      <c r="G2033" s="7" t="s">
        <v>5565</v>
      </c>
      <c r="H2033" s="7">
        <v>0.49099999999999999</v>
      </c>
      <c r="I2033" s="7">
        <v>12</v>
      </c>
      <c r="J2033" s="7">
        <v>800</v>
      </c>
      <c r="K2033" s="7">
        <v>600</v>
      </c>
      <c r="L2033" s="7">
        <v>150</v>
      </c>
      <c r="M2033" s="7">
        <v>30</v>
      </c>
      <c r="N2033" s="7">
        <v>60</v>
      </c>
      <c r="O2033" s="7">
        <v>150</v>
      </c>
      <c r="P2033" s="7">
        <v>325</v>
      </c>
    </row>
    <row r="2034" spans="1:16" s="10" customFormat="1">
      <c r="A2034" s="7">
        <f>IF(B2034="","",SUBTOTAL(103,$B$2:B2034))</f>
        <v>2033</v>
      </c>
      <c r="B2034" s="8" t="s">
        <v>5462</v>
      </c>
      <c r="C2034" s="7" t="s">
        <v>5563</v>
      </c>
      <c r="D2034" s="9" t="s">
        <v>5566</v>
      </c>
      <c r="E2034" s="7" t="s">
        <v>5465</v>
      </c>
      <c r="F2034" s="7" t="s">
        <v>4307</v>
      </c>
      <c r="G2034" s="7" t="s">
        <v>5567</v>
      </c>
      <c r="H2034" s="7">
        <v>0.49099999999999999</v>
      </c>
      <c r="I2034" s="7">
        <v>12</v>
      </c>
      <c r="J2034" s="7">
        <v>800</v>
      </c>
      <c r="K2034" s="7">
        <v>600</v>
      </c>
      <c r="L2034" s="7">
        <v>150</v>
      </c>
      <c r="M2034" s="7">
        <v>30</v>
      </c>
      <c r="N2034" s="7">
        <v>60</v>
      </c>
      <c r="O2034" s="7">
        <v>150</v>
      </c>
      <c r="P2034" s="7">
        <v>325</v>
      </c>
    </row>
    <row r="2035" spans="1:16" s="10" customFormat="1">
      <c r="A2035" s="7">
        <f>IF(B2035="","",SUBTOTAL(103,$B$2:B2035))</f>
        <v>2034</v>
      </c>
      <c r="B2035" s="8" t="s">
        <v>5462</v>
      </c>
      <c r="C2035" s="7" t="s">
        <v>5563</v>
      </c>
      <c r="D2035" s="9" t="s">
        <v>5568</v>
      </c>
      <c r="E2035" s="7" t="s">
        <v>5254</v>
      </c>
      <c r="F2035" s="7" t="s">
        <v>4307</v>
      </c>
      <c r="G2035" s="7" t="str">
        <f>E2035&amp;F2035</f>
        <v>KI 114  KI-12A RSB2*1 CF8M NPT</v>
      </c>
      <c r="H2035" s="7">
        <v>0.49099999999999999</v>
      </c>
      <c r="I2035" s="7">
        <v>12</v>
      </c>
      <c r="J2035" s="7">
        <v>800</v>
      </c>
      <c r="K2035" s="7">
        <v>600</v>
      </c>
      <c r="L2035" s="7">
        <v>150</v>
      </c>
      <c r="M2035" s="7">
        <v>30</v>
      </c>
      <c r="N2035" s="7">
        <v>60</v>
      </c>
      <c r="O2035" s="7">
        <v>150</v>
      </c>
      <c r="P2035" s="7">
        <v>325</v>
      </c>
    </row>
    <row r="2036" spans="1:16" s="10" customFormat="1">
      <c r="A2036" s="7">
        <f>IF(B2036="","",SUBTOTAL(103,$B$2:B2036))</f>
        <v>2035</v>
      </c>
      <c r="B2036" s="8" t="s">
        <v>5462</v>
      </c>
      <c r="C2036" s="7" t="s">
        <v>5569</v>
      </c>
      <c r="D2036" s="9" t="s">
        <v>5570</v>
      </c>
      <c r="E2036" s="7" t="s">
        <v>5465</v>
      </c>
      <c r="F2036" s="7" t="s">
        <v>4311</v>
      </c>
      <c r="G2036" s="7" t="s">
        <v>5571</v>
      </c>
      <c r="H2036" s="7">
        <v>0.53600000000000003</v>
      </c>
      <c r="I2036" s="7">
        <v>12</v>
      </c>
      <c r="J2036" s="7">
        <v>800</v>
      </c>
      <c r="K2036" s="7">
        <v>600</v>
      </c>
      <c r="L2036" s="7">
        <v>150</v>
      </c>
      <c r="M2036" s="7">
        <v>30</v>
      </c>
      <c r="N2036" s="7">
        <v>60</v>
      </c>
      <c r="O2036" s="7">
        <v>150</v>
      </c>
      <c r="P2036" s="7">
        <v>325</v>
      </c>
    </row>
    <row r="2037" spans="1:16" s="10" customFormat="1">
      <c r="A2037" s="7">
        <f>IF(B2037="","",SUBTOTAL(103,$B$2:B2037))</f>
        <v>2036</v>
      </c>
      <c r="B2037" s="8" t="s">
        <v>5462</v>
      </c>
      <c r="C2037" s="7" t="s">
        <v>5569</v>
      </c>
      <c r="D2037" s="9" t="s">
        <v>5572</v>
      </c>
      <c r="E2037" s="7" t="s">
        <v>5465</v>
      </c>
      <c r="F2037" s="7" t="s">
        <v>4314</v>
      </c>
      <c r="G2037" s="7" t="s">
        <v>5573</v>
      </c>
      <c r="H2037" s="7">
        <v>0.70299999999999996</v>
      </c>
      <c r="I2037" s="7">
        <v>12</v>
      </c>
      <c r="J2037" s="7">
        <v>800</v>
      </c>
      <c r="K2037" s="7">
        <v>600</v>
      </c>
      <c r="L2037" s="7">
        <v>150</v>
      </c>
      <c r="M2037" s="7">
        <v>30</v>
      </c>
      <c r="N2037" s="7">
        <v>60</v>
      </c>
      <c r="O2037" s="7">
        <v>150</v>
      </c>
      <c r="P2037" s="7">
        <v>325</v>
      </c>
    </row>
    <row r="2038" spans="1:16" s="10" customFormat="1">
      <c r="A2038" s="7">
        <f>IF(B2038="","",SUBTOTAL(103,$B$2:B2038))</f>
        <v>2037</v>
      </c>
      <c r="B2038" s="8" t="s">
        <v>5462</v>
      </c>
      <c r="C2038" s="7" t="s">
        <v>5569</v>
      </c>
      <c r="D2038" s="9" t="s">
        <v>5574</v>
      </c>
      <c r="E2038" s="7" t="s">
        <v>5254</v>
      </c>
      <c r="F2038" s="7" t="s">
        <v>4314</v>
      </c>
      <c r="G2038" s="7" t="str">
        <f>E2038&amp;F2038</f>
        <v>KI 114  KI-12A RSB2*1/2 CF8M NPT</v>
      </c>
      <c r="H2038" s="7">
        <v>0.53600000000000003</v>
      </c>
      <c r="I2038" s="7">
        <v>12</v>
      </c>
      <c r="J2038" s="7">
        <v>800</v>
      </c>
      <c r="K2038" s="7">
        <v>600</v>
      </c>
      <c r="L2038" s="7">
        <v>150</v>
      </c>
      <c r="M2038" s="7">
        <v>30</v>
      </c>
      <c r="N2038" s="7">
        <v>60</v>
      </c>
      <c r="O2038" s="7">
        <v>150</v>
      </c>
      <c r="P2038" s="7">
        <v>325</v>
      </c>
    </row>
    <row r="2039" spans="1:16" s="10" customFormat="1">
      <c r="A2039" s="7">
        <f>IF(B2039="","",SUBTOTAL(103,$B$2:B2039))</f>
        <v>2038</v>
      </c>
      <c r="B2039" s="8" t="s">
        <v>5462</v>
      </c>
      <c r="C2039" s="7" t="s">
        <v>5575</v>
      </c>
      <c r="D2039" s="9" t="s">
        <v>5576</v>
      </c>
      <c r="E2039" s="7" t="s">
        <v>5465</v>
      </c>
      <c r="F2039" s="7" t="s">
        <v>4327</v>
      </c>
      <c r="G2039" s="7" t="s">
        <v>5577</v>
      </c>
      <c r="H2039" s="7">
        <v>0.70299999999999996</v>
      </c>
      <c r="I2039" s="7">
        <v>12</v>
      </c>
      <c r="J2039" s="7">
        <v>800</v>
      </c>
      <c r="K2039" s="7">
        <v>600</v>
      </c>
      <c r="L2039" s="7">
        <v>150</v>
      </c>
      <c r="M2039" s="7">
        <v>30</v>
      </c>
      <c r="N2039" s="7">
        <v>60</v>
      </c>
      <c r="O2039" s="7">
        <v>150</v>
      </c>
      <c r="P2039" s="7">
        <v>325</v>
      </c>
    </row>
    <row r="2040" spans="1:16" s="10" customFormat="1">
      <c r="A2040" s="7">
        <f>IF(B2040="","",SUBTOTAL(103,$B$2:B2040))</f>
        <v>2039</v>
      </c>
      <c r="B2040" s="8" t="s">
        <v>5462</v>
      </c>
      <c r="C2040" s="7" t="s">
        <v>5575</v>
      </c>
      <c r="D2040" s="9" t="s">
        <v>5578</v>
      </c>
      <c r="E2040" s="7" t="s">
        <v>5465</v>
      </c>
      <c r="F2040" s="7" t="s">
        <v>4330</v>
      </c>
      <c r="G2040" s="7" t="s">
        <v>5579</v>
      </c>
      <c r="H2040" s="7">
        <v>0.70299999999999996</v>
      </c>
      <c r="I2040" s="7">
        <v>12</v>
      </c>
      <c r="J2040" s="7">
        <v>800</v>
      </c>
      <c r="K2040" s="7">
        <v>600</v>
      </c>
      <c r="L2040" s="7">
        <v>150</v>
      </c>
      <c r="M2040" s="7">
        <v>30</v>
      </c>
      <c r="N2040" s="7">
        <v>60</v>
      </c>
      <c r="O2040" s="7">
        <v>150</v>
      </c>
      <c r="P2040" s="7">
        <v>325</v>
      </c>
    </row>
    <row r="2041" spans="1:16" s="10" customFormat="1">
      <c r="A2041" s="7">
        <f>IF(B2041="","",SUBTOTAL(103,$B$2:B2041))</f>
        <v>2040</v>
      </c>
      <c r="B2041" s="8" t="s">
        <v>5462</v>
      </c>
      <c r="C2041" s="7" t="s">
        <v>5575</v>
      </c>
      <c r="D2041" s="9" t="s">
        <v>5580</v>
      </c>
      <c r="E2041" s="7" t="s">
        <v>5254</v>
      </c>
      <c r="F2041" s="7" t="s">
        <v>4330</v>
      </c>
      <c r="G2041" s="7" t="s">
        <v>5581</v>
      </c>
      <c r="H2041" s="7">
        <v>0.70299999999999996</v>
      </c>
      <c r="I2041" s="7">
        <v>12</v>
      </c>
      <c r="J2041" s="7">
        <v>800</v>
      </c>
      <c r="K2041" s="7">
        <v>600</v>
      </c>
      <c r="L2041" s="7">
        <v>150</v>
      </c>
      <c r="M2041" s="7">
        <v>30</v>
      </c>
      <c r="N2041" s="7">
        <v>60</v>
      </c>
      <c r="O2041" s="7">
        <v>150</v>
      </c>
      <c r="P2041" s="7">
        <v>325</v>
      </c>
    </row>
    <row r="2042" spans="1:16" s="10" customFormat="1">
      <c r="A2042" s="7">
        <f>IF(B2042="","",SUBTOTAL(103,$B$2:B2042))</f>
        <v>2041</v>
      </c>
      <c r="B2042" s="8" t="s">
        <v>5462</v>
      </c>
      <c r="C2042" s="7" t="s">
        <v>5582</v>
      </c>
      <c r="D2042" s="9" t="s">
        <v>5583</v>
      </c>
      <c r="E2042" s="7" t="s">
        <v>5465</v>
      </c>
      <c r="F2042" s="7" t="s">
        <v>4335</v>
      </c>
      <c r="G2042" s="7" t="s">
        <v>5584</v>
      </c>
      <c r="H2042" s="7">
        <v>0.65400000000000003</v>
      </c>
      <c r="I2042" s="7">
        <v>8</v>
      </c>
      <c r="J2042" s="7">
        <v>800</v>
      </c>
      <c r="K2042" s="7">
        <v>600</v>
      </c>
      <c r="L2042" s="7">
        <v>150</v>
      </c>
      <c r="M2042" s="7">
        <v>30</v>
      </c>
      <c r="N2042" s="7">
        <v>60</v>
      </c>
      <c r="O2042" s="7">
        <v>225</v>
      </c>
      <c r="P2042" s="7">
        <v>250</v>
      </c>
    </row>
    <row r="2043" spans="1:16" s="10" customFormat="1">
      <c r="A2043" s="7">
        <f>IF(B2043="","",SUBTOTAL(103,$B$2:B2043))</f>
        <v>2042</v>
      </c>
      <c r="B2043" s="8" t="s">
        <v>5462</v>
      </c>
      <c r="C2043" s="7" t="s">
        <v>5582</v>
      </c>
      <c r="D2043" s="9" t="s">
        <v>5585</v>
      </c>
      <c r="E2043" s="7" t="s">
        <v>5465</v>
      </c>
      <c r="F2043" s="7" t="s">
        <v>4338</v>
      </c>
      <c r="G2043" s="7" t="s">
        <v>5586</v>
      </c>
      <c r="H2043" s="7">
        <v>0.65400000000000003</v>
      </c>
      <c r="I2043" s="7">
        <v>8</v>
      </c>
      <c r="J2043" s="7">
        <v>800</v>
      </c>
      <c r="K2043" s="7">
        <v>600</v>
      </c>
      <c r="L2043" s="7">
        <v>150</v>
      </c>
      <c r="M2043" s="7">
        <v>30</v>
      </c>
      <c r="N2043" s="7">
        <v>60</v>
      </c>
      <c r="O2043" s="7">
        <v>225</v>
      </c>
      <c r="P2043" s="7">
        <v>250</v>
      </c>
    </row>
    <row r="2044" spans="1:16" s="10" customFormat="1">
      <c r="A2044" s="7">
        <f>IF(B2044="","",SUBTOTAL(103,$B$2:B2044))</f>
        <v>2043</v>
      </c>
      <c r="B2044" s="8" t="s">
        <v>5462</v>
      </c>
      <c r="C2044" s="7" t="s">
        <v>5582</v>
      </c>
      <c r="D2044" s="9" t="s">
        <v>5587</v>
      </c>
      <c r="E2044" s="7" t="s">
        <v>5254</v>
      </c>
      <c r="F2044" s="7" t="s">
        <v>4338</v>
      </c>
      <c r="G2044" s="7" t="s">
        <v>5588</v>
      </c>
      <c r="H2044" s="7">
        <v>0.65400000000000003</v>
      </c>
      <c r="I2044" s="7">
        <v>8</v>
      </c>
      <c r="J2044" s="7">
        <v>800</v>
      </c>
      <c r="K2044" s="7">
        <v>600</v>
      </c>
      <c r="L2044" s="7">
        <v>150</v>
      </c>
      <c r="M2044" s="7">
        <v>30</v>
      </c>
      <c r="N2044" s="7">
        <v>60</v>
      </c>
      <c r="O2044" s="7">
        <v>225</v>
      </c>
      <c r="P2044" s="7">
        <v>250</v>
      </c>
    </row>
    <row r="2045" spans="1:16" s="10" customFormat="1">
      <c r="A2045" s="7">
        <f>IF(B2045="","",SUBTOTAL(103,$B$2:B2045))</f>
        <v>2044</v>
      </c>
      <c r="B2045" s="8" t="s">
        <v>5462</v>
      </c>
      <c r="C2045" s="7" t="s">
        <v>5589</v>
      </c>
      <c r="D2045" s="9" t="s">
        <v>5590</v>
      </c>
      <c r="E2045" s="7" t="s">
        <v>5465</v>
      </c>
      <c r="F2045" s="7" t="s">
        <v>4343</v>
      </c>
      <c r="G2045" s="7" t="s">
        <v>5591</v>
      </c>
      <c r="H2045" s="7">
        <v>0.56699999999999995</v>
      </c>
      <c r="I2045" s="7">
        <v>12</v>
      </c>
      <c r="J2045" s="7">
        <v>800</v>
      </c>
      <c r="K2045" s="7">
        <v>600</v>
      </c>
      <c r="L2045" s="7">
        <v>150</v>
      </c>
      <c r="M2045" s="7">
        <v>30</v>
      </c>
      <c r="N2045" s="7">
        <v>60</v>
      </c>
      <c r="O2045" s="7">
        <v>150</v>
      </c>
      <c r="P2045" s="7">
        <v>325</v>
      </c>
    </row>
    <row r="2046" spans="1:16" s="10" customFormat="1">
      <c r="A2046" s="7">
        <f>IF(B2046="","",SUBTOTAL(103,$B$2:B2046))</f>
        <v>2045</v>
      </c>
      <c r="B2046" s="8" t="s">
        <v>5462</v>
      </c>
      <c r="C2046" s="7" t="s">
        <v>5589</v>
      </c>
      <c r="D2046" s="9" t="s">
        <v>5592</v>
      </c>
      <c r="E2046" s="7" t="s">
        <v>5465</v>
      </c>
      <c r="F2046" s="7" t="s">
        <v>4346</v>
      </c>
      <c r="G2046" s="7" t="s">
        <v>5593</v>
      </c>
      <c r="H2046" s="7">
        <v>0.56699999999999995</v>
      </c>
      <c r="I2046" s="7">
        <v>12</v>
      </c>
      <c r="J2046" s="7">
        <v>800</v>
      </c>
      <c r="K2046" s="7">
        <v>600</v>
      </c>
      <c r="L2046" s="7">
        <v>150</v>
      </c>
      <c r="M2046" s="7">
        <v>30</v>
      </c>
      <c r="N2046" s="7">
        <v>60</v>
      </c>
      <c r="O2046" s="7">
        <v>150</v>
      </c>
      <c r="P2046" s="7">
        <v>325</v>
      </c>
    </row>
    <row r="2047" spans="1:16" s="10" customFormat="1">
      <c r="A2047" s="7">
        <f>IF(B2047="","",SUBTOTAL(103,$B$2:B2047))</f>
        <v>2046</v>
      </c>
      <c r="B2047" s="8" t="s">
        <v>5462</v>
      </c>
      <c r="C2047" s="7" t="s">
        <v>5589</v>
      </c>
      <c r="D2047" s="9" t="s">
        <v>5594</v>
      </c>
      <c r="E2047" s="7" t="s">
        <v>5254</v>
      </c>
      <c r="F2047" s="7" t="s">
        <v>4346</v>
      </c>
      <c r="G2047" s="7" t="str">
        <f>E2047&amp;F2047</f>
        <v>KI 114  KI-12A RSB2*3/4 CF8M NPT</v>
      </c>
      <c r="H2047" s="7">
        <v>0.56699999999999995</v>
      </c>
      <c r="I2047" s="7">
        <v>12</v>
      </c>
      <c r="J2047" s="7">
        <v>800</v>
      </c>
      <c r="K2047" s="7">
        <v>600</v>
      </c>
      <c r="L2047" s="7">
        <v>150</v>
      </c>
      <c r="M2047" s="7">
        <v>30</v>
      </c>
      <c r="N2047" s="7">
        <v>60</v>
      </c>
      <c r="O2047" s="7">
        <v>150</v>
      </c>
      <c r="P2047" s="7">
        <v>325</v>
      </c>
    </row>
    <row r="2048" spans="1:16" s="10" customFormat="1">
      <c r="A2048" s="7">
        <f>IF(B2048="","",SUBTOTAL(103,$B$2:B2048))</f>
        <v>2047</v>
      </c>
      <c r="B2048" s="8" t="s">
        <v>5462</v>
      </c>
      <c r="C2048" s="7" t="s">
        <v>5595</v>
      </c>
      <c r="D2048" s="9" t="s">
        <v>5596</v>
      </c>
      <c r="E2048" s="7" t="s">
        <v>5465</v>
      </c>
      <c r="F2048" s="7" t="s">
        <v>4360</v>
      </c>
      <c r="G2048" s="7" t="s">
        <v>5597</v>
      </c>
      <c r="H2048" s="7">
        <v>0.84599999999999997</v>
      </c>
      <c r="I2048" s="7">
        <v>3</v>
      </c>
      <c r="J2048" s="7">
        <v>800</v>
      </c>
      <c r="K2048" s="7">
        <v>600</v>
      </c>
      <c r="L2048" s="7">
        <v>150</v>
      </c>
      <c r="M2048" s="7">
        <v>30</v>
      </c>
      <c r="N2048" s="7">
        <v>60</v>
      </c>
      <c r="O2048" s="7">
        <v>650</v>
      </c>
      <c r="P2048" s="7">
        <v>675</v>
      </c>
    </row>
    <row r="2049" spans="1:16" s="10" customFormat="1">
      <c r="A2049" s="7">
        <f>IF(B2049="","",SUBTOTAL(103,$B$2:B2049))</f>
        <v>2048</v>
      </c>
      <c r="B2049" s="8" t="s">
        <v>5462</v>
      </c>
      <c r="C2049" s="7" t="s">
        <v>5598</v>
      </c>
      <c r="D2049" s="9" t="s">
        <v>5599</v>
      </c>
      <c r="E2049" s="7" t="s">
        <v>5465</v>
      </c>
      <c r="F2049" s="7" t="s">
        <v>4374</v>
      </c>
      <c r="G2049" s="7" t="s">
        <v>5600</v>
      </c>
      <c r="H2049" s="7">
        <v>1.014</v>
      </c>
      <c r="I2049" s="7">
        <v>3</v>
      </c>
      <c r="J2049" s="7">
        <v>800</v>
      </c>
      <c r="K2049" s="7">
        <v>600</v>
      </c>
      <c r="L2049" s="7">
        <v>150</v>
      </c>
      <c r="M2049" s="7">
        <v>30</v>
      </c>
      <c r="N2049" s="7">
        <v>60</v>
      </c>
      <c r="O2049" s="7">
        <v>650</v>
      </c>
      <c r="P2049" s="7">
        <v>675</v>
      </c>
    </row>
    <row r="2050" spans="1:16" s="10" customFormat="1">
      <c r="A2050" s="7">
        <f>IF(B2050="","",SUBTOTAL(103,$B$2:B2050))</f>
        <v>2049</v>
      </c>
      <c r="B2050" s="8" t="s">
        <v>5462</v>
      </c>
      <c r="C2050" s="7" t="s">
        <v>5598</v>
      </c>
      <c r="D2050" s="9" t="s">
        <v>5601</v>
      </c>
      <c r="E2050" s="7" t="s">
        <v>5465</v>
      </c>
      <c r="F2050" s="7" t="s">
        <v>4377</v>
      </c>
      <c r="G2050" s="7" t="s">
        <v>5602</v>
      </c>
      <c r="H2050" s="7">
        <v>1.014</v>
      </c>
      <c r="I2050" s="7">
        <v>3</v>
      </c>
      <c r="J2050" s="7">
        <v>800</v>
      </c>
      <c r="K2050" s="7">
        <v>600</v>
      </c>
      <c r="L2050" s="7">
        <v>150</v>
      </c>
      <c r="M2050" s="7">
        <v>30</v>
      </c>
      <c r="N2050" s="7">
        <v>60</v>
      </c>
      <c r="O2050" s="7">
        <v>650</v>
      </c>
      <c r="P2050" s="7">
        <v>675</v>
      </c>
    </row>
    <row r="2051" spans="1:16" s="10" customFormat="1">
      <c r="A2051" s="7">
        <f>IF(B2051="","",SUBTOTAL(103,$B$2:B2051))</f>
        <v>2050</v>
      </c>
      <c r="B2051" s="8" t="s">
        <v>5462</v>
      </c>
      <c r="C2051" s="7" t="s">
        <v>5603</v>
      </c>
      <c r="D2051" s="9" t="s">
        <v>5604</v>
      </c>
      <c r="E2051" s="7" t="s">
        <v>5465</v>
      </c>
      <c r="F2051" s="7" t="s">
        <v>4382</v>
      </c>
      <c r="G2051" s="7" t="str">
        <f>E2051&amp;F2051</f>
        <v>MB 114 K-12A RSB21/2*11/4 CF8 NPT</v>
      </c>
      <c r="H2051" s="7">
        <v>0.93</v>
      </c>
      <c r="I2051" s="7">
        <v>3</v>
      </c>
      <c r="J2051" s="7">
        <v>800</v>
      </c>
      <c r="K2051" s="7">
        <v>600</v>
      </c>
      <c r="L2051" s="7">
        <v>150</v>
      </c>
      <c r="M2051" s="7">
        <v>30</v>
      </c>
      <c r="N2051" s="7">
        <v>60</v>
      </c>
      <c r="O2051" s="7">
        <v>650</v>
      </c>
      <c r="P2051" s="7">
        <v>675</v>
      </c>
    </row>
    <row r="2052" spans="1:16" s="10" customFormat="1">
      <c r="A2052" s="7">
        <f>IF(B2052="","",SUBTOTAL(103,$B$2:B2052))</f>
        <v>2051</v>
      </c>
      <c r="B2052" s="8" t="s">
        <v>5462</v>
      </c>
      <c r="C2052" s="7" t="s">
        <v>5605</v>
      </c>
      <c r="D2052" s="9" t="s">
        <v>5606</v>
      </c>
      <c r="E2052" s="7" t="s">
        <v>5465</v>
      </c>
      <c r="F2052" s="7" t="s">
        <v>4389</v>
      </c>
      <c r="G2052" s="7" t="s">
        <v>5607</v>
      </c>
      <c r="H2052" s="7">
        <v>1.014</v>
      </c>
      <c r="I2052" s="7">
        <v>4</v>
      </c>
      <c r="J2052" s="7">
        <v>800</v>
      </c>
      <c r="K2052" s="7">
        <v>600</v>
      </c>
      <c r="L2052" s="7">
        <v>150</v>
      </c>
      <c r="M2052" s="7">
        <v>30</v>
      </c>
      <c r="N2052" s="7">
        <v>60</v>
      </c>
      <c r="O2052" s="7">
        <v>500</v>
      </c>
      <c r="P2052" s="7">
        <v>600</v>
      </c>
    </row>
    <row r="2053" spans="1:16" s="10" customFormat="1">
      <c r="A2053" s="7">
        <f>IF(B2053="","",SUBTOTAL(103,$B$2:B2053))</f>
        <v>2052</v>
      </c>
      <c r="B2053" s="8" t="s">
        <v>5462</v>
      </c>
      <c r="C2053" s="7" t="s">
        <v>5605</v>
      </c>
      <c r="D2053" s="9" t="s">
        <v>5608</v>
      </c>
      <c r="E2053" s="7" t="s">
        <v>5465</v>
      </c>
      <c r="F2053" s="7" t="s">
        <v>4392</v>
      </c>
      <c r="G2053" s="7" t="s">
        <v>5609</v>
      </c>
      <c r="H2053" s="7">
        <v>1.1319999999999999</v>
      </c>
      <c r="I2053" s="7">
        <v>4</v>
      </c>
      <c r="J2053" s="7">
        <v>800</v>
      </c>
      <c r="K2053" s="7">
        <v>600</v>
      </c>
      <c r="L2053" s="7">
        <v>150</v>
      </c>
      <c r="M2053" s="7">
        <v>30</v>
      </c>
      <c r="N2053" s="7">
        <v>60</v>
      </c>
      <c r="O2053" s="7">
        <v>500</v>
      </c>
      <c r="P2053" s="7">
        <v>600</v>
      </c>
    </row>
    <row r="2054" spans="1:16" s="10" customFormat="1">
      <c r="A2054" s="7">
        <f>IF(B2054="","",SUBTOTAL(103,$B$2:B2054))</f>
        <v>2053</v>
      </c>
      <c r="B2054" s="8" t="s">
        <v>5462</v>
      </c>
      <c r="C2054" s="7" t="s">
        <v>5610</v>
      </c>
      <c r="D2054" s="9" t="s">
        <v>5611</v>
      </c>
      <c r="E2054" s="7" t="s">
        <v>5465</v>
      </c>
      <c r="F2054" s="7" t="s">
        <v>4404</v>
      </c>
      <c r="G2054" s="7" t="s">
        <v>5612</v>
      </c>
      <c r="H2054" s="7">
        <v>1.2609999999999999</v>
      </c>
      <c r="I2054" s="7">
        <v>2</v>
      </c>
      <c r="J2054" s="7">
        <v>800</v>
      </c>
      <c r="K2054" s="7">
        <v>600</v>
      </c>
      <c r="L2054" s="7">
        <v>150</v>
      </c>
      <c r="M2054" s="7">
        <v>30</v>
      </c>
      <c r="N2054" s="7">
        <v>60</v>
      </c>
      <c r="O2054" s="7">
        <v>1000</v>
      </c>
      <c r="P2054" s="7">
        <v>1100</v>
      </c>
    </row>
    <row r="2055" spans="1:16" s="10" customFormat="1">
      <c r="A2055" s="7">
        <f>IF(B2055="","",SUBTOTAL(103,$B$2:B2055))</f>
        <v>2054</v>
      </c>
      <c r="B2055" s="8" t="s">
        <v>5462</v>
      </c>
      <c r="C2055" s="7" t="s">
        <v>5610</v>
      </c>
      <c r="D2055" s="9" t="s">
        <v>5613</v>
      </c>
      <c r="E2055" s="7" t="s">
        <v>5465</v>
      </c>
      <c r="F2055" s="7" t="s">
        <v>4407</v>
      </c>
      <c r="G2055" s="7" t="s">
        <v>5614</v>
      </c>
      <c r="H2055" s="7">
        <v>1.2609999999999999</v>
      </c>
      <c r="I2055" s="7">
        <v>2</v>
      </c>
      <c r="J2055" s="7">
        <v>800</v>
      </c>
      <c r="K2055" s="7">
        <v>600</v>
      </c>
      <c r="L2055" s="7">
        <v>150</v>
      </c>
      <c r="M2055" s="7">
        <v>30</v>
      </c>
      <c r="N2055" s="7">
        <v>60</v>
      </c>
      <c r="O2055" s="7">
        <v>1000</v>
      </c>
      <c r="P2055" s="7">
        <v>1100</v>
      </c>
    </row>
    <row r="2056" spans="1:16" s="10" customFormat="1">
      <c r="A2056" s="7">
        <f>IF(B2056="","",SUBTOTAL(103,$B$2:B2056))</f>
        <v>2055</v>
      </c>
      <c r="B2056" s="8" t="s">
        <v>5462</v>
      </c>
      <c r="C2056" s="7" t="s">
        <v>5615</v>
      </c>
      <c r="D2056" s="9" t="s">
        <v>5616</v>
      </c>
      <c r="E2056" s="7" t="s">
        <v>5465</v>
      </c>
      <c r="F2056" s="7" t="s">
        <v>4411</v>
      </c>
      <c r="G2056" s="7" t="s">
        <v>5617</v>
      </c>
      <c r="H2056" s="7">
        <v>1.3839999999999999</v>
      </c>
      <c r="I2056" s="7">
        <v>2</v>
      </c>
      <c r="J2056" s="7">
        <v>800</v>
      </c>
      <c r="K2056" s="7">
        <v>600</v>
      </c>
      <c r="L2056" s="7">
        <v>150</v>
      </c>
      <c r="M2056" s="7">
        <v>30</v>
      </c>
      <c r="N2056" s="7">
        <v>60</v>
      </c>
      <c r="O2056" s="7">
        <v>1000</v>
      </c>
      <c r="P2056" s="7">
        <v>1100</v>
      </c>
    </row>
    <row r="2057" spans="1:16" s="10" customFormat="1">
      <c r="A2057" s="7">
        <f>IF(B2057="","",SUBTOTAL(103,$B$2:B2057))</f>
        <v>2056</v>
      </c>
      <c r="B2057" s="8" t="s">
        <v>5462</v>
      </c>
      <c r="C2057" s="7" t="s">
        <v>5615</v>
      </c>
      <c r="D2057" s="9" t="s">
        <v>5618</v>
      </c>
      <c r="E2057" s="7" t="s">
        <v>5465</v>
      </c>
      <c r="F2057" s="7" t="s">
        <v>5619</v>
      </c>
      <c r="G2057" s="7" t="s">
        <v>5620</v>
      </c>
      <c r="H2057" s="7">
        <v>1.4059999999999999</v>
      </c>
      <c r="I2057" s="7">
        <v>2</v>
      </c>
      <c r="J2057" s="7">
        <v>800</v>
      </c>
      <c r="K2057" s="7">
        <v>600</v>
      </c>
      <c r="L2057" s="7">
        <v>150</v>
      </c>
      <c r="M2057" s="7">
        <v>30</v>
      </c>
      <c r="N2057" s="7">
        <v>60</v>
      </c>
      <c r="O2057" s="7">
        <v>1000</v>
      </c>
      <c r="P2057" s="7">
        <v>1100</v>
      </c>
    </row>
    <row r="2058" spans="1:16" s="10" customFormat="1">
      <c r="A2058" s="7">
        <f>IF(B2058="","",SUBTOTAL(103,$B$2:B2058))</f>
        <v>2057</v>
      </c>
      <c r="B2058" s="8" t="s">
        <v>5462</v>
      </c>
      <c r="C2058" s="7" t="s">
        <v>5621</v>
      </c>
      <c r="D2058" s="9" t="s">
        <v>5622</v>
      </c>
      <c r="E2058" s="7" t="s">
        <v>5465</v>
      </c>
      <c r="F2058" s="7" t="s">
        <v>4418</v>
      </c>
      <c r="G2058" s="7" t="s">
        <v>5623</v>
      </c>
      <c r="H2058" s="7">
        <v>1.2649999999999999</v>
      </c>
      <c r="I2058" s="7">
        <v>2</v>
      </c>
      <c r="J2058" s="7">
        <v>800</v>
      </c>
      <c r="K2058" s="7">
        <v>600</v>
      </c>
      <c r="L2058" s="7">
        <v>150</v>
      </c>
      <c r="M2058" s="7">
        <v>30</v>
      </c>
      <c r="N2058" s="7">
        <v>60</v>
      </c>
      <c r="O2058" s="7">
        <v>1000</v>
      </c>
      <c r="P2058" s="7">
        <v>1100</v>
      </c>
    </row>
    <row r="2059" spans="1:16" s="10" customFormat="1">
      <c r="A2059" s="7">
        <f>IF(B2059="","",SUBTOTAL(103,$B$2:B2059))</f>
        <v>2058</v>
      </c>
      <c r="B2059" s="8" t="s">
        <v>5462</v>
      </c>
      <c r="C2059" s="7" t="s">
        <v>5624</v>
      </c>
      <c r="D2059" s="9" t="s">
        <v>5625</v>
      </c>
      <c r="E2059" s="7" t="s">
        <v>5465</v>
      </c>
      <c r="F2059" s="7" t="s">
        <v>4424</v>
      </c>
      <c r="G2059" s="7" t="s">
        <v>5626</v>
      </c>
      <c r="H2059" s="7">
        <v>0.13200000000000001</v>
      </c>
      <c r="I2059" s="7">
        <v>2</v>
      </c>
      <c r="J2059" s="7">
        <v>800</v>
      </c>
      <c r="K2059" s="7">
        <v>600</v>
      </c>
      <c r="L2059" s="7">
        <v>150</v>
      </c>
      <c r="M2059" s="7">
        <v>30</v>
      </c>
      <c r="N2059" s="7">
        <v>60</v>
      </c>
      <c r="O2059" s="7">
        <v>1000</v>
      </c>
      <c r="P2059" s="7">
        <v>1100</v>
      </c>
    </row>
    <row r="2060" spans="1:16" s="10" customFormat="1">
      <c r="A2060" s="7">
        <f>IF(B2060="","",SUBTOTAL(103,$B$2:B2060))</f>
        <v>2059</v>
      </c>
      <c r="B2060" s="8" t="s">
        <v>5462</v>
      </c>
      <c r="C2060" s="7" t="s">
        <v>5624</v>
      </c>
      <c r="D2060" s="9" t="s">
        <v>5627</v>
      </c>
      <c r="E2060" s="7" t="s">
        <v>5465</v>
      </c>
      <c r="F2060" s="7" t="s">
        <v>3844</v>
      </c>
      <c r="G2060" s="7" t="s">
        <v>5628</v>
      </c>
      <c r="H2060" s="7">
        <v>0.13200000000000001</v>
      </c>
      <c r="I2060" s="7">
        <v>2</v>
      </c>
      <c r="J2060" s="7">
        <v>800</v>
      </c>
      <c r="K2060" s="7">
        <v>600</v>
      </c>
      <c r="L2060" s="7">
        <v>150</v>
      </c>
      <c r="M2060" s="7">
        <v>30</v>
      </c>
      <c r="N2060" s="7">
        <v>60</v>
      </c>
      <c r="O2060" s="7">
        <v>1000</v>
      </c>
      <c r="P2060" s="7">
        <v>1100</v>
      </c>
    </row>
    <row r="2061" spans="1:16" s="10" customFormat="1">
      <c r="A2061" s="7">
        <f>IF(B2061="","",SUBTOTAL(103,$B$2:B2061))</f>
        <v>2060</v>
      </c>
      <c r="B2061" s="8" t="s">
        <v>5462</v>
      </c>
      <c r="C2061" s="7" t="s">
        <v>5624</v>
      </c>
      <c r="D2061" s="9" t="s">
        <v>5629</v>
      </c>
      <c r="E2061" s="7" t="s">
        <v>5254</v>
      </c>
      <c r="F2061" s="7" t="s">
        <v>3844</v>
      </c>
      <c r="G2061" s="7" t="s">
        <v>5630</v>
      </c>
      <c r="H2061" s="7">
        <v>1.5009999999999999</v>
      </c>
      <c r="I2061" s="7">
        <v>2</v>
      </c>
      <c r="J2061" s="7">
        <v>800</v>
      </c>
      <c r="K2061" s="7">
        <v>600</v>
      </c>
      <c r="L2061" s="7">
        <v>150</v>
      </c>
      <c r="M2061" s="7">
        <v>30</v>
      </c>
      <c r="N2061" s="7">
        <v>60</v>
      </c>
      <c r="O2061" s="7">
        <v>1000</v>
      </c>
      <c r="P2061" s="7">
        <v>1100</v>
      </c>
    </row>
    <row r="2062" spans="1:16" s="10" customFormat="1">
      <c r="A2062" s="7">
        <f>IF(B2062="","",SUBTOTAL(103,$B$2:B2062))</f>
        <v>2061</v>
      </c>
      <c r="B2062" s="8" t="s">
        <v>5462</v>
      </c>
      <c r="C2062" s="7" t="s">
        <v>5631</v>
      </c>
      <c r="D2062" s="9" t="s">
        <v>5632</v>
      </c>
      <c r="E2062" s="7" t="s">
        <v>5465</v>
      </c>
      <c r="F2062" s="7" t="s">
        <v>4430</v>
      </c>
      <c r="G2062" s="7" t="s">
        <v>5633</v>
      </c>
      <c r="H2062" s="7">
        <v>1.6040000000000001</v>
      </c>
      <c r="I2062" s="7">
        <v>2</v>
      </c>
      <c r="J2062" s="7">
        <v>800</v>
      </c>
      <c r="K2062" s="7">
        <v>600</v>
      </c>
      <c r="L2062" s="7">
        <v>150</v>
      </c>
      <c r="M2062" s="7">
        <v>30</v>
      </c>
      <c r="N2062" s="7">
        <v>60</v>
      </c>
      <c r="O2062" s="7">
        <v>1000</v>
      </c>
      <c r="P2062" s="7">
        <v>1100</v>
      </c>
    </row>
    <row r="2063" spans="1:16" s="10" customFormat="1">
      <c r="A2063" s="7">
        <f>IF(B2063="","",SUBTOTAL(103,$B$2:B2063))</f>
        <v>2062</v>
      </c>
      <c r="B2063" s="8" t="s">
        <v>5462</v>
      </c>
      <c r="C2063" s="7" t="s">
        <v>5631</v>
      </c>
      <c r="D2063" s="9" t="s">
        <v>5634</v>
      </c>
      <c r="E2063" s="7" t="s">
        <v>5465</v>
      </c>
      <c r="F2063" s="7" t="s">
        <v>4433</v>
      </c>
      <c r="G2063" s="7" t="s">
        <v>5635</v>
      </c>
      <c r="H2063" s="7">
        <v>1.6040000000000001</v>
      </c>
      <c r="I2063" s="7">
        <v>2</v>
      </c>
      <c r="J2063" s="7">
        <v>800</v>
      </c>
      <c r="K2063" s="7">
        <v>600</v>
      </c>
      <c r="L2063" s="7">
        <v>150</v>
      </c>
      <c r="M2063" s="7">
        <v>30</v>
      </c>
      <c r="N2063" s="7">
        <v>60</v>
      </c>
      <c r="O2063" s="7">
        <v>1000</v>
      </c>
      <c r="P2063" s="7">
        <v>1100</v>
      </c>
    </row>
    <row r="2064" spans="1:16" s="10" customFormat="1">
      <c r="A2064" s="7">
        <f>IF(B2064="","",SUBTOTAL(103,$B$2:B2064))</f>
        <v>2063</v>
      </c>
      <c r="B2064" s="8" t="s">
        <v>5462</v>
      </c>
      <c r="C2064" s="7" t="s">
        <v>5262</v>
      </c>
      <c r="D2064" s="9" t="s">
        <v>5636</v>
      </c>
      <c r="E2064" s="7" t="s">
        <v>5465</v>
      </c>
      <c r="F2064" s="7" t="s">
        <v>4444</v>
      </c>
      <c r="G2064" s="7" t="s">
        <v>5637</v>
      </c>
      <c r="H2064" s="7">
        <v>0.13200000000000001</v>
      </c>
      <c r="I2064" s="7">
        <v>38</v>
      </c>
      <c r="J2064" s="7">
        <v>800</v>
      </c>
      <c r="K2064" s="7">
        <v>600</v>
      </c>
      <c r="L2064" s="7">
        <v>150</v>
      </c>
      <c r="M2064" s="7">
        <v>30</v>
      </c>
      <c r="N2064" s="7">
        <v>60</v>
      </c>
      <c r="O2064" s="7">
        <v>50</v>
      </c>
      <c r="P2064" s="7">
        <v>135</v>
      </c>
    </row>
    <row r="2065" spans="1:16" s="10" customFormat="1">
      <c r="A2065" s="7">
        <f>IF(B2065="","",SUBTOTAL(103,$B$2:B2065))</f>
        <v>2064</v>
      </c>
      <c r="B2065" s="8" t="s">
        <v>5462</v>
      </c>
      <c r="C2065" s="7" t="s">
        <v>5262</v>
      </c>
      <c r="D2065" s="9" t="s">
        <v>5638</v>
      </c>
      <c r="E2065" s="7" t="s">
        <v>5465</v>
      </c>
      <c r="F2065" s="7" t="s">
        <v>3848</v>
      </c>
      <c r="G2065" s="7" t="s">
        <v>5639</v>
      </c>
      <c r="H2065" s="7">
        <v>0.13200000000000001</v>
      </c>
      <c r="I2065" s="7">
        <v>38</v>
      </c>
      <c r="J2065" s="7">
        <v>800</v>
      </c>
      <c r="K2065" s="7">
        <v>600</v>
      </c>
      <c r="L2065" s="7">
        <v>150</v>
      </c>
      <c r="M2065" s="7">
        <v>30</v>
      </c>
      <c r="N2065" s="7">
        <v>60</v>
      </c>
      <c r="O2065" s="7">
        <v>50</v>
      </c>
      <c r="P2065" s="7">
        <v>135</v>
      </c>
    </row>
    <row r="2066" spans="1:16" s="10" customFormat="1">
      <c r="A2066" s="7">
        <f>IF(B2066="","",SUBTOTAL(103,$B$2:B2066))</f>
        <v>2065</v>
      </c>
      <c r="B2066" s="8" t="s">
        <v>5462</v>
      </c>
      <c r="C2066" s="7" t="s">
        <v>5640</v>
      </c>
      <c r="D2066" s="9" t="s">
        <v>5641</v>
      </c>
      <c r="E2066" s="7" t="s">
        <v>5465</v>
      </c>
      <c r="F2066" s="7" t="s">
        <v>4450</v>
      </c>
      <c r="G2066" s="7" t="s">
        <v>5642</v>
      </c>
      <c r="H2066" s="7">
        <v>0.11</v>
      </c>
      <c r="I2066" s="7">
        <v>38</v>
      </c>
      <c r="J2066" s="7">
        <v>800</v>
      </c>
      <c r="K2066" s="7">
        <v>600</v>
      </c>
      <c r="L2066" s="7">
        <v>150</v>
      </c>
      <c r="M2066" s="7">
        <v>30</v>
      </c>
      <c r="N2066" s="7">
        <v>60</v>
      </c>
      <c r="O2066" s="7">
        <v>50</v>
      </c>
      <c r="P2066" s="7">
        <v>135</v>
      </c>
    </row>
    <row r="2067" spans="1:16" s="10" customFormat="1">
      <c r="A2067" s="7">
        <f>IF(B2067="","",SUBTOTAL(103,$B$2:B2067))</f>
        <v>2066</v>
      </c>
      <c r="B2067" s="8" t="s">
        <v>5462</v>
      </c>
      <c r="C2067" s="7" t="s">
        <v>5640</v>
      </c>
      <c r="D2067" s="9" t="s">
        <v>5643</v>
      </c>
      <c r="E2067" s="7" t="s">
        <v>5465</v>
      </c>
      <c r="F2067" s="7" t="s">
        <v>4455</v>
      </c>
      <c r="G2067" s="7" t="s">
        <v>5644</v>
      </c>
      <c r="H2067" s="7">
        <v>0.11</v>
      </c>
      <c r="I2067" s="7">
        <v>38</v>
      </c>
      <c r="J2067" s="7">
        <v>800</v>
      </c>
      <c r="K2067" s="7">
        <v>600</v>
      </c>
      <c r="L2067" s="7">
        <v>150</v>
      </c>
      <c r="M2067" s="7">
        <v>30</v>
      </c>
      <c r="N2067" s="7">
        <v>60</v>
      </c>
      <c r="O2067" s="7">
        <v>50</v>
      </c>
      <c r="P2067" s="7">
        <v>135</v>
      </c>
    </row>
    <row r="2068" spans="1:16" s="10" customFormat="1">
      <c r="A2068" s="7">
        <f>IF(B2068="","",SUBTOTAL(103,$B$2:B2068))</f>
        <v>2067</v>
      </c>
      <c r="B2068" s="8" t="s">
        <v>5462</v>
      </c>
      <c r="C2068" s="7" t="s">
        <v>5645</v>
      </c>
      <c r="D2068" s="9" t="s">
        <v>5646</v>
      </c>
      <c r="E2068" s="7" t="s">
        <v>5465</v>
      </c>
      <c r="F2068" s="7" t="s">
        <v>4460</v>
      </c>
      <c r="G2068" s="7" t="s">
        <v>5647</v>
      </c>
      <c r="H2068" s="7">
        <v>0.10100000000000001</v>
      </c>
      <c r="I2068" s="7">
        <v>38</v>
      </c>
      <c r="J2068" s="7">
        <v>800</v>
      </c>
      <c r="K2068" s="7">
        <v>600</v>
      </c>
      <c r="L2068" s="7">
        <v>150</v>
      </c>
      <c r="M2068" s="7">
        <v>30</v>
      </c>
      <c r="N2068" s="7">
        <v>60</v>
      </c>
      <c r="O2068" s="7">
        <v>50</v>
      </c>
      <c r="P2068" s="7">
        <v>135</v>
      </c>
    </row>
    <row r="2069" spans="1:16" s="10" customFormat="1">
      <c r="A2069" s="7">
        <f>IF(B2069="","",SUBTOTAL(103,$B$2:B2069))</f>
        <v>2068</v>
      </c>
      <c r="B2069" s="8" t="s">
        <v>5462</v>
      </c>
      <c r="C2069" s="7" t="s">
        <v>5648</v>
      </c>
      <c r="D2069" s="9" t="s">
        <v>5649</v>
      </c>
      <c r="E2069" s="7" t="s">
        <v>5465</v>
      </c>
      <c r="F2069" s="7" t="s">
        <v>4468</v>
      </c>
      <c r="G2069" s="7" t="s">
        <v>5650</v>
      </c>
      <c r="H2069" s="7">
        <v>0.11700000000000001</v>
      </c>
      <c r="I2069" s="7">
        <v>38</v>
      </c>
      <c r="J2069" s="7">
        <v>800</v>
      </c>
      <c r="K2069" s="7">
        <v>600</v>
      </c>
      <c r="L2069" s="7">
        <v>150</v>
      </c>
      <c r="M2069" s="7">
        <v>30</v>
      </c>
      <c r="N2069" s="7">
        <v>60</v>
      </c>
      <c r="O2069" s="7">
        <v>50</v>
      </c>
      <c r="P2069" s="7">
        <v>135</v>
      </c>
    </row>
    <row r="2070" spans="1:16" s="10" customFormat="1">
      <c r="A2070" s="7">
        <f>IF(B2070="","",SUBTOTAL(103,$B$2:B2070))</f>
        <v>2069</v>
      </c>
      <c r="B2070" s="8" t="s">
        <v>5462</v>
      </c>
      <c r="C2070" s="7" t="s">
        <v>5648</v>
      </c>
      <c r="D2070" s="9" t="s">
        <v>5651</v>
      </c>
      <c r="E2070" s="7" t="s">
        <v>5465</v>
      </c>
      <c r="F2070" s="7" t="s">
        <v>4471</v>
      </c>
      <c r="G2070" s="7" t="s">
        <v>5652</v>
      </c>
      <c r="H2070" s="7">
        <v>0.11700000000000001</v>
      </c>
      <c r="I2070" s="7">
        <v>38</v>
      </c>
      <c r="J2070" s="7">
        <v>800</v>
      </c>
      <c r="K2070" s="7">
        <v>600</v>
      </c>
      <c r="L2070" s="7">
        <v>150</v>
      </c>
      <c r="M2070" s="7">
        <v>30</v>
      </c>
      <c r="N2070" s="7">
        <v>60</v>
      </c>
      <c r="O2070" s="7">
        <v>50</v>
      </c>
      <c r="P2070" s="7">
        <v>135</v>
      </c>
    </row>
    <row r="2071" spans="1:16" s="10" customFormat="1">
      <c r="A2071" s="7">
        <f>IF(B2071="","",SUBTOTAL(103,$B$2:B2071))</f>
        <v>2070</v>
      </c>
      <c r="B2071" s="8" t="s">
        <v>5462</v>
      </c>
      <c r="C2071" s="7" t="s">
        <v>5653</v>
      </c>
      <c r="D2071" s="9" t="s">
        <v>5654</v>
      </c>
      <c r="E2071" s="7" t="s">
        <v>5465</v>
      </c>
      <c r="F2071" s="7" t="s">
        <v>4477</v>
      </c>
      <c r="G2071" s="7" t="s">
        <v>5655</v>
      </c>
      <c r="H2071" s="7">
        <v>5.3999999999999999E-2</v>
      </c>
      <c r="I2071" s="7">
        <v>68</v>
      </c>
      <c r="J2071" s="7">
        <v>800</v>
      </c>
      <c r="K2071" s="7">
        <v>600</v>
      </c>
      <c r="L2071" s="7">
        <v>150</v>
      </c>
      <c r="M2071" s="7">
        <v>30</v>
      </c>
      <c r="N2071" s="7">
        <v>60</v>
      </c>
      <c r="O2071" s="7">
        <v>30</v>
      </c>
      <c r="P2071" s="7">
        <v>125</v>
      </c>
    </row>
    <row r="2072" spans="1:16" s="10" customFormat="1">
      <c r="A2072" s="7">
        <f>IF(B2072="","",SUBTOTAL(103,$B$2:B2072))</f>
        <v>2071</v>
      </c>
      <c r="B2072" s="8" t="s">
        <v>5462</v>
      </c>
      <c r="C2072" s="7" t="s">
        <v>5653</v>
      </c>
      <c r="D2072" s="9" t="s">
        <v>5656</v>
      </c>
      <c r="E2072" s="7" t="s">
        <v>5465</v>
      </c>
      <c r="F2072" s="7" t="s">
        <v>3852</v>
      </c>
      <c r="G2072" s="7" t="s">
        <v>5657</v>
      </c>
      <c r="H2072" s="7">
        <v>5.3999999999999999E-2</v>
      </c>
      <c r="I2072" s="7">
        <v>68</v>
      </c>
      <c r="J2072" s="7">
        <v>800</v>
      </c>
      <c r="K2072" s="7">
        <v>600</v>
      </c>
      <c r="L2072" s="7">
        <v>150</v>
      </c>
      <c r="M2072" s="7">
        <v>30</v>
      </c>
      <c r="N2072" s="7">
        <v>60</v>
      </c>
      <c r="O2072" s="7">
        <v>30</v>
      </c>
      <c r="P2072" s="7">
        <v>125</v>
      </c>
    </row>
    <row r="2073" spans="1:16" s="10" customFormat="1">
      <c r="A2073" s="7">
        <f>IF(B2073="","",SUBTOTAL(103,$B$2:B2073))</f>
        <v>2072</v>
      </c>
      <c r="B2073" s="8" t="s">
        <v>5462</v>
      </c>
      <c r="C2073" s="7" t="s">
        <v>5658</v>
      </c>
      <c r="D2073" s="9" t="s">
        <v>5659</v>
      </c>
      <c r="E2073" s="7" t="s">
        <v>5465</v>
      </c>
      <c r="F2073" s="7" t="s">
        <v>4485</v>
      </c>
      <c r="G2073" s="7" t="s">
        <v>5660</v>
      </c>
      <c r="H2073" s="7">
        <v>4.9000000000000002E-2</v>
      </c>
      <c r="I2073" s="7">
        <v>68</v>
      </c>
      <c r="J2073" s="7">
        <v>800</v>
      </c>
      <c r="K2073" s="7">
        <v>600</v>
      </c>
      <c r="L2073" s="7">
        <v>150</v>
      </c>
      <c r="M2073" s="7">
        <v>30</v>
      </c>
      <c r="N2073" s="7">
        <v>60</v>
      </c>
      <c r="O2073" s="7">
        <v>30</v>
      </c>
      <c r="P2073" s="7">
        <v>125</v>
      </c>
    </row>
    <row r="2074" spans="1:16" s="10" customFormat="1">
      <c r="A2074" s="7">
        <f>IF(B2074="","",SUBTOTAL(103,$B$2:B2074))</f>
        <v>2073</v>
      </c>
      <c r="B2074" s="8" t="s">
        <v>5462</v>
      </c>
      <c r="C2074" s="7" t="s">
        <v>5658</v>
      </c>
      <c r="D2074" s="9" t="s">
        <v>5661</v>
      </c>
      <c r="E2074" s="7" t="s">
        <v>5465</v>
      </c>
      <c r="F2074" s="7" t="s">
        <v>3856</v>
      </c>
      <c r="G2074" s="7" t="s">
        <v>5662</v>
      </c>
      <c r="H2074" s="7">
        <v>4.9000000000000002E-2</v>
      </c>
      <c r="I2074" s="7">
        <v>68</v>
      </c>
      <c r="J2074" s="7">
        <v>800</v>
      </c>
      <c r="K2074" s="7">
        <v>600</v>
      </c>
      <c r="L2074" s="7">
        <v>150</v>
      </c>
      <c r="M2074" s="7">
        <v>30</v>
      </c>
      <c r="N2074" s="7">
        <v>60</v>
      </c>
      <c r="O2074" s="7">
        <v>30</v>
      </c>
      <c r="P2074" s="7">
        <v>125</v>
      </c>
    </row>
    <row r="2075" spans="1:16" s="10" customFormat="1">
      <c r="A2075" s="7">
        <f>IF(B2075="","",SUBTOTAL(103,$B$2:B2075))</f>
        <v>2074</v>
      </c>
      <c r="B2075" s="8" t="s">
        <v>5462</v>
      </c>
      <c r="C2075" s="7" t="s">
        <v>5663</v>
      </c>
      <c r="D2075" s="9" t="s">
        <v>5664</v>
      </c>
      <c r="E2075" s="7" t="s">
        <v>5465</v>
      </c>
      <c r="F2075" s="7" t="s">
        <v>4505</v>
      </c>
      <c r="G2075" s="7" t="s">
        <v>5665</v>
      </c>
      <c r="H2075" s="7">
        <v>2.2200000000000002</v>
      </c>
      <c r="I2075" s="7">
        <v>2</v>
      </c>
      <c r="J2075" s="7">
        <v>800</v>
      </c>
      <c r="K2075" s="7">
        <v>600</v>
      </c>
      <c r="L2075" s="7">
        <v>150</v>
      </c>
      <c r="M2075" s="7">
        <v>30</v>
      </c>
      <c r="N2075" s="7">
        <v>60</v>
      </c>
      <c r="O2075" s="7">
        <v>1000</v>
      </c>
      <c r="P2075" s="7">
        <v>1100</v>
      </c>
    </row>
    <row r="2076" spans="1:16" s="10" customFormat="1">
      <c r="A2076" s="7">
        <f>IF(B2076="","",SUBTOTAL(103,$B$2:B2076))</f>
        <v>2075</v>
      </c>
      <c r="B2076" s="8" t="s">
        <v>5462</v>
      </c>
      <c r="C2076" s="7" t="s">
        <v>5663</v>
      </c>
      <c r="D2076" s="9" t="s">
        <v>5666</v>
      </c>
      <c r="E2076" s="7" t="s">
        <v>5465</v>
      </c>
      <c r="F2076" s="7" t="s">
        <v>4508</v>
      </c>
      <c r="G2076" s="7" t="s">
        <v>5667</v>
      </c>
      <c r="H2076" s="7">
        <v>2.2200000000000002</v>
      </c>
      <c r="I2076" s="7">
        <v>2</v>
      </c>
      <c r="J2076" s="7">
        <v>800</v>
      </c>
      <c r="K2076" s="7">
        <v>600</v>
      </c>
      <c r="L2076" s="7">
        <v>150</v>
      </c>
      <c r="M2076" s="7">
        <v>30</v>
      </c>
      <c r="N2076" s="7">
        <v>60</v>
      </c>
      <c r="O2076" s="7">
        <v>1000</v>
      </c>
      <c r="P2076" s="7">
        <v>1100</v>
      </c>
    </row>
    <row r="2077" spans="1:16" s="10" customFormat="1">
      <c r="A2077" s="7">
        <f>IF(B2077="","",SUBTOTAL(103,$B$2:B2077))</f>
        <v>2076</v>
      </c>
      <c r="B2077" s="8" t="s">
        <v>5462</v>
      </c>
      <c r="C2077" s="7" t="s">
        <v>5668</v>
      </c>
      <c r="D2077" s="9" t="s">
        <v>5669</v>
      </c>
      <c r="E2077" s="7" t="s">
        <v>5465</v>
      </c>
      <c r="F2077" s="7" t="s">
        <v>4515</v>
      </c>
      <c r="G2077" s="7" t="s">
        <v>5670</v>
      </c>
      <c r="H2077" s="7">
        <v>2.4380000000000002</v>
      </c>
      <c r="I2077" s="7">
        <v>2</v>
      </c>
      <c r="J2077" s="7">
        <v>800</v>
      </c>
      <c r="K2077" s="7">
        <v>600</v>
      </c>
      <c r="L2077" s="7">
        <v>150</v>
      </c>
      <c r="M2077" s="7">
        <v>30</v>
      </c>
      <c r="N2077" s="7">
        <v>60</v>
      </c>
      <c r="O2077" s="7">
        <v>1000</v>
      </c>
      <c r="P2077" s="7">
        <v>1100</v>
      </c>
    </row>
    <row r="2078" spans="1:16" s="10" customFormat="1">
      <c r="A2078" s="7">
        <f>IF(B2078="","",SUBTOTAL(103,$B$2:B2078))</f>
        <v>2077</v>
      </c>
      <c r="B2078" s="8" t="s">
        <v>5265</v>
      </c>
      <c r="C2078" s="7" t="s">
        <v>5671</v>
      </c>
      <c r="D2078" s="9" t="s">
        <v>5672</v>
      </c>
      <c r="E2078" s="7" t="s">
        <v>5268</v>
      </c>
      <c r="F2078" s="7" t="s">
        <v>5673</v>
      </c>
      <c r="G2078" s="7" t="str">
        <f>E2078&amp;F2078</f>
        <v>MB  K-12A RSB4*21/2 304 NPT</v>
      </c>
      <c r="H2078" s="7">
        <v>1.55</v>
      </c>
      <c r="I2078" s="7">
        <v>2</v>
      </c>
      <c r="J2078" s="7">
        <v>800</v>
      </c>
      <c r="K2078" s="7">
        <v>600</v>
      </c>
      <c r="L2078" s="7">
        <v>150</v>
      </c>
      <c r="M2078" s="7">
        <v>30</v>
      </c>
      <c r="N2078" s="7">
        <v>60</v>
      </c>
      <c r="O2078" s="7">
        <v>1000</v>
      </c>
      <c r="P2078" s="7">
        <v>1100</v>
      </c>
    </row>
    <row r="2079" spans="1:16" s="10" customFormat="1">
      <c r="A2079" s="7">
        <f>IF(B2079="","",SUBTOTAL(103,$B$2:B2079))</f>
        <v>2078</v>
      </c>
      <c r="B2079" s="8" t="s">
        <v>5462</v>
      </c>
      <c r="C2079" s="7" t="s">
        <v>5668</v>
      </c>
      <c r="D2079" s="9" t="s">
        <v>5674</v>
      </c>
      <c r="E2079" s="7" t="s">
        <v>5465</v>
      </c>
      <c r="F2079" s="7" t="s">
        <v>4512</v>
      </c>
      <c r="G2079" s="7" t="s">
        <v>5675</v>
      </c>
      <c r="H2079" s="7">
        <v>2.4380000000000002</v>
      </c>
      <c r="I2079" s="7">
        <v>2</v>
      </c>
      <c r="J2079" s="7">
        <v>800</v>
      </c>
      <c r="K2079" s="7">
        <v>600</v>
      </c>
      <c r="L2079" s="7">
        <v>150</v>
      </c>
      <c r="M2079" s="7">
        <v>30</v>
      </c>
      <c r="N2079" s="7">
        <v>60</v>
      </c>
      <c r="O2079" s="7">
        <v>1000</v>
      </c>
      <c r="P2079" s="7">
        <v>1100</v>
      </c>
    </row>
    <row r="2080" spans="1:16" s="10" customFormat="1">
      <c r="A2080" s="7">
        <f>IF(B2080="","",SUBTOTAL(103,$B$2:B2080))</f>
        <v>2079</v>
      </c>
      <c r="B2080" s="8" t="s">
        <v>5462</v>
      </c>
      <c r="C2080" s="7" t="s">
        <v>5676</v>
      </c>
      <c r="D2080" s="9" t="s">
        <v>5677</v>
      </c>
      <c r="E2080" s="7" t="s">
        <v>5465</v>
      </c>
      <c r="F2080" s="7" t="s">
        <v>4519</v>
      </c>
      <c r="G2080" s="7" t="s">
        <v>5678</v>
      </c>
      <c r="H2080" s="7">
        <v>2.8</v>
      </c>
      <c r="I2080" s="7">
        <v>2</v>
      </c>
      <c r="J2080" s="7">
        <v>800</v>
      </c>
      <c r="K2080" s="7">
        <v>600</v>
      </c>
      <c r="L2080" s="7">
        <v>150</v>
      </c>
      <c r="M2080" s="7">
        <v>30</v>
      </c>
      <c r="N2080" s="7">
        <v>60</v>
      </c>
      <c r="O2080" s="7">
        <v>1000</v>
      </c>
      <c r="P2080" s="7">
        <v>1100</v>
      </c>
    </row>
    <row r="2081" spans="1:16" s="10" customFormat="1">
      <c r="A2081" s="7">
        <f>IF(B2081="","",SUBTOTAL(103,$B$2:B2081))</f>
        <v>2080</v>
      </c>
      <c r="B2081" s="8" t="s">
        <v>5462</v>
      </c>
      <c r="C2081" s="7" t="s">
        <v>5676</v>
      </c>
      <c r="D2081" s="9" t="s">
        <v>5679</v>
      </c>
      <c r="E2081" s="7" t="s">
        <v>5465</v>
      </c>
      <c r="F2081" s="7" t="s">
        <v>4522</v>
      </c>
      <c r="G2081" s="7" t="s">
        <v>5680</v>
      </c>
      <c r="H2081" s="7">
        <v>2.8</v>
      </c>
      <c r="I2081" s="7">
        <v>2</v>
      </c>
      <c r="J2081" s="7">
        <v>800</v>
      </c>
      <c r="K2081" s="7">
        <v>600</v>
      </c>
      <c r="L2081" s="7">
        <v>150</v>
      </c>
      <c r="M2081" s="7">
        <v>30</v>
      </c>
      <c r="N2081" s="7">
        <v>60</v>
      </c>
      <c r="O2081" s="7">
        <v>1000</v>
      </c>
      <c r="P2081" s="7">
        <v>1100</v>
      </c>
    </row>
    <row r="2082" spans="1:16">
      <c r="A2082" s="7">
        <f>IF(B2082="","",SUBTOTAL(103,$B$2:B2082))</f>
        <v>2081</v>
      </c>
      <c r="B2082" s="8" t="s">
        <v>5265</v>
      </c>
      <c r="C2082" s="7" t="s">
        <v>5681</v>
      </c>
      <c r="D2082" s="9" t="s">
        <v>5682</v>
      </c>
      <c r="E2082" s="7" t="s">
        <v>5268</v>
      </c>
      <c r="F2082" s="7" t="s">
        <v>5683</v>
      </c>
      <c r="G2082" s="7" t="s">
        <v>5684</v>
      </c>
      <c r="H2082" s="7">
        <v>0.89400000000000002</v>
      </c>
      <c r="I2082" s="7">
        <v>2</v>
      </c>
      <c r="J2082" s="7">
        <v>800</v>
      </c>
      <c r="K2082" s="7">
        <v>600</v>
      </c>
      <c r="L2082" s="7">
        <v>150</v>
      </c>
      <c r="M2082" s="7">
        <v>30</v>
      </c>
      <c r="N2082" s="7">
        <v>60</v>
      </c>
      <c r="O2082" s="7">
        <v>1000</v>
      </c>
      <c r="P2082" s="7">
        <v>1100</v>
      </c>
    </row>
    <row r="2083" spans="1:16">
      <c r="A2083" s="7">
        <f>IF(B2083="","",SUBTOTAL(103,$B$2:B2083))</f>
        <v>2082</v>
      </c>
      <c r="B2083" s="8" t="s">
        <v>5265</v>
      </c>
      <c r="C2083" s="7" t="s">
        <v>5681</v>
      </c>
      <c r="D2083" s="9" t="s">
        <v>5685</v>
      </c>
      <c r="E2083" s="7" t="s">
        <v>5268</v>
      </c>
      <c r="F2083" s="7" t="s">
        <v>4082</v>
      </c>
      <c r="G2083" s="7" t="str">
        <f>E2083&amp;F2083</f>
        <v>MB  K-12A RSB3*11/4 304</v>
      </c>
      <c r="H2083" s="7">
        <v>0.89</v>
      </c>
      <c r="I2083" s="7">
        <v>4</v>
      </c>
      <c r="J2083" s="7">
        <v>800</v>
      </c>
      <c r="K2083" s="7">
        <v>600</v>
      </c>
      <c r="L2083" s="7">
        <v>150</v>
      </c>
      <c r="M2083" s="7">
        <v>30</v>
      </c>
      <c r="N2083" s="7">
        <v>60</v>
      </c>
      <c r="O2083" s="7">
        <v>1000</v>
      </c>
      <c r="P2083" s="7">
        <v>1100</v>
      </c>
    </row>
    <row r="2084" spans="1:16">
      <c r="A2084" s="7">
        <f>IF(B2084="","",SUBTOTAL(103,$B$2:B2084))</f>
        <v>2083</v>
      </c>
      <c r="B2084" s="8" t="s">
        <v>5265</v>
      </c>
      <c r="C2084" s="7" t="s">
        <v>5332</v>
      </c>
      <c r="D2084" s="9" t="s">
        <v>5686</v>
      </c>
      <c r="E2084" s="7" t="s">
        <v>5687</v>
      </c>
      <c r="F2084" s="7" t="s">
        <v>3941</v>
      </c>
      <c r="G2084" s="7" t="s">
        <v>5688</v>
      </c>
      <c r="H2084" s="7">
        <v>7.8E-2</v>
      </c>
      <c r="I2084" s="7">
        <v>18</v>
      </c>
      <c r="J2084" s="7">
        <v>800</v>
      </c>
      <c r="K2084" s="7">
        <v>600</v>
      </c>
      <c r="L2084" s="7">
        <v>150</v>
      </c>
      <c r="M2084" s="7">
        <v>30</v>
      </c>
      <c r="N2084" s="7">
        <v>60</v>
      </c>
      <c r="O2084" s="7">
        <v>100</v>
      </c>
      <c r="P2084" s="7">
        <v>225</v>
      </c>
    </row>
    <row r="2085" spans="1:16">
      <c r="A2085" s="7">
        <f>IF(B2085="","",SUBTOTAL(103,$B$2:B2085))</f>
        <v>2084</v>
      </c>
      <c r="B2085" s="8" t="s">
        <v>5462</v>
      </c>
      <c r="C2085" s="7" t="s">
        <v>5645</v>
      </c>
      <c r="D2085" s="9" t="s">
        <v>5689</v>
      </c>
      <c r="E2085" s="7" t="s">
        <v>5465</v>
      </c>
      <c r="F2085" s="7" t="s">
        <v>4463</v>
      </c>
      <c r="G2085" s="7" t="s">
        <v>5690</v>
      </c>
      <c r="H2085" s="7">
        <v>0.10100000000000001</v>
      </c>
      <c r="I2085" s="7">
        <v>38</v>
      </c>
      <c r="J2085" s="7">
        <v>800</v>
      </c>
      <c r="K2085" s="7">
        <v>600</v>
      </c>
      <c r="L2085" s="7">
        <v>150</v>
      </c>
      <c r="M2085" s="7">
        <v>30</v>
      </c>
      <c r="N2085" s="7">
        <v>60</v>
      </c>
      <c r="O2085" s="7">
        <v>50</v>
      </c>
      <c r="P2085" s="7">
        <v>135</v>
      </c>
    </row>
    <row r="2086" spans="1:16">
      <c r="A2086" s="7">
        <f>IF(B2086="","",SUBTOTAL(103,$B$2:B2086))</f>
        <v>2085</v>
      </c>
      <c r="B2086" s="8" t="s">
        <v>5265</v>
      </c>
      <c r="C2086" s="7" t="s">
        <v>5454</v>
      </c>
      <c r="D2086" s="9" t="s">
        <v>5691</v>
      </c>
      <c r="E2086" s="7" t="s">
        <v>5687</v>
      </c>
      <c r="F2086" s="7" t="s">
        <v>4145</v>
      </c>
      <c r="G2086" s="7" t="s">
        <v>5692</v>
      </c>
      <c r="H2086" s="7">
        <v>1.48</v>
      </c>
      <c r="I2086" s="7">
        <v>2</v>
      </c>
      <c r="J2086" s="7">
        <v>800</v>
      </c>
      <c r="K2086" s="7">
        <v>600</v>
      </c>
      <c r="L2086" s="7">
        <v>150</v>
      </c>
      <c r="M2086" s="7">
        <v>30</v>
      </c>
      <c r="N2086" s="7">
        <v>60</v>
      </c>
      <c r="O2086" s="7">
        <v>1000</v>
      </c>
      <c r="P2086" s="7">
        <v>1100</v>
      </c>
    </row>
    <row r="2087" spans="1:16">
      <c r="A2087" s="7">
        <f>IF(B2087="","",SUBTOTAL(103,$B$2:B2087))</f>
        <v>2086</v>
      </c>
      <c r="B2087" s="8" t="s">
        <v>5265</v>
      </c>
      <c r="C2087" s="7" t="s">
        <v>5392</v>
      </c>
      <c r="D2087" s="9" t="s">
        <v>5693</v>
      </c>
      <c r="E2087" s="7" t="s">
        <v>5687</v>
      </c>
      <c r="F2087" s="7" t="s">
        <v>4050</v>
      </c>
      <c r="G2087" s="7" t="s">
        <v>5694</v>
      </c>
      <c r="H2087" s="7">
        <v>0.93</v>
      </c>
      <c r="I2087" s="7">
        <v>6</v>
      </c>
      <c r="J2087" s="7">
        <v>800</v>
      </c>
      <c r="K2087" s="7">
        <v>600</v>
      </c>
      <c r="L2087" s="7">
        <v>150</v>
      </c>
      <c r="M2087" s="7">
        <v>30</v>
      </c>
      <c r="N2087" s="7">
        <v>60</v>
      </c>
      <c r="O2087" s="7">
        <v>310</v>
      </c>
      <c r="P2087" s="7">
        <v>350</v>
      </c>
    </row>
    <row r="2088" spans="1:16" s="10" customFormat="1">
      <c r="A2088" s="7">
        <f>IF(B2088="","",SUBTOTAL(103,$B$2:B2088))</f>
        <v>2087</v>
      </c>
      <c r="B2088" s="8" t="s">
        <v>5695</v>
      </c>
      <c r="C2088" s="7" t="s">
        <v>5696</v>
      </c>
      <c r="D2088" s="9" t="s">
        <v>5697</v>
      </c>
      <c r="E2088" s="7" t="s">
        <v>5698</v>
      </c>
      <c r="F2088" s="7" t="s">
        <v>5699</v>
      </c>
      <c r="G2088" s="7" t="s">
        <v>5700</v>
      </c>
      <c r="H2088" s="7">
        <v>0.46</v>
      </c>
      <c r="I2088" s="7">
        <v>10</v>
      </c>
      <c r="J2088" s="7">
        <v>800</v>
      </c>
      <c r="K2088" s="7">
        <v>600</v>
      </c>
      <c r="L2088" s="7">
        <v>0</v>
      </c>
      <c r="M2088" s="7">
        <v>0</v>
      </c>
      <c r="N2088" s="7">
        <v>60</v>
      </c>
      <c r="O2088" s="7">
        <v>195</v>
      </c>
      <c r="P2088" s="7">
        <v>300</v>
      </c>
    </row>
    <row r="2089" spans="1:16">
      <c r="A2089" s="7">
        <f>IF(B2089="","",SUBTOTAL(103,$B$2:B2089))</f>
        <v>2088</v>
      </c>
      <c r="B2089" s="8" t="s">
        <v>4804</v>
      </c>
      <c r="C2089" s="7" t="s">
        <v>4882</v>
      </c>
      <c r="D2089" s="9" t="s">
        <v>5701</v>
      </c>
      <c r="E2089" s="7" t="s">
        <v>4807</v>
      </c>
      <c r="F2089" s="7" t="s">
        <v>5702</v>
      </c>
      <c r="G2089" s="7" t="s">
        <v>5703</v>
      </c>
      <c r="H2089" s="7">
        <v>1.4390000000000001</v>
      </c>
      <c r="I2089" s="7">
        <v>5</v>
      </c>
      <c r="J2089" s="7">
        <v>800</v>
      </c>
      <c r="K2089" s="7">
        <v>600</v>
      </c>
      <c r="L2089" s="7">
        <v>150</v>
      </c>
      <c r="M2089" s="7">
        <v>30</v>
      </c>
      <c r="N2089" s="7">
        <v>60</v>
      </c>
      <c r="O2089" s="7">
        <v>400</v>
      </c>
      <c r="P2089" s="7">
        <v>565</v>
      </c>
    </row>
    <row r="2090" spans="1:16">
      <c r="A2090" s="7">
        <f>IF(B2090="","",SUBTOTAL(103,$B$2:B2090))</f>
        <v>2089</v>
      </c>
      <c r="B2090" s="7" t="s">
        <v>5704</v>
      </c>
      <c r="C2090" s="7" t="s">
        <v>5705</v>
      </c>
      <c r="D2090" s="9" t="s">
        <v>5706</v>
      </c>
      <c r="E2090" s="7" t="s">
        <v>5704</v>
      </c>
      <c r="F2090" s="7" t="s">
        <v>1008</v>
      </c>
      <c r="G2090" s="7" t="s">
        <v>5707</v>
      </c>
      <c r="H2090" s="7">
        <v>0</v>
      </c>
      <c r="I2090" s="7">
        <v>24</v>
      </c>
      <c r="J2090" s="7">
        <v>800</v>
      </c>
      <c r="K2090" s="7">
        <v>600</v>
      </c>
      <c r="L2090" s="7">
        <v>150</v>
      </c>
      <c r="M2090" s="7">
        <v>30</v>
      </c>
      <c r="N2090" s="7">
        <v>60</v>
      </c>
      <c r="O2090" s="7">
        <v>120</v>
      </c>
      <c r="P2090" s="7">
        <v>300</v>
      </c>
    </row>
    <row r="2091" spans="1:16">
      <c r="A2091" s="7">
        <f>IF(B2091="","",SUBTOTAL(103,$B$2:B2091))</f>
        <v>2090</v>
      </c>
      <c r="B2091" s="7" t="s">
        <v>5704</v>
      </c>
      <c r="C2091" s="7" t="s">
        <v>5705</v>
      </c>
      <c r="D2091" s="9" t="s">
        <v>5708</v>
      </c>
      <c r="E2091" s="7" t="s">
        <v>5704</v>
      </c>
      <c r="F2091" s="7" t="s">
        <v>1011</v>
      </c>
      <c r="G2091" s="7" t="s">
        <v>5709</v>
      </c>
      <c r="H2091" s="7">
        <v>0</v>
      </c>
      <c r="I2091" s="7">
        <v>24</v>
      </c>
      <c r="J2091" s="7">
        <v>800</v>
      </c>
      <c r="K2091" s="7">
        <v>600</v>
      </c>
      <c r="L2091" s="7">
        <v>150</v>
      </c>
      <c r="M2091" s="7">
        <v>30</v>
      </c>
      <c r="N2091" s="7">
        <v>60</v>
      </c>
      <c r="O2091" s="7">
        <v>120</v>
      </c>
      <c r="P2091" s="7">
        <v>300</v>
      </c>
    </row>
    <row r="2092" spans="1:16">
      <c r="A2092" s="7">
        <f>IF(B2092="","",SUBTOTAL(103,$B$2:B2092))</f>
        <v>2091</v>
      </c>
      <c r="B2092" s="7" t="s">
        <v>5704</v>
      </c>
      <c r="C2092" s="7" t="s">
        <v>5710</v>
      </c>
      <c r="D2092" s="9" t="s">
        <v>5711</v>
      </c>
      <c r="E2092" s="7" t="s">
        <v>5704</v>
      </c>
      <c r="F2092" s="7" t="s">
        <v>1015</v>
      </c>
      <c r="G2092" s="7" t="s">
        <v>5712</v>
      </c>
      <c r="H2092" s="7">
        <v>0</v>
      </c>
      <c r="I2092" s="7">
        <v>40</v>
      </c>
      <c r="J2092" s="7">
        <v>800</v>
      </c>
      <c r="K2092" s="7">
        <v>600</v>
      </c>
      <c r="L2092" s="7">
        <v>150</v>
      </c>
      <c r="M2092" s="7">
        <v>30</v>
      </c>
      <c r="N2092" s="7">
        <v>60</v>
      </c>
      <c r="O2092" s="7">
        <v>80</v>
      </c>
      <c r="P2092" s="7">
        <v>220</v>
      </c>
    </row>
    <row r="2093" spans="1:16">
      <c r="A2093" s="7">
        <f>IF(B2093="","",SUBTOTAL(103,$B$2:B2093))</f>
        <v>2092</v>
      </c>
      <c r="B2093" s="7" t="s">
        <v>5704</v>
      </c>
      <c r="C2093" s="7" t="s">
        <v>5710</v>
      </c>
      <c r="D2093" s="9" t="s">
        <v>5713</v>
      </c>
      <c r="E2093" s="7" t="s">
        <v>5704</v>
      </c>
      <c r="F2093" s="7" t="s">
        <v>1018</v>
      </c>
      <c r="G2093" s="7" t="s">
        <v>5714</v>
      </c>
      <c r="H2093" s="7">
        <v>0</v>
      </c>
      <c r="I2093" s="7">
        <v>40</v>
      </c>
      <c r="J2093" s="7">
        <v>800</v>
      </c>
      <c r="K2093" s="7">
        <v>600</v>
      </c>
      <c r="L2093" s="7">
        <v>150</v>
      </c>
      <c r="M2093" s="7">
        <v>30</v>
      </c>
      <c r="N2093" s="7">
        <v>60</v>
      </c>
      <c r="O2093" s="7">
        <v>80</v>
      </c>
      <c r="P2093" s="7">
        <v>220</v>
      </c>
    </row>
    <row r="2094" spans="1:16">
      <c r="A2094" s="7">
        <f>IF(B2094="","",SUBTOTAL(103,$B$2:B2094))</f>
        <v>2093</v>
      </c>
      <c r="B2094" s="7" t="s">
        <v>5704</v>
      </c>
      <c r="C2094" s="7" t="s">
        <v>5715</v>
      </c>
      <c r="D2094" s="9" t="s">
        <v>5716</v>
      </c>
      <c r="E2094" s="7" t="s">
        <v>5704</v>
      </c>
      <c r="F2094" s="7" t="s">
        <v>1732</v>
      </c>
      <c r="G2094" s="7" t="s">
        <v>5717</v>
      </c>
      <c r="H2094" s="7">
        <v>0</v>
      </c>
      <c r="I2094" s="7">
        <v>68</v>
      </c>
      <c r="J2094" s="7">
        <v>800</v>
      </c>
      <c r="K2094" s="7">
        <v>600</v>
      </c>
      <c r="L2094" s="7">
        <v>150</v>
      </c>
      <c r="M2094" s="7">
        <v>30</v>
      </c>
      <c r="N2094" s="7">
        <v>60</v>
      </c>
      <c r="O2094" s="7">
        <v>50</v>
      </c>
      <c r="P2094" s="7">
        <v>180</v>
      </c>
    </row>
    <row r="2095" spans="1:16">
      <c r="A2095" s="7">
        <f>IF(B2095="","",SUBTOTAL(103,$B$2:B2095))</f>
        <v>2094</v>
      </c>
      <c r="B2095" s="7" t="s">
        <v>5704</v>
      </c>
      <c r="C2095" s="7" t="s">
        <v>5715</v>
      </c>
      <c r="D2095" s="9" t="s">
        <v>5718</v>
      </c>
      <c r="E2095" s="7" t="s">
        <v>5704</v>
      </c>
      <c r="F2095" s="7" t="s">
        <v>1022</v>
      </c>
      <c r="G2095" s="7" t="s">
        <v>5719</v>
      </c>
      <c r="H2095" s="7">
        <v>0</v>
      </c>
      <c r="I2095" s="7">
        <v>68</v>
      </c>
      <c r="J2095" s="7">
        <v>800</v>
      </c>
      <c r="K2095" s="7">
        <v>600</v>
      </c>
      <c r="L2095" s="7">
        <v>150</v>
      </c>
      <c r="M2095" s="7">
        <v>30</v>
      </c>
      <c r="N2095" s="7">
        <v>60</v>
      </c>
      <c r="O2095" s="7">
        <v>50</v>
      </c>
      <c r="P2095" s="7">
        <v>180</v>
      </c>
    </row>
    <row r="2096" spans="1:16">
      <c r="A2096" s="7">
        <f>IF(B2096="","",SUBTOTAL(103,$B$2:B2096))</f>
        <v>2095</v>
      </c>
      <c r="B2096" s="7" t="s">
        <v>5704</v>
      </c>
      <c r="C2096" s="7" t="s">
        <v>5720</v>
      </c>
      <c r="D2096" s="9" t="s">
        <v>5721</v>
      </c>
      <c r="E2096" s="7" t="s">
        <v>5704</v>
      </c>
      <c r="F2096" s="7" t="s">
        <v>1923</v>
      </c>
      <c r="G2096" s="7" t="s">
        <v>5722</v>
      </c>
      <c r="H2096" s="7">
        <v>0</v>
      </c>
      <c r="I2096" s="7">
        <v>68</v>
      </c>
      <c r="J2096" s="7">
        <v>800</v>
      </c>
      <c r="K2096" s="7">
        <v>600</v>
      </c>
      <c r="L2096" s="7">
        <v>150</v>
      </c>
      <c r="M2096" s="7">
        <v>30</v>
      </c>
      <c r="N2096" s="7">
        <v>60</v>
      </c>
      <c r="O2096" s="7">
        <v>50</v>
      </c>
      <c r="P2096" s="7">
        <v>180</v>
      </c>
    </row>
    <row r="2097" spans="1:16">
      <c r="A2097" s="7">
        <f>IF(B2097="","",SUBTOTAL(103,$B$2:B2097))</f>
        <v>2096</v>
      </c>
      <c r="B2097" s="7" t="s">
        <v>5704</v>
      </c>
      <c r="C2097" s="7" t="s">
        <v>5720</v>
      </c>
      <c r="D2097" s="9" t="s">
        <v>5723</v>
      </c>
      <c r="E2097" s="7" t="s">
        <v>5704</v>
      </c>
      <c r="F2097" s="7" t="s">
        <v>1738</v>
      </c>
      <c r="G2097" s="7" t="s">
        <v>5724</v>
      </c>
      <c r="H2097" s="7">
        <v>0</v>
      </c>
      <c r="I2097" s="7">
        <v>68</v>
      </c>
      <c r="J2097" s="7">
        <v>800</v>
      </c>
      <c r="K2097" s="7">
        <v>600</v>
      </c>
      <c r="L2097" s="7">
        <v>150</v>
      </c>
      <c r="M2097" s="7">
        <v>30</v>
      </c>
      <c r="N2097" s="7">
        <v>60</v>
      </c>
      <c r="O2097" s="7">
        <v>50</v>
      </c>
      <c r="P2097" s="7">
        <v>180</v>
      </c>
    </row>
    <row r="2098" spans="1:16">
      <c r="A2098" s="7">
        <f>IF(B2098="","",SUBTOTAL(103,$B$2:B2098))</f>
        <v>2097</v>
      </c>
      <c r="B2098" s="7" t="s">
        <v>5704</v>
      </c>
      <c r="C2098" s="7" t="s">
        <v>5725</v>
      </c>
      <c r="D2098" s="9" t="s">
        <v>5726</v>
      </c>
      <c r="E2098" s="7" t="s">
        <v>5704</v>
      </c>
      <c r="F2098" s="7" t="s">
        <v>1026</v>
      </c>
      <c r="G2098" s="7" t="s">
        <v>5727</v>
      </c>
      <c r="H2098" s="7">
        <v>0</v>
      </c>
      <c r="I2098" s="7">
        <v>16</v>
      </c>
      <c r="J2098" s="7">
        <v>800</v>
      </c>
      <c r="K2098" s="7">
        <v>600</v>
      </c>
      <c r="L2098" s="7">
        <v>150</v>
      </c>
      <c r="M2098" s="7">
        <v>30</v>
      </c>
      <c r="N2098" s="7">
        <v>60</v>
      </c>
      <c r="O2098" s="7">
        <v>200</v>
      </c>
      <c r="P2098" s="7">
        <v>400</v>
      </c>
    </row>
    <row r="2099" spans="1:16">
      <c r="A2099" s="7">
        <f>IF(B2099="","",SUBTOTAL(103,$B$2:B2099))</f>
        <v>2098</v>
      </c>
      <c r="B2099" s="7" t="s">
        <v>5704</v>
      </c>
      <c r="C2099" s="7" t="s">
        <v>5725</v>
      </c>
      <c r="D2099" s="9" t="s">
        <v>5728</v>
      </c>
      <c r="E2099" s="7" t="s">
        <v>5704</v>
      </c>
      <c r="F2099" s="7" t="s">
        <v>1029</v>
      </c>
      <c r="G2099" s="7" t="s">
        <v>5729</v>
      </c>
      <c r="H2099" s="7">
        <v>0</v>
      </c>
      <c r="I2099" s="7">
        <v>16</v>
      </c>
      <c r="J2099" s="7">
        <v>800</v>
      </c>
      <c r="K2099" s="7">
        <v>600</v>
      </c>
      <c r="L2099" s="7">
        <v>150</v>
      </c>
      <c r="M2099" s="7">
        <v>30</v>
      </c>
      <c r="N2099" s="7">
        <v>60</v>
      </c>
      <c r="O2099" s="7">
        <v>200</v>
      </c>
      <c r="P2099" s="7">
        <v>400</v>
      </c>
    </row>
    <row r="2100" spans="1:16">
      <c r="A2100" s="7">
        <f>IF(B2100="","",SUBTOTAL(103,$B$2:B2100))</f>
        <v>2099</v>
      </c>
      <c r="B2100" s="7" t="s">
        <v>5704</v>
      </c>
      <c r="C2100" s="7" t="s">
        <v>5730</v>
      </c>
      <c r="D2100" s="9" t="s">
        <v>5731</v>
      </c>
      <c r="E2100" s="7" t="s">
        <v>5704</v>
      </c>
      <c r="F2100" s="7" t="s">
        <v>1033</v>
      </c>
      <c r="G2100" s="7" t="s">
        <v>5732</v>
      </c>
      <c r="H2100" s="7">
        <v>0</v>
      </c>
      <c r="I2100" s="7">
        <v>20</v>
      </c>
      <c r="J2100" s="7">
        <v>800</v>
      </c>
      <c r="K2100" s="7">
        <v>600</v>
      </c>
      <c r="L2100" s="7">
        <v>150</v>
      </c>
      <c r="M2100" s="7">
        <v>30</v>
      </c>
      <c r="N2100" s="7">
        <v>60</v>
      </c>
      <c r="O2100" s="7">
        <v>150</v>
      </c>
      <c r="P2100" s="7">
        <v>350</v>
      </c>
    </row>
    <row r="2101" spans="1:16">
      <c r="A2101" s="7">
        <f>IF(B2101="","",SUBTOTAL(103,$B$2:B2101))</f>
        <v>2100</v>
      </c>
      <c r="B2101" s="7" t="s">
        <v>5704</v>
      </c>
      <c r="C2101" s="7" t="s">
        <v>5730</v>
      </c>
      <c r="D2101" s="9" t="s">
        <v>5733</v>
      </c>
      <c r="E2101" s="7" t="s">
        <v>5704</v>
      </c>
      <c r="F2101" s="7" t="s">
        <v>1337</v>
      </c>
      <c r="G2101" s="7" t="s">
        <v>5734</v>
      </c>
      <c r="H2101" s="7">
        <v>0</v>
      </c>
      <c r="I2101" s="7">
        <v>20</v>
      </c>
      <c r="J2101" s="7">
        <v>800</v>
      </c>
      <c r="K2101" s="7">
        <v>600</v>
      </c>
      <c r="L2101" s="7">
        <v>150</v>
      </c>
      <c r="M2101" s="7">
        <v>30</v>
      </c>
      <c r="N2101" s="7">
        <v>60</v>
      </c>
      <c r="O2101" s="7">
        <v>150</v>
      </c>
      <c r="P2101" s="7">
        <v>350</v>
      </c>
    </row>
    <row r="2102" spans="1:16">
      <c r="A2102" s="7">
        <f>IF(B2102="","",SUBTOTAL(103,$B$2:B2102))</f>
        <v>2101</v>
      </c>
      <c r="B2102" s="7" t="s">
        <v>5704</v>
      </c>
      <c r="C2102" s="7" t="s">
        <v>5735</v>
      </c>
      <c r="D2102" s="9" t="s">
        <v>5736</v>
      </c>
      <c r="E2102" s="7" t="s">
        <v>5704</v>
      </c>
      <c r="F2102" s="7" t="s">
        <v>1037</v>
      </c>
      <c r="G2102" s="7" t="s">
        <v>5737</v>
      </c>
      <c r="H2102" s="7">
        <v>0</v>
      </c>
      <c r="I2102" s="7">
        <v>6</v>
      </c>
      <c r="J2102" s="7">
        <v>800</v>
      </c>
      <c r="K2102" s="7">
        <v>600</v>
      </c>
      <c r="L2102" s="7">
        <v>150</v>
      </c>
      <c r="M2102" s="7">
        <v>30</v>
      </c>
      <c r="N2102" s="7">
        <v>60</v>
      </c>
      <c r="O2102" s="7">
        <v>500</v>
      </c>
      <c r="P2102" s="7">
        <v>550</v>
      </c>
    </row>
    <row r="2103" spans="1:16">
      <c r="A2103" s="7">
        <f>IF(B2103="","",SUBTOTAL(103,$B$2:B2103))</f>
        <v>2102</v>
      </c>
      <c r="B2103" s="7" t="s">
        <v>5704</v>
      </c>
      <c r="C2103" s="7" t="s">
        <v>5735</v>
      </c>
      <c r="D2103" s="9" t="s">
        <v>5738</v>
      </c>
      <c r="E2103" s="7" t="s">
        <v>5704</v>
      </c>
      <c r="F2103" s="7" t="s">
        <v>1040</v>
      </c>
      <c r="G2103" s="7" t="s">
        <v>5739</v>
      </c>
      <c r="H2103" s="7">
        <v>0</v>
      </c>
      <c r="I2103" s="7">
        <v>6</v>
      </c>
      <c r="J2103" s="7">
        <v>800</v>
      </c>
      <c r="K2103" s="7">
        <v>600</v>
      </c>
      <c r="L2103" s="7">
        <v>150</v>
      </c>
      <c r="M2103" s="7">
        <v>30</v>
      </c>
      <c r="N2103" s="7">
        <v>60</v>
      </c>
      <c r="O2103" s="7">
        <v>500</v>
      </c>
      <c r="P2103" s="7">
        <v>550</v>
      </c>
    </row>
    <row r="2104" spans="1:16">
      <c r="A2104" s="7">
        <f>IF(B2104="","",SUBTOTAL(103,$B$2:B2104))</f>
        <v>2103</v>
      </c>
      <c r="B2104" s="7" t="s">
        <v>5704</v>
      </c>
      <c r="C2104" s="7" t="s">
        <v>5740</v>
      </c>
      <c r="D2104" s="9" t="s">
        <v>5741</v>
      </c>
      <c r="E2104" s="7" t="s">
        <v>5704</v>
      </c>
      <c r="F2104" s="7" t="s">
        <v>1044</v>
      </c>
      <c r="G2104" s="7" t="s">
        <v>5742</v>
      </c>
      <c r="H2104" s="7">
        <v>0</v>
      </c>
      <c r="I2104" s="7">
        <v>4</v>
      </c>
      <c r="J2104" s="7">
        <v>800</v>
      </c>
      <c r="K2104" s="7">
        <v>600</v>
      </c>
      <c r="L2104" s="7">
        <v>150</v>
      </c>
      <c r="M2104" s="7">
        <v>30</v>
      </c>
      <c r="N2104" s="7">
        <v>60</v>
      </c>
      <c r="O2104" s="7">
        <v>700</v>
      </c>
      <c r="P2104" s="7">
        <v>650</v>
      </c>
    </row>
    <row r="2105" spans="1:16">
      <c r="A2105" s="7">
        <f>IF(B2105="","",SUBTOTAL(103,$B$2:B2105))</f>
        <v>2104</v>
      </c>
      <c r="B2105" s="7" t="s">
        <v>5704</v>
      </c>
      <c r="C2105" s="7" t="s">
        <v>5743</v>
      </c>
      <c r="D2105" s="9" t="s">
        <v>5744</v>
      </c>
      <c r="E2105" s="7" t="s">
        <v>5704</v>
      </c>
      <c r="F2105" s="7" t="s">
        <v>1953</v>
      </c>
      <c r="G2105" s="7" t="s">
        <v>5745</v>
      </c>
      <c r="H2105" s="7">
        <v>0</v>
      </c>
      <c r="I2105" s="7">
        <v>3</v>
      </c>
      <c r="J2105" s="7">
        <v>800</v>
      </c>
      <c r="K2105" s="7">
        <v>600</v>
      </c>
      <c r="L2105" s="7">
        <v>150</v>
      </c>
      <c r="M2105" s="7">
        <v>30</v>
      </c>
      <c r="N2105" s="7">
        <v>60</v>
      </c>
      <c r="O2105" s="7">
        <v>900</v>
      </c>
      <c r="P2105" s="7">
        <v>700</v>
      </c>
    </row>
    <row r="2106" spans="1:16">
      <c r="A2106" s="7">
        <f>IF(B2106="","",SUBTOTAL(103,$B$2:B2106))</f>
        <v>2105</v>
      </c>
      <c r="B2106" s="7" t="s">
        <v>5704</v>
      </c>
      <c r="C2106" s="7" t="s">
        <v>5743</v>
      </c>
      <c r="D2106" s="9" t="s">
        <v>5746</v>
      </c>
      <c r="E2106" s="7" t="s">
        <v>5704</v>
      </c>
      <c r="F2106" s="7" t="s">
        <v>1048</v>
      </c>
      <c r="G2106" s="7" t="s">
        <v>5747</v>
      </c>
      <c r="H2106" s="7">
        <v>0</v>
      </c>
      <c r="I2106" s="7">
        <v>3</v>
      </c>
      <c r="J2106" s="7">
        <v>800</v>
      </c>
      <c r="K2106" s="7">
        <v>600</v>
      </c>
      <c r="L2106" s="7">
        <v>150</v>
      </c>
      <c r="M2106" s="7">
        <v>30</v>
      </c>
      <c r="N2106" s="7">
        <v>60</v>
      </c>
      <c r="O2106" s="7">
        <v>900</v>
      </c>
      <c r="P2106" s="7">
        <v>700</v>
      </c>
    </row>
    <row r="2107" spans="1:16">
      <c r="A2107" s="7">
        <f>IF(B2107="","",SUBTOTAL(103,$B$2:B2107))</f>
        <v>2106</v>
      </c>
      <c r="B2107" s="7" t="s">
        <v>5704</v>
      </c>
      <c r="C2107" s="7" t="s">
        <v>5748</v>
      </c>
      <c r="D2107" s="9" t="s">
        <v>5749</v>
      </c>
      <c r="E2107" s="7" t="s">
        <v>5704</v>
      </c>
      <c r="F2107" s="7" t="s">
        <v>1757</v>
      </c>
      <c r="G2107" s="7" t="s">
        <v>5750</v>
      </c>
      <c r="H2107" s="7">
        <v>0</v>
      </c>
      <c r="I2107" s="7">
        <v>40</v>
      </c>
      <c r="J2107" s="7">
        <v>800</v>
      </c>
      <c r="K2107" s="7">
        <v>600</v>
      </c>
      <c r="L2107" s="7">
        <v>150</v>
      </c>
      <c r="M2107" s="7">
        <v>30</v>
      </c>
      <c r="N2107" s="7">
        <v>60</v>
      </c>
      <c r="O2107" s="7">
        <v>80</v>
      </c>
      <c r="P2107" s="7">
        <v>220</v>
      </c>
    </row>
    <row r="2108" spans="1:16">
      <c r="A2108" s="7">
        <f>IF(B2108="","",SUBTOTAL(103,$B$2:B2108))</f>
        <v>2107</v>
      </c>
      <c r="B2108" s="7" t="s">
        <v>5704</v>
      </c>
      <c r="C2108" s="7" t="s">
        <v>5748</v>
      </c>
      <c r="D2108" s="9" t="s">
        <v>5751</v>
      </c>
      <c r="E2108" s="7" t="s">
        <v>5704</v>
      </c>
      <c r="F2108" s="7" t="s">
        <v>1052</v>
      </c>
      <c r="G2108" s="7" t="s">
        <v>5752</v>
      </c>
      <c r="H2108" s="7">
        <v>0</v>
      </c>
      <c r="I2108" s="7">
        <v>40</v>
      </c>
      <c r="J2108" s="7">
        <v>800</v>
      </c>
      <c r="K2108" s="7">
        <v>600</v>
      </c>
      <c r="L2108" s="7">
        <v>150</v>
      </c>
      <c r="M2108" s="7">
        <v>30</v>
      </c>
      <c r="N2108" s="7">
        <v>60</v>
      </c>
      <c r="O2108" s="7">
        <v>80</v>
      </c>
      <c r="P2108" s="7">
        <v>220</v>
      </c>
    </row>
    <row r="2109" spans="1:16">
      <c r="A2109" s="7">
        <f>IF(B2109="","",SUBTOTAL(103,$B$2:B2109))</f>
        <v>2108</v>
      </c>
      <c r="B2109" s="7" t="s">
        <v>5704</v>
      </c>
      <c r="C2109" s="7" t="s">
        <v>5753</v>
      </c>
      <c r="D2109" s="9" t="s">
        <v>5754</v>
      </c>
      <c r="E2109" s="7" t="s">
        <v>5704</v>
      </c>
      <c r="F2109" s="7" t="s">
        <v>1056</v>
      </c>
      <c r="G2109" s="7" t="s">
        <v>5755</v>
      </c>
      <c r="H2109" s="7">
        <v>0</v>
      </c>
      <c r="I2109" s="7">
        <v>48</v>
      </c>
      <c r="J2109" s="7">
        <v>800</v>
      </c>
      <c r="K2109" s="7">
        <v>600</v>
      </c>
      <c r="L2109" s="7">
        <v>150</v>
      </c>
      <c r="M2109" s="7">
        <v>30</v>
      </c>
      <c r="N2109" s="7">
        <v>60</v>
      </c>
      <c r="O2109" s="7">
        <v>70</v>
      </c>
      <c r="P2109" s="7">
        <v>200</v>
      </c>
    </row>
    <row r="2110" spans="1:16">
      <c r="A2110" s="7">
        <f>IF(B2110="","",SUBTOTAL(103,$B$2:B2110))</f>
        <v>2109</v>
      </c>
      <c r="B2110" s="7" t="s">
        <v>5704</v>
      </c>
      <c r="C2110" s="7" t="s">
        <v>5756</v>
      </c>
      <c r="D2110" s="9" t="s">
        <v>5757</v>
      </c>
      <c r="E2110" s="7" t="s">
        <v>5704</v>
      </c>
      <c r="F2110" s="7" t="s">
        <v>1060</v>
      </c>
      <c r="G2110" s="7" t="s">
        <v>5758</v>
      </c>
      <c r="H2110" s="7">
        <v>0</v>
      </c>
      <c r="I2110" s="7">
        <v>2</v>
      </c>
      <c r="J2110" s="7">
        <v>800</v>
      </c>
      <c r="K2110" s="7">
        <v>600</v>
      </c>
      <c r="L2110" s="7">
        <v>150</v>
      </c>
      <c r="M2110" s="7">
        <v>30</v>
      </c>
      <c r="N2110" s="7">
        <v>60</v>
      </c>
      <c r="O2110" s="7">
        <v>1200</v>
      </c>
      <c r="P2110" s="7">
        <v>1500</v>
      </c>
    </row>
    <row r="2111" spans="1:16">
      <c r="A2111" s="7">
        <f>IF(B2111="","",SUBTOTAL(103,$B$2:B2111))</f>
        <v>2110</v>
      </c>
      <c r="B2111" s="7" t="s">
        <v>5759</v>
      </c>
      <c r="C2111" s="7" t="s">
        <v>5760</v>
      </c>
      <c r="D2111" s="9" t="s">
        <v>5761</v>
      </c>
      <c r="E2111" s="7" t="s">
        <v>5762</v>
      </c>
      <c r="F2111" s="7" t="s">
        <v>437</v>
      </c>
      <c r="G2111" s="7" t="str">
        <f t="shared" ref="G2111:G2147" si="4">E2111&amp;F2111</f>
        <v>Ladish 阀体毛坯 (全流量,NACE MR0175/NACE MR0103)NPS1 CL150 CF8M</v>
      </c>
      <c r="H2111" s="7">
        <v>1.96</v>
      </c>
      <c r="I2111" s="7">
        <v>2</v>
      </c>
      <c r="J2111" s="7"/>
      <c r="K2111" s="7"/>
      <c r="L2111" s="7"/>
      <c r="M2111" s="7"/>
      <c r="N2111" s="7">
        <v>60</v>
      </c>
      <c r="O2111" s="7">
        <v>1000</v>
      </c>
      <c r="P2111" s="7">
        <v>1200</v>
      </c>
    </row>
    <row r="2112" spans="1:16">
      <c r="A2112" s="7">
        <f>IF(B2112="","",SUBTOTAL(103,$B$2:B2112))</f>
        <v>2111</v>
      </c>
      <c r="B2112" s="7" t="s">
        <v>5759</v>
      </c>
      <c r="C2112" s="7" t="s">
        <v>5760</v>
      </c>
      <c r="D2112" s="9" t="s">
        <v>5763</v>
      </c>
      <c r="E2112" s="7" t="s">
        <v>5764</v>
      </c>
      <c r="F2112" s="7" t="s">
        <v>5765</v>
      </c>
      <c r="G2112" s="7" t="str">
        <f t="shared" si="4"/>
        <v>Ladish 阀体毛坯 (全流量,D1001-8F3-B,版本D)NPS1 CL300 ASTM A351-CF8M</v>
      </c>
      <c r="H2112" s="7">
        <v>3.02</v>
      </c>
      <c r="I2112" s="7">
        <v>2</v>
      </c>
      <c r="J2112" s="7"/>
      <c r="K2112" s="7"/>
      <c r="L2112" s="7"/>
      <c r="M2112" s="7"/>
      <c r="N2112" s="7">
        <v>60</v>
      </c>
      <c r="O2112" s="7">
        <v>1000</v>
      </c>
      <c r="P2112" s="7">
        <v>1200</v>
      </c>
    </row>
    <row r="2113" spans="1:16">
      <c r="A2113" s="7">
        <f>IF(B2113="","",SUBTOTAL(103,$B$2:B2113))</f>
        <v>2112</v>
      </c>
      <c r="B2113" s="7" t="s">
        <v>5759</v>
      </c>
      <c r="C2113" s="7" t="s">
        <v>5760</v>
      </c>
      <c r="D2113" s="9" t="s">
        <v>5766</v>
      </c>
      <c r="E2113" s="7" t="s">
        <v>5764</v>
      </c>
      <c r="F2113" s="7" t="s">
        <v>5767</v>
      </c>
      <c r="G2113" s="7" t="str">
        <f t="shared" si="4"/>
        <v>Ladish 阀体毛坯 (全流量,D1001-8F3-B,版本D)NPS1 CL300 ASTM A494-M35-1</v>
      </c>
      <c r="H2113" s="7">
        <v>3.02</v>
      </c>
      <c r="I2113" s="7">
        <v>2</v>
      </c>
      <c r="J2113" s="7"/>
      <c r="K2113" s="7"/>
      <c r="L2113" s="7"/>
      <c r="M2113" s="7"/>
      <c r="N2113" s="7">
        <v>60</v>
      </c>
      <c r="O2113" s="7">
        <v>1000</v>
      </c>
      <c r="P2113" s="7">
        <v>1200</v>
      </c>
    </row>
    <row r="2114" spans="1:16">
      <c r="A2114" s="7">
        <f>IF(B2114="","",SUBTOTAL(103,$B$2:B2114))</f>
        <v>2113</v>
      </c>
      <c r="B2114" s="7" t="s">
        <v>5759</v>
      </c>
      <c r="C2114" s="7" t="s">
        <v>5760</v>
      </c>
      <c r="D2114" s="9" t="s">
        <v>5768</v>
      </c>
      <c r="E2114" s="7" t="s">
        <v>5764</v>
      </c>
      <c r="F2114" s="7" t="s">
        <v>5769</v>
      </c>
      <c r="G2114" s="7" t="str">
        <f>E2114&amp;F2114</f>
        <v>Ladish 阀体毛坯 (全流量,D1001-8F3-B,版本D)NPS1 CL300 ASTM A351-CN7M</v>
      </c>
      <c r="H2114" s="7">
        <v>4.09</v>
      </c>
      <c r="I2114" s="7">
        <v>2</v>
      </c>
      <c r="J2114" s="7"/>
      <c r="K2114" s="7"/>
      <c r="L2114" s="7"/>
      <c r="M2114" s="7"/>
      <c r="N2114" s="7">
        <v>60</v>
      </c>
      <c r="O2114" s="7">
        <v>1000</v>
      </c>
      <c r="P2114" s="7">
        <v>1200</v>
      </c>
    </row>
    <row r="2115" spans="1:16">
      <c r="A2115" s="7">
        <f>IF(B2115="","",SUBTOTAL(103,$B$2:B2115))</f>
        <v>2114</v>
      </c>
      <c r="B2115" s="7" t="s">
        <v>5759</v>
      </c>
      <c r="C2115" s="7" t="s">
        <v>5760</v>
      </c>
      <c r="D2115" s="9" t="s">
        <v>5770</v>
      </c>
      <c r="E2115" s="7" t="s">
        <v>5771</v>
      </c>
      <c r="F2115" s="7" t="s">
        <v>5772</v>
      </c>
      <c r="G2115" s="7" t="str">
        <f t="shared" si="4"/>
        <v>Ladish 阀体毛坯 (减流量,D1001-9F1-B)NPS1 CL150 ASTM A494-M35-1</v>
      </c>
      <c r="H2115" s="7">
        <v>2.58</v>
      </c>
      <c r="I2115" s="7">
        <v>2</v>
      </c>
      <c r="J2115" s="7"/>
      <c r="K2115" s="7"/>
      <c r="L2115" s="7"/>
      <c r="M2115" s="7"/>
      <c r="N2115" s="7">
        <v>60</v>
      </c>
      <c r="O2115" s="7">
        <v>1000</v>
      </c>
      <c r="P2115" s="7">
        <v>1200</v>
      </c>
    </row>
    <row r="2116" spans="1:16">
      <c r="A2116" s="7">
        <f>IF(B2116="","",SUBTOTAL(103,$B$2:B2116))</f>
        <v>2115</v>
      </c>
      <c r="B2116" s="7" t="s">
        <v>5759</v>
      </c>
      <c r="C2116" s="7" t="s">
        <v>5760</v>
      </c>
      <c r="D2116" s="9" t="s">
        <v>5773</v>
      </c>
      <c r="E2116" s="7" t="s">
        <v>5774</v>
      </c>
      <c r="F2116" s="7" t="s">
        <v>5775</v>
      </c>
      <c r="G2116" s="7" t="str">
        <f t="shared" si="4"/>
        <v>Ladish 阀体毛坯(减流量)(NACE MR0175/NACE MR0103)1inch 150# CF8M</v>
      </c>
      <c r="H2116" s="7">
        <v>2.3199999999999998</v>
      </c>
      <c r="I2116" s="7">
        <v>2</v>
      </c>
      <c r="J2116" s="7"/>
      <c r="K2116" s="7"/>
      <c r="L2116" s="7"/>
      <c r="M2116" s="7"/>
      <c r="N2116" s="7">
        <v>60</v>
      </c>
      <c r="O2116" s="7">
        <v>1000</v>
      </c>
      <c r="P2116" s="7">
        <v>1200</v>
      </c>
    </row>
    <row r="2117" spans="1:16">
      <c r="A2117" s="7">
        <f>IF(B2117="","",SUBTOTAL(103,$B$2:B2117))</f>
        <v>2116</v>
      </c>
      <c r="B2117" s="7" t="s">
        <v>5759</v>
      </c>
      <c r="C2117" s="7" t="s">
        <v>5760</v>
      </c>
      <c r="D2117" s="9" t="s">
        <v>5776</v>
      </c>
      <c r="E2117" s="7" t="s">
        <v>5777</v>
      </c>
      <c r="F2117" s="7" t="s">
        <v>5765</v>
      </c>
      <c r="G2117" s="7" t="str">
        <f t="shared" si="4"/>
        <v>Ladish 阀体毛坯 (减流量,一体式球阀,D1001-9F3-B,版本0)NPS1 CL300 ASTM A351-CF8M</v>
      </c>
      <c r="H2117" s="7">
        <v>3.02</v>
      </c>
      <c r="I2117" s="7">
        <v>1</v>
      </c>
      <c r="J2117" s="7"/>
      <c r="K2117" s="7"/>
      <c r="L2117" s="7"/>
      <c r="M2117" s="7"/>
      <c r="N2117" s="7">
        <v>60</v>
      </c>
      <c r="O2117" s="7">
        <v>1500</v>
      </c>
      <c r="P2117" s="7">
        <v>2000</v>
      </c>
    </row>
    <row r="2118" spans="1:16">
      <c r="A2118" s="7">
        <f>IF(B2118="","",SUBTOTAL(103,$B$2:B2118))</f>
        <v>2117</v>
      </c>
      <c r="B2118" s="7" t="s">
        <v>5759</v>
      </c>
      <c r="C2118" s="7" t="s">
        <v>5760</v>
      </c>
      <c r="D2118" s="9" t="s">
        <v>5778</v>
      </c>
      <c r="E2118" s="7" t="s">
        <v>5777</v>
      </c>
      <c r="F2118" s="7" t="s">
        <v>5767</v>
      </c>
      <c r="G2118" s="7" t="str">
        <f t="shared" si="4"/>
        <v>Ladish 阀体毛坯 (减流量,一体式球阀,D1001-9F3-B,版本0)NPS1 CL300 ASTM A494-M35-1</v>
      </c>
      <c r="H2118" s="7">
        <v>4.09</v>
      </c>
      <c r="I2118" s="7">
        <v>1</v>
      </c>
      <c r="J2118" s="7"/>
      <c r="K2118" s="7"/>
      <c r="L2118" s="7"/>
      <c r="M2118" s="7"/>
      <c r="N2118" s="7">
        <v>60</v>
      </c>
      <c r="O2118" s="7">
        <v>1500</v>
      </c>
      <c r="P2118" s="7">
        <v>2000</v>
      </c>
    </row>
    <row r="2119" spans="1:16">
      <c r="A2119" s="7">
        <f>IF(B2119="","",SUBTOTAL(103,$B$2:B2119))</f>
        <v>2118</v>
      </c>
      <c r="B2119" s="7" t="s">
        <v>5759</v>
      </c>
      <c r="C2119" s="7" t="s">
        <v>5779</v>
      </c>
      <c r="D2119" s="9" t="s">
        <v>5780</v>
      </c>
      <c r="E2119" s="7" t="s">
        <v>5781</v>
      </c>
      <c r="F2119" s="7" t="s">
        <v>5775</v>
      </c>
      <c r="G2119" s="7" t="str">
        <f t="shared" si="4"/>
        <v>Ladish 阀盖毛坯(全流量)(NACE MR0175/NACE MR0103)1inch 150# CF8M</v>
      </c>
      <c r="H2119" s="7">
        <v>1.36</v>
      </c>
      <c r="I2119" s="7">
        <v>2</v>
      </c>
      <c r="J2119" s="7"/>
      <c r="K2119" s="7"/>
      <c r="L2119" s="7"/>
      <c r="M2119" s="7"/>
      <c r="N2119" s="7">
        <v>60</v>
      </c>
      <c r="O2119" s="7">
        <v>1000</v>
      </c>
      <c r="P2119" s="7">
        <v>1200</v>
      </c>
    </row>
    <row r="2120" spans="1:16">
      <c r="A2120" s="7">
        <f>IF(B2120="","",SUBTOTAL(103,$B$2:B2120))</f>
        <v>2119</v>
      </c>
      <c r="B2120" s="7" t="s">
        <v>5759</v>
      </c>
      <c r="C2120" s="7" t="s">
        <v>5782</v>
      </c>
      <c r="D2120" s="9" t="s">
        <v>5783</v>
      </c>
      <c r="E2120" s="7" t="s">
        <v>5781</v>
      </c>
      <c r="F2120" s="7" t="s">
        <v>5784</v>
      </c>
      <c r="G2120" s="7" t="str">
        <f t="shared" si="4"/>
        <v>Ladish 阀盖毛坯(全流量)(NACE MR0175/NACE MR0103)2inch 150# CF8M</v>
      </c>
      <c r="H2120" s="7">
        <v>4.12</v>
      </c>
      <c r="I2120" s="7">
        <v>2</v>
      </c>
      <c r="J2120" s="7"/>
      <c r="K2120" s="7"/>
      <c r="L2120" s="7"/>
      <c r="M2120" s="7"/>
      <c r="N2120" s="7">
        <v>60</v>
      </c>
      <c r="O2120" s="7">
        <v>1500</v>
      </c>
      <c r="P2120" s="7">
        <v>1700</v>
      </c>
    </row>
    <row r="2121" spans="1:16">
      <c r="A2121" s="7">
        <f>IF(B2121="","",SUBTOTAL(103,$B$2:B2121))</f>
        <v>2120</v>
      </c>
      <c r="B2121" s="7" t="s">
        <v>5759</v>
      </c>
      <c r="C2121" s="7" t="s">
        <v>5779</v>
      </c>
      <c r="D2121" s="9" t="s">
        <v>5785</v>
      </c>
      <c r="E2121" s="7" t="s">
        <v>5786</v>
      </c>
      <c r="F2121" s="7" t="s">
        <v>5775</v>
      </c>
      <c r="G2121" s="7" t="str">
        <f t="shared" si="4"/>
        <v>Ladish 阀盖毛坯(减流量)(NACE MR0175/NACE MR0103)1inch 150# CF8M</v>
      </c>
      <c r="H2121" s="7">
        <v>0.36</v>
      </c>
      <c r="I2121" s="7">
        <v>18</v>
      </c>
      <c r="J2121" s="7"/>
      <c r="K2121" s="7"/>
      <c r="L2121" s="7"/>
      <c r="M2121" s="7"/>
      <c r="N2121" s="7">
        <v>60</v>
      </c>
      <c r="O2121" s="7">
        <v>120</v>
      </c>
      <c r="P2121" s="7">
        <v>150</v>
      </c>
    </row>
    <row r="2122" spans="1:16">
      <c r="A2122" s="7">
        <f>IF(B2122="","",SUBTOTAL(103,$B$2:B2122))</f>
        <v>2121</v>
      </c>
      <c r="B2122" s="7" t="s">
        <v>5759</v>
      </c>
      <c r="C2122" s="7" t="s">
        <v>5779</v>
      </c>
      <c r="D2122" s="9" t="s">
        <v>5787</v>
      </c>
      <c r="E2122" s="7" t="s">
        <v>5788</v>
      </c>
      <c r="F2122" s="7" t="s">
        <v>5765</v>
      </c>
      <c r="G2122" s="7" t="str">
        <f t="shared" si="4"/>
        <v>Ladish 阀盖毛坯 (全流量,C1049-8F3-B,版本B)NPS1 CL300 ASTM A351-CF8M</v>
      </c>
      <c r="H2122" s="7">
        <v>2.52</v>
      </c>
      <c r="I2122" s="7">
        <v>2</v>
      </c>
      <c r="J2122" s="7"/>
      <c r="K2122" s="7"/>
      <c r="L2122" s="7"/>
      <c r="M2122" s="7"/>
      <c r="N2122" s="7">
        <v>60</v>
      </c>
      <c r="O2122" s="7">
        <v>1000</v>
      </c>
      <c r="P2122" s="7">
        <v>1200</v>
      </c>
    </row>
    <row r="2123" spans="1:16">
      <c r="A2123" s="7">
        <f>IF(B2123="","",SUBTOTAL(103,$B$2:B2123))</f>
        <v>2122</v>
      </c>
      <c r="B2123" s="7" t="s">
        <v>5759</v>
      </c>
      <c r="C2123" s="7" t="s">
        <v>5779</v>
      </c>
      <c r="D2123" s="9" t="s">
        <v>5789</v>
      </c>
      <c r="E2123" s="7" t="s">
        <v>5788</v>
      </c>
      <c r="F2123" s="7" t="s">
        <v>5769</v>
      </c>
      <c r="G2123" s="7" t="str">
        <f>E2123&amp;F2123</f>
        <v>Ladish 阀盖毛坯 (全流量,C1049-8F3-B,版本B)NPS1 CL300 ASTM A351-CN7M</v>
      </c>
      <c r="H2123" s="7">
        <v>0.42</v>
      </c>
      <c r="I2123" s="7">
        <v>2</v>
      </c>
      <c r="J2123" s="7"/>
      <c r="K2123" s="7"/>
      <c r="L2123" s="7"/>
      <c r="M2123" s="7"/>
      <c r="N2123" s="7">
        <v>60</v>
      </c>
      <c r="O2123" s="7">
        <v>1000</v>
      </c>
      <c r="P2123" s="7">
        <v>1200</v>
      </c>
    </row>
    <row r="2124" spans="1:16">
      <c r="A2124" s="7">
        <f>IF(B2124="","",SUBTOTAL(103,$B$2:B2124))</f>
        <v>2123</v>
      </c>
      <c r="B2124" s="7" t="s">
        <v>5759</v>
      </c>
      <c r="C2124" s="7" t="s">
        <v>5779</v>
      </c>
      <c r="D2124" s="9" t="s">
        <v>5790</v>
      </c>
      <c r="E2124" s="7" t="s">
        <v>5788</v>
      </c>
      <c r="F2124" s="7" t="s">
        <v>5767</v>
      </c>
      <c r="G2124" s="7" t="str">
        <f t="shared" si="4"/>
        <v>Ladish 阀盖毛坯 (全流量,C1049-8F3-B,版本B)NPS1 CL300 ASTM A494-M35-1</v>
      </c>
      <c r="H2124" s="7">
        <v>2.52</v>
      </c>
      <c r="I2124" s="7"/>
      <c r="J2124" s="7"/>
      <c r="K2124" s="7"/>
      <c r="L2124" s="7"/>
      <c r="M2124" s="7"/>
      <c r="N2124" s="7">
        <v>60</v>
      </c>
      <c r="O2124" s="7">
        <v>1000</v>
      </c>
      <c r="P2124" s="7">
        <v>1200</v>
      </c>
    </row>
    <row r="2125" spans="1:16">
      <c r="A2125" s="7">
        <f>IF(B2125="","",SUBTOTAL(103,$B$2:B2125))</f>
        <v>2124</v>
      </c>
      <c r="B2125" s="7" t="s">
        <v>5759</v>
      </c>
      <c r="C2125" s="7" t="s">
        <v>5791</v>
      </c>
      <c r="D2125" s="9" t="s">
        <v>5792</v>
      </c>
      <c r="E2125" s="7" t="s">
        <v>5793</v>
      </c>
      <c r="F2125" s="7" t="s">
        <v>5794</v>
      </c>
      <c r="G2125" s="7" t="str">
        <f t="shared" si="4"/>
        <v>Ladish 阀体毛坯 (全流量,D3001-8F3-B,版本B)NPS3 CL300 ASTM A351-CF8M</v>
      </c>
      <c r="H2125" s="7">
        <v>11.58</v>
      </c>
      <c r="I2125" s="7">
        <v>1</v>
      </c>
      <c r="J2125" s="7">
        <v>800</v>
      </c>
      <c r="K2125" s="7">
        <v>600</v>
      </c>
      <c r="L2125" s="7">
        <v>150</v>
      </c>
      <c r="M2125" s="7">
        <v>30</v>
      </c>
      <c r="N2125" s="7">
        <v>240</v>
      </c>
      <c r="O2125" s="7">
        <v>3000</v>
      </c>
      <c r="P2125" s="7">
        <v>4000</v>
      </c>
    </row>
    <row r="2126" spans="1:16">
      <c r="A2126" s="7">
        <f>IF(B2126="","",SUBTOTAL(103,$B$2:B2126))</f>
        <v>2125</v>
      </c>
      <c r="B2126" s="7" t="s">
        <v>5759</v>
      </c>
      <c r="C2126" s="7" t="s">
        <v>5791</v>
      </c>
      <c r="D2126" s="9" t="s">
        <v>5795</v>
      </c>
      <c r="E2126" s="7" t="s">
        <v>5796</v>
      </c>
      <c r="F2126" s="7" t="s">
        <v>5797</v>
      </c>
      <c r="G2126" s="7" t="str">
        <f t="shared" si="4"/>
        <v>Ladish 阀体毛坯 (减流量,D3001-9F1-B,版本B)NPS3 CL150 ASTM A351-CF8M</v>
      </c>
      <c r="H2126" s="7">
        <v>11.58</v>
      </c>
      <c r="I2126" s="7">
        <v>1</v>
      </c>
      <c r="J2126" s="7"/>
      <c r="K2126" s="7"/>
      <c r="L2126" s="7"/>
      <c r="M2126" s="7"/>
      <c r="N2126" s="7">
        <v>60</v>
      </c>
      <c r="O2126" s="7">
        <v>2200</v>
      </c>
      <c r="P2126" s="7">
        <v>3000</v>
      </c>
    </row>
    <row r="2127" spans="1:16">
      <c r="A2127" s="7">
        <f>IF(B2127="","",SUBTOTAL(103,$B$2:B2127))</f>
        <v>2126</v>
      </c>
      <c r="B2127" s="7" t="s">
        <v>5759</v>
      </c>
      <c r="C2127" s="7" t="s">
        <v>5791</v>
      </c>
      <c r="D2127" s="9" t="s">
        <v>5798</v>
      </c>
      <c r="E2127" s="7" t="s">
        <v>5796</v>
      </c>
      <c r="F2127" s="7" t="s">
        <v>5799</v>
      </c>
      <c r="G2127" s="7" t="str">
        <f>E2127&amp;F2127</f>
        <v>Ladish 阀体毛坯 (减流量,D3001-9F1-B,版本B)NPS3 CL150 A995-CD3MWCuN</v>
      </c>
      <c r="H2127" s="7">
        <v>11.58</v>
      </c>
      <c r="I2127" s="7">
        <v>1</v>
      </c>
      <c r="J2127" s="7"/>
      <c r="K2127" s="7"/>
      <c r="L2127" s="7"/>
      <c r="M2127" s="7"/>
      <c r="N2127" s="7"/>
      <c r="O2127" s="7">
        <v>2500</v>
      </c>
      <c r="P2127" s="7">
        <v>3000</v>
      </c>
    </row>
    <row r="2128" spans="1:16">
      <c r="A2128" s="7">
        <f>IF(B2128="","",SUBTOTAL(103,$B$2:B2128))</f>
        <v>2127</v>
      </c>
      <c r="B2128" s="7" t="s">
        <v>5759</v>
      </c>
      <c r="C2128" s="7" t="s">
        <v>5791</v>
      </c>
      <c r="D2128" s="9" t="s">
        <v>5800</v>
      </c>
      <c r="E2128" s="7" t="s">
        <v>5801</v>
      </c>
      <c r="F2128" s="7" t="s">
        <v>5799</v>
      </c>
      <c r="G2128" s="7" t="str">
        <f>E2128&amp;F2128</f>
        <v>Ladish 阀盖毛坯 (减流量,C3049-9F3-B,版本B)NPS3 CL150 A995-CD3MWCuN</v>
      </c>
      <c r="H2128" s="7">
        <v>7.52</v>
      </c>
      <c r="I2128" s="7">
        <v>2</v>
      </c>
      <c r="J2128" s="7"/>
      <c r="K2128" s="7"/>
      <c r="L2128" s="7"/>
      <c r="M2128" s="7"/>
      <c r="N2128" s="7"/>
      <c r="O2128" s="7">
        <v>1250</v>
      </c>
      <c r="P2128" s="7">
        <v>1500</v>
      </c>
    </row>
    <row r="2129" spans="1:16">
      <c r="A2129" s="7">
        <f>IF(B2129="","",SUBTOTAL(103,$B$2:B2129))</f>
        <v>2128</v>
      </c>
      <c r="B2129" s="7" t="s">
        <v>5759</v>
      </c>
      <c r="C2129" s="7" t="s">
        <v>5791</v>
      </c>
      <c r="D2129" s="9" t="s">
        <v>5802</v>
      </c>
      <c r="E2129" s="7" t="s">
        <v>5796</v>
      </c>
      <c r="F2129" s="7" t="s">
        <v>5803</v>
      </c>
      <c r="G2129" s="7" t="str">
        <f>E2129&amp;F2129</f>
        <v>Ladish 阀体毛坯 (减流量,D3001-9F1-B,版本B)NPS3 CL150 ASTM A494-CW12MW</v>
      </c>
      <c r="H2129" s="7">
        <v>14.26</v>
      </c>
      <c r="I2129" s="7">
        <v>1</v>
      </c>
      <c r="J2129" s="7"/>
      <c r="K2129" s="7"/>
      <c r="L2129" s="7"/>
      <c r="M2129" s="7"/>
      <c r="N2129" s="7">
        <v>60</v>
      </c>
      <c r="O2129" s="7">
        <v>2200</v>
      </c>
      <c r="P2129" s="7">
        <v>3000</v>
      </c>
    </row>
    <row r="2130" spans="1:16">
      <c r="A2130" s="7">
        <f>IF(B2130="","",SUBTOTAL(103,$B$2:B2130))</f>
        <v>2129</v>
      </c>
      <c r="B2130" s="7" t="s">
        <v>5759</v>
      </c>
      <c r="C2130" s="7" t="s">
        <v>5791</v>
      </c>
      <c r="D2130" s="9" t="s">
        <v>5804</v>
      </c>
      <c r="E2130" s="7" t="s">
        <v>5805</v>
      </c>
      <c r="F2130" s="7" t="s">
        <v>5794</v>
      </c>
      <c r="G2130" s="7" t="str">
        <f t="shared" si="4"/>
        <v>Ladish 阀体毛坯 (减流量,一体式球阀,D3001-9F3-B,版本0)NPS3 CL300 ASTM A351-CF8M</v>
      </c>
      <c r="H2130" s="7">
        <v>16.86</v>
      </c>
      <c r="I2130" s="7">
        <v>1</v>
      </c>
      <c r="J2130" s="7"/>
      <c r="K2130" s="7"/>
      <c r="L2130" s="7"/>
      <c r="M2130" s="7"/>
      <c r="N2130" s="7">
        <v>60</v>
      </c>
      <c r="O2130" s="7">
        <v>2200</v>
      </c>
      <c r="P2130" s="7">
        <v>3000</v>
      </c>
    </row>
    <row r="2131" spans="1:16">
      <c r="A2131" s="7">
        <f>IF(B2131="","",SUBTOTAL(103,$B$2:B2131))</f>
        <v>2130</v>
      </c>
      <c r="B2131" s="7" t="s">
        <v>5759</v>
      </c>
      <c r="C2131" s="7" t="s">
        <v>5806</v>
      </c>
      <c r="D2131" s="9" t="s">
        <v>5807</v>
      </c>
      <c r="E2131" s="7" t="s">
        <v>5808</v>
      </c>
      <c r="F2131" s="7" t="s">
        <v>5794</v>
      </c>
      <c r="G2131" s="7" t="str">
        <f t="shared" si="4"/>
        <v>Ladish 阀盖毛坯 (全流量,C3049-8F3-B,版本D)NPS3 CL300 ASTM A351-CF8M</v>
      </c>
      <c r="H2131" s="7">
        <v>7.42</v>
      </c>
      <c r="I2131" s="7">
        <v>1</v>
      </c>
      <c r="J2131" s="7">
        <v>800</v>
      </c>
      <c r="K2131" s="7">
        <v>600</v>
      </c>
      <c r="L2131" s="7">
        <v>150</v>
      </c>
      <c r="M2131" s="7">
        <v>30</v>
      </c>
      <c r="N2131" s="7">
        <v>60</v>
      </c>
      <c r="O2131" s="7">
        <v>3000</v>
      </c>
      <c r="P2131" s="7">
        <v>4000</v>
      </c>
    </row>
    <row r="2132" spans="1:16">
      <c r="A2132" s="7">
        <f>IF(B2132="","",SUBTOTAL(103,$B$2:B2132))</f>
        <v>2131</v>
      </c>
      <c r="B2132" s="7" t="s">
        <v>5759</v>
      </c>
      <c r="C2132" s="7" t="s">
        <v>5806</v>
      </c>
      <c r="D2132" s="9" t="s">
        <v>5809</v>
      </c>
      <c r="E2132" s="7" t="s">
        <v>5786</v>
      </c>
      <c r="F2132" s="7" t="s">
        <v>5810</v>
      </c>
      <c r="G2132" s="7" t="str">
        <f t="shared" si="4"/>
        <v>Ladish 阀盖毛坯(减流量)(NACE MR0175/NACE MR0103)3inch 150# CF8M</v>
      </c>
      <c r="H2132" s="7">
        <v>2.2599999999999998</v>
      </c>
      <c r="I2132" s="7">
        <v>2</v>
      </c>
      <c r="J2132" s="7"/>
      <c r="K2132" s="7"/>
      <c r="L2132" s="7"/>
      <c r="M2132" s="7"/>
      <c r="N2132" s="7">
        <v>60</v>
      </c>
      <c r="O2132" s="7">
        <v>1000</v>
      </c>
      <c r="P2132" s="7">
        <v>1200</v>
      </c>
    </row>
    <row r="2133" spans="1:16">
      <c r="A2133" s="7">
        <f>IF(B2133="","",SUBTOTAL(103,$B$2:B2133))</f>
        <v>2132</v>
      </c>
      <c r="B2133" s="7" t="s">
        <v>5759</v>
      </c>
      <c r="C2133" s="7" t="s">
        <v>5811</v>
      </c>
      <c r="D2133" s="9" t="s">
        <v>5812</v>
      </c>
      <c r="E2133" s="7" t="s">
        <v>5813</v>
      </c>
      <c r="F2133" s="7" t="s">
        <v>5814</v>
      </c>
      <c r="G2133" s="7" t="str">
        <f t="shared" si="4"/>
        <v>Ladish 阀体毛坯 (全流量,D4001-8F3-B,版本B)NPS4 CL300 ASTM A351-CF8M</v>
      </c>
      <c r="H2133" s="7">
        <v>16.149999999999999</v>
      </c>
      <c r="I2133" s="7">
        <v>1</v>
      </c>
      <c r="J2133" s="7">
        <v>800</v>
      </c>
      <c r="K2133" s="7">
        <v>600</v>
      </c>
      <c r="L2133" s="7">
        <v>150</v>
      </c>
      <c r="M2133" s="7">
        <v>30</v>
      </c>
      <c r="N2133" s="7">
        <v>240</v>
      </c>
      <c r="O2133" s="7">
        <v>3000</v>
      </c>
      <c r="P2133" s="7">
        <v>4000</v>
      </c>
    </row>
    <row r="2134" spans="1:16">
      <c r="A2134" s="7">
        <f>IF(B2134="","",SUBTOTAL(103,$B$2:B2134))</f>
        <v>2133</v>
      </c>
      <c r="B2134" s="7" t="s">
        <v>5759</v>
      </c>
      <c r="C2134" s="7" t="s">
        <v>5811</v>
      </c>
      <c r="D2134" s="9" t="s">
        <v>5815</v>
      </c>
      <c r="E2134" s="7" t="s">
        <v>5816</v>
      </c>
      <c r="F2134" s="7" t="s">
        <v>5814</v>
      </c>
      <c r="G2134" s="7" t="str">
        <f t="shared" si="4"/>
        <v>Ladish 阀体毛坯 (一体式球阀,减流量,D4001-9F3-B,版本0)NPS4 CL300 ASTM A351-CF8M</v>
      </c>
      <c r="H2134" s="7">
        <v>26.34</v>
      </c>
      <c r="I2134" s="7">
        <v>1</v>
      </c>
      <c r="J2134" s="7"/>
      <c r="K2134" s="7"/>
      <c r="L2134" s="7"/>
      <c r="M2134" s="7"/>
      <c r="N2134" s="7">
        <v>60</v>
      </c>
      <c r="O2134" s="7">
        <v>2200</v>
      </c>
      <c r="P2134" s="7">
        <v>3000</v>
      </c>
    </row>
    <row r="2135" spans="1:16">
      <c r="A2135" s="7">
        <f>IF(B2135="","",SUBTOTAL(103,$B$2:B2135))</f>
        <v>2134</v>
      </c>
      <c r="B2135" s="7" t="s">
        <v>5759</v>
      </c>
      <c r="C2135" s="7" t="s">
        <v>5817</v>
      </c>
      <c r="D2135" s="9" t="s">
        <v>5818</v>
      </c>
      <c r="E2135" s="7" t="s">
        <v>5819</v>
      </c>
      <c r="F2135" s="7" t="s">
        <v>5814</v>
      </c>
      <c r="G2135" s="7" t="str">
        <f t="shared" si="4"/>
        <v>Ladish 阀盖毛坯 (全流量,C4049-8F3-B,版本C)NPS4 CL300 ASTM A351-CF8M</v>
      </c>
      <c r="H2135" s="7">
        <v>13.4</v>
      </c>
      <c r="I2135" s="7">
        <v>1</v>
      </c>
      <c r="J2135" s="7">
        <v>800</v>
      </c>
      <c r="K2135" s="7">
        <v>600</v>
      </c>
      <c r="L2135" s="7">
        <v>150</v>
      </c>
      <c r="M2135" s="7">
        <v>30</v>
      </c>
      <c r="N2135" s="7">
        <v>60</v>
      </c>
      <c r="O2135" s="7">
        <v>3000</v>
      </c>
      <c r="P2135" s="7">
        <v>4000</v>
      </c>
    </row>
    <row r="2136" spans="1:16">
      <c r="A2136" s="7">
        <f>IF(B2136="","",SUBTOTAL(103,$B$2:B2136))</f>
        <v>2135</v>
      </c>
      <c r="B2136" s="7" t="s">
        <v>5759</v>
      </c>
      <c r="C2136" s="7" t="s">
        <v>5817</v>
      </c>
      <c r="D2136" s="9" t="s">
        <v>5820</v>
      </c>
      <c r="E2136" s="7" t="s">
        <v>5786</v>
      </c>
      <c r="F2136" s="7" t="s">
        <v>5821</v>
      </c>
      <c r="G2136" s="7" t="str">
        <f t="shared" si="4"/>
        <v>Ladish 阀盖毛坯(减流量)(NACE MR0175/NACE MR0103)4inch 150# CF8M</v>
      </c>
      <c r="H2136" s="7">
        <v>4.5199999999999996</v>
      </c>
      <c r="I2136" s="7">
        <v>2</v>
      </c>
      <c r="J2136" s="7"/>
      <c r="K2136" s="7"/>
      <c r="L2136" s="7"/>
      <c r="M2136" s="7"/>
      <c r="N2136" s="7">
        <v>60</v>
      </c>
      <c r="O2136" s="7">
        <v>1200</v>
      </c>
      <c r="P2136" s="7">
        <v>1200</v>
      </c>
    </row>
    <row r="2137" spans="1:16">
      <c r="A2137" s="7">
        <f>IF(B2137="","",SUBTOTAL(103,$B$2:B2137))</f>
        <v>2136</v>
      </c>
      <c r="B2137" s="7" t="s">
        <v>5759</v>
      </c>
      <c r="C2137" s="7" t="s">
        <v>5822</v>
      </c>
      <c r="D2137" s="9" t="s">
        <v>5823</v>
      </c>
      <c r="E2137" s="7" t="s">
        <v>5762</v>
      </c>
      <c r="F2137" s="7" t="s">
        <v>500</v>
      </c>
      <c r="G2137" s="7" t="str">
        <f t="shared" si="4"/>
        <v>Ladish 阀体毛坯 (全流量,NACE MR0175/NACE MR0103)NPS3/4 CL150 CF8M</v>
      </c>
      <c r="H2137" s="7">
        <v>1.4</v>
      </c>
      <c r="I2137" s="7">
        <v>2</v>
      </c>
      <c r="J2137" s="7"/>
      <c r="K2137" s="7"/>
      <c r="L2137" s="7"/>
      <c r="M2137" s="7"/>
      <c r="N2137" s="7">
        <v>60</v>
      </c>
      <c r="O2137" s="7">
        <v>1000</v>
      </c>
      <c r="P2137" s="7">
        <v>1200</v>
      </c>
    </row>
    <row r="2138" spans="1:16">
      <c r="A2138" s="7">
        <f>IF(B2138="","",SUBTOTAL(103,$B$2:B2138))</f>
        <v>2137</v>
      </c>
      <c r="B2138" s="7" t="s">
        <v>5759</v>
      </c>
      <c r="C2138" s="7" t="s">
        <v>5822</v>
      </c>
      <c r="D2138" s="9" t="s">
        <v>5824</v>
      </c>
      <c r="E2138" s="7" t="s">
        <v>5825</v>
      </c>
      <c r="F2138" s="7" t="s">
        <v>5826</v>
      </c>
      <c r="G2138" s="7" t="str">
        <f t="shared" si="4"/>
        <v>Ladish 阀体毛坯 (全流量,D0701-8F3-B,版本F)NPS3/4 CL300 ASTM A351-CF8M</v>
      </c>
      <c r="H2138" s="7">
        <v>1.4</v>
      </c>
      <c r="I2138" s="7">
        <v>2</v>
      </c>
      <c r="J2138" s="7"/>
      <c r="K2138" s="7"/>
      <c r="L2138" s="7"/>
      <c r="M2138" s="7"/>
      <c r="N2138" s="7">
        <v>60</v>
      </c>
      <c r="O2138" s="7">
        <v>1000</v>
      </c>
      <c r="P2138" s="7">
        <v>1200</v>
      </c>
    </row>
    <row r="2139" spans="1:16">
      <c r="A2139" s="7">
        <f>IF(B2139="","",SUBTOTAL(103,$B$2:B2139))</f>
        <v>2138</v>
      </c>
      <c r="B2139" s="7" t="s">
        <v>5759</v>
      </c>
      <c r="C2139" s="7" t="s">
        <v>5822</v>
      </c>
      <c r="D2139" s="9" t="s">
        <v>5827</v>
      </c>
      <c r="E2139" s="7" t="s">
        <v>5825</v>
      </c>
      <c r="F2139" s="7" t="s">
        <v>5828</v>
      </c>
      <c r="G2139" s="7" t="str">
        <f>E2139&amp;F2139</f>
        <v>Ladish 阀体毛坯 (全流量,D0701-8F3-B,版本F)NPS3/4 CL300 ASTM A351-CN7M</v>
      </c>
      <c r="H2139" s="7">
        <v>1.4</v>
      </c>
      <c r="I2139" s="7">
        <v>2</v>
      </c>
      <c r="J2139" s="7"/>
      <c r="K2139" s="7"/>
      <c r="L2139" s="7"/>
      <c r="M2139" s="7"/>
      <c r="N2139" s="7">
        <v>60</v>
      </c>
      <c r="O2139" s="7">
        <v>1000</v>
      </c>
      <c r="P2139" s="7">
        <v>1200</v>
      </c>
    </row>
    <row r="2140" spans="1:16">
      <c r="A2140" s="7">
        <f>IF(B2140="","",SUBTOTAL(103,$B$2:B2140))</f>
        <v>2139</v>
      </c>
      <c r="B2140" s="7" t="s">
        <v>5759</v>
      </c>
      <c r="C2140" s="7" t="s">
        <v>5822</v>
      </c>
      <c r="D2140" s="9" t="s">
        <v>5829</v>
      </c>
      <c r="E2140" s="7" t="s">
        <v>5825</v>
      </c>
      <c r="F2140" s="7" t="s">
        <v>5830</v>
      </c>
      <c r="G2140" s="7" t="str">
        <f t="shared" si="4"/>
        <v>Ladish 阀体毛坯 (全流量,D0701-8F3-B,版本F)NPS3/4 CL300 ASTM A494-M35-1</v>
      </c>
      <c r="H2140" s="7">
        <v>2.58</v>
      </c>
      <c r="I2140" s="7">
        <v>2</v>
      </c>
      <c r="J2140" s="7"/>
      <c r="K2140" s="7"/>
      <c r="L2140" s="7"/>
      <c r="M2140" s="7"/>
      <c r="N2140" s="7">
        <v>60</v>
      </c>
      <c r="O2140" s="7">
        <v>1000</v>
      </c>
      <c r="P2140" s="7">
        <v>1200</v>
      </c>
    </row>
    <row r="2141" spans="1:16">
      <c r="A2141" s="7">
        <f>IF(B2141="","",SUBTOTAL(103,$B$2:B2141))</f>
        <v>2140</v>
      </c>
      <c r="B2141" s="7" t="s">
        <v>5759</v>
      </c>
      <c r="C2141" s="7" t="s">
        <v>5822</v>
      </c>
      <c r="D2141" s="9" t="s">
        <v>5831</v>
      </c>
      <c r="E2141" s="7" t="s">
        <v>5832</v>
      </c>
      <c r="F2141" s="7" t="s">
        <v>5826</v>
      </c>
      <c r="G2141" s="7" t="str">
        <f t="shared" si="4"/>
        <v>Ladish 阀体毛坯 (减流量,D0701-9F3-B,版本0)NPS3/4 CL300 ASTM A351-CF8M</v>
      </c>
      <c r="H2141" s="7">
        <v>1.4</v>
      </c>
      <c r="I2141" s="7">
        <v>1</v>
      </c>
      <c r="J2141" s="7"/>
      <c r="K2141" s="7"/>
      <c r="L2141" s="7"/>
      <c r="M2141" s="7"/>
      <c r="N2141" s="7">
        <v>60</v>
      </c>
      <c r="O2141" s="7">
        <v>2000</v>
      </c>
      <c r="P2141" s="7">
        <v>2500</v>
      </c>
    </row>
    <row r="2142" spans="1:16">
      <c r="A2142" s="7">
        <f>IF(B2142="","",SUBTOTAL(103,$B$2:B2142))</f>
        <v>2141</v>
      </c>
      <c r="B2142" s="7" t="s">
        <v>5759</v>
      </c>
      <c r="C2142" s="7" t="s">
        <v>5822</v>
      </c>
      <c r="D2142" s="9" t="s">
        <v>5833</v>
      </c>
      <c r="E2142" s="7" t="s">
        <v>5774</v>
      </c>
      <c r="F2142" s="7" t="s">
        <v>5834</v>
      </c>
      <c r="G2142" s="7" t="str">
        <f t="shared" si="4"/>
        <v>Ladish 阀体毛坯(减流量)(NACE MR0175/NACE MR0103)3/4inch 150# CF8M</v>
      </c>
      <c r="H2142" s="7">
        <v>1.8</v>
      </c>
      <c r="I2142" s="7">
        <v>2</v>
      </c>
      <c r="J2142" s="7"/>
      <c r="K2142" s="7"/>
      <c r="L2142" s="7"/>
      <c r="M2142" s="7"/>
      <c r="N2142" s="7">
        <v>60</v>
      </c>
      <c r="O2142" s="7">
        <v>1000</v>
      </c>
      <c r="P2142" s="7">
        <v>1200</v>
      </c>
    </row>
    <row r="2143" spans="1:16">
      <c r="A2143" s="7">
        <f>IF(B2143="","",SUBTOTAL(103,$B$2:B2143))</f>
        <v>2142</v>
      </c>
      <c r="B2143" s="7" t="s">
        <v>5759</v>
      </c>
      <c r="C2143" s="7" t="s">
        <v>5835</v>
      </c>
      <c r="D2143" s="9" t="s">
        <v>5836</v>
      </c>
      <c r="E2143" s="7" t="s">
        <v>5781</v>
      </c>
      <c r="F2143" s="7" t="s">
        <v>5834</v>
      </c>
      <c r="G2143" s="7" t="str">
        <f t="shared" si="4"/>
        <v>Ladish 阀盖毛坯(全流量)(NACE MR0175/NACE MR0103)3/4inch 150# CF8M</v>
      </c>
      <c r="H2143" s="7">
        <v>1.18</v>
      </c>
      <c r="I2143" s="7">
        <v>2</v>
      </c>
      <c r="J2143" s="7"/>
      <c r="K2143" s="7"/>
      <c r="L2143" s="7"/>
      <c r="M2143" s="7"/>
      <c r="N2143" s="7">
        <v>60</v>
      </c>
      <c r="O2143" s="7">
        <v>1000</v>
      </c>
      <c r="P2143" s="7">
        <v>1200</v>
      </c>
    </row>
    <row r="2144" spans="1:16">
      <c r="A2144" s="7">
        <f>IF(B2144="","",SUBTOTAL(103,$B$2:B2144))</f>
        <v>2143</v>
      </c>
      <c r="B2144" s="7" t="s">
        <v>5759</v>
      </c>
      <c r="C2144" s="7" t="s">
        <v>5835</v>
      </c>
      <c r="D2144" s="9" t="s">
        <v>5837</v>
      </c>
      <c r="E2144" s="7" t="s">
        <v>5786</v>
      </c>
      <c r="F2144" s="7" t="s">
        <v>5834</v>
      </c>
      <c r="G2144" s="7" t="str">
        <f t="shared" si="4"/>
        <v>Ladish 阀盖毛坯(减流量)(NACE MR0175/NACE MR0103)3/4inch 150# CF8M</v>
      </c>
      <c r="H2144" s="7">
        <v>0.27</v>
      </c>
      <c r="I2144" s="7">
        <v>20</v>
      </c>
      <c r="J2144" s="7"/>
      <c r="K2144" s="7"/>
      <c r="L2144" s="7"/>
      <c r="M2144" s="7"/>
      <c r="N2144" s="7">
        <v>60</v>
      </c>
      <c r="O2144" s="7">
        <v>100</v>
      </c>
      <c r="P2144" s="7">
        <v>120</v>
      </c>
    </row>
    <row r="2145" spans="1:16">
      <c r="A2145" s="7">
        <f>IF(B2145="","",SUBTOTAL(103,$B$2:B2145))</f>
        <v>2144</v>
      </c>
      <c r="B2145" s="7" t="s">
        <v>5759</v>
      </c>
      <c r="C2145" s="7" t="s">
        <v>5835</v>
      </c>
      <c r="D2145" s="9" t="s">
        <v>5838</v>
      </c>
      <c r="E2145" s="7" t="s">
        <v>5839</v>
      </c>
      <c r="F2145" s="7" t="s">
        <v>5826</v>
      </c>
      <c r="G2145" s="7" t="str">
        <f t="shared" si="4"/>
        <v>Ladish 阀盖毛坯 (全流量,C0749-8F3-B,版本B)NPS3/4 CL300 ASTM A351-CF8M</v>
      </c>
      <c r="H2145" s="7">
        <v>0.32</v>
      </c>
      <c r="I2145" s="7">
        <v>2</v>
      </c>
      <c r="J2145" s="7"/>
      <c r="K2145" s="7"/>
      <c r="L2145" s="7"/>
      <c r="M2145" s="7"/>
      <c r="N2145" s="7">
        <v>60</v>
      </c>
      <c r="O2145" s="7">
        <v>1000</v>
      </c>
      <c r="P2145" s="7">
        <v>1200</v>
      </c>
    </row>
    <row r="2146" spans="1:16">
      <c r="A2146" s="7">
        <f>IF(B2146="","",SUBTOTAL(103,$B$2:B2146))</f>
        <v>2145</v>
      </c>
      <c r="B2146" s="7" t="s">
        <v>5759</v>
      </c>
      <c r="C2146" s="7" t="s">
        <v>5835</v>
      </c>
      <c r="D2146" s="9" t="s">
        <v>5840</v>
      </c>
      <c r="E2146" s="7" t="s">
        <v>5839</v>
      </c>
      <c r="F2146" s="7" t="s">
        <v>5828</v>
      </c>
      <c r="G2146" s="7" t="str">
        <f>E2146&amp;F2146</f>
        <v>Ladish 阀盖毛坯 (全流量,C0749-8F3-B,版本B)NPS3/4 CL300 ASTM A351-CN7M</v>
      </c>
      <c r="H2146" s="7">
        <v>0.32</v>
      </c>
      <c r="I2146" s="7">
        <v>2</v>
      </c>
      <c r="J2146" s="7"/>
      <c r="K2146" s="7"/>
      <c r="L2146" s="7"/>
      <c r="M2146" s="7"/>
      <c r="N2146" s="7">
        <v>60</v>
      </c>
      <c r="O2146" s="7">
        <v>1000</v>
      </c>
      <c r="P2146" s="7">
        <v>1200</v>
      </c>
    </row>
    <row r="2147" spans="1:16">
      <c r="A2147" s="7">
        <f>IF(B2147="","",SUBTOTAL(103,$B$2:B2147))</f>
        <v>2146</v>
      </c>
      <c r="B2147" s="7" t="s">
        <v>5759</v>
      </c>
      <c r="C2147" s="7" t="s">
        <v>5835</v>
      </c>
      <c r="D2147" s="9" t="s">
        <v>5841</v>
      </c>
      <c r="E2147" s="7" t="s">
        <v>5839</v>
      </c>
      <c r="F2147" s="7" t="s">
        <v>5830</v>
      </c>
      <c r="G2147" s="7" t="str">
        <f t="shared" si="4"/>
        <v>Ladish 阀盖毛坯 (全流量,C0749-8F3-B,版本B)NPS3/4 CL300 ASTM A494-M35-1</v>
      </c>
      <c r="H2147" s="7">
        <v>2.1800000000000002</v>
      </c>
      <c r="I2147" s="7">
        <v>2</v>
      </c>
      <c r="J2147" s="7"/>
      <c r="K2147" s="7"/>
      <c r="L2147" s="7"/>
      <c r="M2147" s="7"/>
      <c r="N2147" s="7">
        <v>60</v>
      </c>
      <c r="O2147" s="7">
        <v>1000</v>
      </c>
      <c r="P2147" s="7">
        <v>1200</v>
      </c>
    </row>
    <row r="2148" spans="1:16">
      <c r="A2148" s="7">
        <f>IF(B2148="","",SUBTOTAL(103,$B$2:B2148))</f>
        <v>2147</v>
      </c>
      <c r="B2148" s="7" t="s">
        <v>5759</v>
      </c>
      <c r="C2148" s="7" t="s">
        <v>5842</v>
      </c>
      <c r="D2148" s="9" t="s">
        <v>5843</v>
      </c>
      <c r="E2148" s="7" t="s">
        <v>5844</v>
      </c>
      <c r="F2148" s="7" t="s">
        <v>5845</v>
      </c>
      <c r="G2148" s="7" t="str">
        <f>E2148&amp;F2148</f>
        <v>Ladish 阀体毛坯 (全流量,D1501-8F3-B,版本B)NPS11/2 CL300 ASTM A351-CF8M</v>
      </c>
      <c r="H2148" s="7">
        <v>4.8600000000000003</v>
      </c>
      <c r="I2148" s="7">
        <v>1</v>
      </c>
      <c r="J2148" s="7">
        <v>800</v>
      </c>
      <c r="K2148" s="7">
        <v>600</v>
      </c>
      <c r="L2148" s="7">
        <v>150</v>
      </c>
      <c r="M2148" s="7">
        <v>30</v>
      </c>
      <c r="N2148" s="7">
        <v>60</v>
      </c>
      <c r="O2148" s="7">
        <v>2500</v>
      </c>
      <c r="P2148" s="7">
        <v>3000</v>
      </c>
    </row>
    <row r="2149" spans="1:16">
      <c r="A2149" s="7">
        <f>IF(B2149="","",SUBTOTAL(103,$B$2:B2149))</f>
        <v>2148</v>
      </c>
      <c r="B2149" s="7" t="s">
        <v>5759</v>
      </c>
      <c r="C2149" s="7" t="s">
        <v>5842</v>
      </c>
      <c r="D2149" s="9" t="s">
        <v>5846</v>
      </c>
      <c r="E2149" s="7" t="s">
        <v>5847</v>
      </c>
      <c r="F2149" s="7" t="s">
        <v>5848</v>
      </c>
      <c r="G2149" s="7" t="str">
        <f t="shared" ref="G2149:G2154" si="5">E2149&amp;F2149</f>
        <v>Ladish 阀体毛坯 (全流量，D1501-8F1-B,版本C)NPS11/2 CL150 ASTM A351-CF8M</v>
      </c>
      <c r="H2149" s="7">
        <v>4.32</v>
      </c>
      <c r="I2149" s="7">
        <v>1</v>
      </c>
      <c r="J2149" s="7"/>
      <c r="K2149" s="7"/>
      <c r="L2149" s="7"/>
      <c r="M2149" s="7"/>
      <c r="N2149" s="7">
        <v>60</v>
      </c>
      <c r="O2149" s="7">
        <v>2500</v>
      </c>
      <c r="P2149" s="7">
        <v>3000</v>
      </c>
    </row>
    <row r="2150" spans="1:16">
      <c r="A2150" s="7">
        <f>IF(B2150="","",SUBTOTAL(103,$B$2:B2150))</f>
        <v>2149</v>
      </c>
      <c r="B2150" s="7" t="s">
        <v>5759</v>
      </c>
      <c r="C2150" s="7" t="s">
        <v>5842</v>
      </c>
      <c r="D2150" s="9" t="s">
        <v>5849</v>
      </c>
      <c r="E2150" s="7" t="s">
        <v>5774</v>
      </c>
      <c r="F2150" s="7" t="s">
        <v>5850</v>
      </c>
      <c r="G2150" s="7" t="str">
        <f t="shared" si="5"/>
        <v>Ladish 阀体毛坯(减流量)(NACE MR0175/NACE MR0103)11/2inch 150# CF8M</v>
      </c>
      <c r="H2150" s="7">
        <v>4.8600000000000003</v>
      </c>
      <c r="I2150" s="7">
        <v>1</v>
      </c>
      <c r="J2150" s="7"/>
      <c r="K2150" s="7"/>
      <c r="L2150" s="7"/>
      <c r="M2150" s="7"/>
      <c r="N2150" s="7">
        <v>60</v>
      </c>
      <c r="O2150" s="7">
        <v>2000</v>
      </c>
      <c r="P2150" s="7">
        <v>2500</v>
      </c>
    </row>
    <row r="2151" spans="1:16">
      <c r="A2151" s="7">
        <f>IF(B2151="","",SUBTOTAL(103,$B$2:B2151))</f>
        <v>2150</v>
      </c>
      <c r="B2151" s="7" t="s">
        <v>5759</v>
      </c>
      <c r="C2151" s="7" t="s">
        <v>5842</v>
      </c>
      <c r="D2151" s="9" t="s">
        <v>5851</v>
      </c>
      <c r="E2151" s="7" t="s">
        <v>5852</v>
      </c>
      <c r="F2151" s="7" t="s">
        <v>5845</v>
      </c>
      <c r="G2151" s="7" t="str">
        <f t="shared" si="5"/>
        <v>Ladish 阀体毛坯 (减流量,D1501-9F3-B,版本0)NPS11/2 CL300 ASTM A351-CF8M</v>
      </c>
      <c r="H2151" s="7">
        <v>6.13</v>
      </c>
      <c r="I2151" s="7">
        <v>1</v>
      </c>
      <c r="J2151" s="7"/>
      <c r="K2151" s="7"/>
      <c r="L2151" s="7"/>
      <c r="M2151" s="7"/>
      <c r="N2151" s="7">
        <v>60</v>
      </c>
      <c r="O2151" s="7">
        <v>2000</v>
      </c>
      <c r="P2151" s="7">
        <v>2500</v>
      </c>
    </row>
    <row r="2152" spans="1:16">
      <c r="A2152" s="7">
        <f>IF(B2152="","",SUBTOTAL(103,$B$2:B2152))</f>
        <v>2151</v>
      </c>
      <c r="B2152" s="7" t="s">
        <v>5759</v>
      </c>
      <c r="C2152" s="7" t="s">
        <v>5842</v>
      </c>
      <c r="D2152" s="9" t="s">
        <v>5853</v>
      </c>
      <c r="E2152" s="7" t="s">
        <v>5854</v>
      </c>
      <c r="F2152" s="7" t="s">
        <v>5855</v>
      </c>
      <c r="G2152" s="7" t="str">
        <f t="shared" si="5"/>
        <v>Ladish 阀体毛坯 (减流量，D1501-9F1-B)NPS11/2 CL150 ASTM A494-CW12MW</v>
      </c>
      <c r="H2152" s="7">
        <v>4.58</v>
      </c>
      <c r="I2152" s="7">
        <v>1</v>
      </c>
      <c r="J2152" s="7"/>
      <c r="K2152" s="7"/>
      <c r="L2152" s="7"/>
      <c r="M2152" s="7"/>
      <c r="N2152" s="7">
        <v>60</v>
      </c>
      <c r="O2152" s="7">
        <v>2000</v>
      </c>
      <c r="P2152" s="7">
        <v>2500</v>
      </c>
    </row>
    <row r="2153" spans="1:16">
      <c r="A2153" s="7">
        <f>IF(B2153="","",SUBTOTAL(103,$B$2:B2153))</f>
        <v>2152</v>
      </c>
      <c r="B2153" s="7" t="s">
        <v>5759</v>
      </c>
      <c r="C2153" s="7" t="s">
        <v>5842</v>
      </c>
      <c r="D2153" s="9" t="s">
        <v>5856</v>
      </c>
      <c r="E2153" s="7" t="s">
        <v>5857</v>
      </c>
      <c r="F2153" s="7" t="s">
        <v>5858</v>
      </c>
      <c r="G2153" s="7" t="str">
        <f t="shared" si="5"/>
        <v>Ladish 阀体毛坯 (全流量,D1501-8F1-B,版本C)NPS11/2 CL150 ASTM A494-M35-1</v>
      </c>
      <c r="H2153" s="7">
        <v>4.84</v>
      </c>
      <c r="I2153" s="7">
        <v>1</v>
      </c>
      <c r="J2153" s="7"/>
      <c r="K2153" s="7"/>
      <c r="L2153" s="7"/>
      <c r="M2153" s="7"/>
      <c r="N2153" s="7">
        <v>60</v>
      </c>
      <c r="O2153" s="7">
        <v>2500</v>
      </c>
      <c r="P2153" s="7">
        <v>3000</v>
      </c>
    </row>
    <row r="2154" spans="1:16">
      <c r="A2154" s="7">
        <f>IF(B2154="","",SUBTOTAL(103,$B$2:B2154))</f>
        <v>2153</v>
      </c>
      <c r="B2154" s="7" t="s">
        <v>5759</v>
      </c>
      <c r="C2154" s="7" t="s">
        <v>5842</v>
      </c>
      <c r="D2154" s="9" t="s">
        <v>5859</v>
      </c>
      <c r="E2154" s="7" t="s">
        <v>5857</v>
      </c>
      <c r="F2154" s="7" t="s">
        <v>5855</v>
      </c>
      <c r="G2154" s="7" t="str">
        <f t="shared" si="5"/>
        <v>Ladish 阀体毛坯 (全流量,D1501-8F1-B,版本C)NPS11/2 CL150 ASTM A494-CW12MW</v>
      </c>
      <c r="H2154" s="7">
        <v>4.58</v>
      </c>
      <c r="I2154" s="7">
        <v>1</v>
      </c>
      <c r="J2154" s="7"/>
      <c r="K2154" s="7"/>
      <c r="L2154" s="7"/>
      <c r="M2154" s="7"/>
      <c r="N2154" s="7">
        <v>60</v>
      </c>
      <c r="O2154" s="7">
        <v>2500</v>
      </c>
      <c r="P2154" s="7">
        <v>3000</v>
      </c>
    </row>
    <row r="2155" spans="1:16">
      <c r="A2155" s="7">
        <f>IF(B2155="","",SUBTOTAL(103,$B$2:B2155))</f>
        <v>2154</v>
      </c>
      <c r="B2155" s="7" t="s">
        <v>5759</v>
      </c>
      <c r="C2155" s="7" t="s">
        <v>5860</v>
      </c>
      <c r="D2155" s="9" t="s">
        <v>5861</v>
      </c>
      <c r="E2155" s="7" t="s">
        <v>5862</v>
      </c>
      <c r="F2155" s="7" t="s">
        <v>5845</v>
      </c>
      <c r="G2155" s="7" t="str">
        <f>E2155&amp;F2155</f>
        <v>Ladish 阀盖毛坯 (全流量,C1549-8F3-B,版本D)NPS11/2 CL300 ASTM A351-CF8M</v>
      </c>
      <c r="H2155" s="7">
        <v>0.57999999999999996</v>
      </c>
      <c r="I2155" s="7">
        <v>2</v>
      </c>
      <c r="J2155" s="7">
        <v>800</v>
      </c>
      <c r="K2155" s="7">
        <v>600</v>
      </c>
      <c r="L2155" s="7">
        <v>150</v>
      </c>
      <c r="M2155" s="7">
        <v>30</v>
      </c>
      <c r="N2155" s="7">
        <v>60</v>
      </c>
      <c r="O2155" s="7">
        <v>2500</v>
      </c>
      <c r="P2155" s="7">
        <v>3000</v>
      </c>
    </row>
    <row r="2156" spans="1:16">
      <c r="A2156" s="7">
        <f>IF(B2156="","",SUBTOTAL(103,$B$2:B2156))</f>
        <v>2155</v>
      </c>
      <c r="B2156" s="7" t="s">
        <v>5759</v>
      </c>
      <c r="C2156" s="7" t="s">
        <v>5860</v>
      </c>
      <c r="D2156" s="9" t="s">
        <v>5863</v>
      </c>
      <c r="E2156" s="7" t="s">
        <v>5781</v>
      </c>
      <c r="F2156" s="7" t="s">
        <v>5850</v>
      </c>
      <c r="G2156" s="7" t="str">
        <f>E2156&amp;F2156</f>
        <v>Ladish 阀盖毛坯(全流量)(NACE MR0175/NACE MR0103)11/2inch 150# CF8M</v>
      </c>
      <c r="H2156" s="7">
        <v>2.86</v>
      </c>
      <c r="I2156" s="7">
        <v>2</v>
      </c>
      <c r="J2156" s="7"/>
      <c r="K2156" s="7"/>
      <c r="L2156" s="7"/>
      <c r="M2156" s="7"/>
      <c r="N2156" s="7">
        <v>60</v>
      </c>
      <c r="O2156" s="7">
        <v>2500</v>
      </c>
      <c r="P2156" s="7">
        <v>3000</v>
      </c>
    </row>
    <row r="2157" spans="1:16">
      <c r="A2157" s="7">
        <f>IF(B2157="","",SUBTOTAL(103,$B$2:B2157))</f>
        <v>2156</v>
      </c>
      <c r="B2157" s="7" t="s">
        <v>5759</v>
      </c>
      <c r="C2157" s="7" t="s">
        <v>5860</v>
      </c>
      <c r="D2157" s="9" t="s">
        <v>5864</v>
      </c>
      <c r="E2157" s="7" t="s">
        <v>5865</v>
      </c>
      <c r="F2157" s="7" t="s">
        <v>5858</v>
      </c>
      <c r="G2157" s="7" t="str">
        <f>E2157&amp;F2157</f>
        <v>Ladish 阀盖毛坯 (全流量,C1549-8F1-B)NPS11/2 CL150 ASTM A494-M35-1</v>
      </c>
      <c r="H2157" s="7">
        <v>3.18</v>
      </c>
      <c r="I2157" s="7">
        <v>2</v>
      </c>
      <c r="J2157" s="7"/>
      <c r="K2157" s="7"/>
      <c r="L2157" s="7"/>
      <c r="M2157" s="7"/>
      <c r="N2157" s="7">
        <v>60</v>
      </c>
      <c r="O2157" s="7">
        <v>1000</v>
      </c>
      <c r="P2157" s="7">
        <v>1200</v>
      </c>
    </row>
    <row r="2158" spans="1:16">
      <c r="A2158" s="7">
        <f>IF(B2158="","",SUBTOTAL(103,$B$2:B2158))</f>
        <v>2157</v>
      </c>
      <c r="B2158" s="7" t="s">
        <v>5759</v>
      </c>
      <c r="C2158" s="7" t="s">
        <v>5860</v>
      </c>
      <c r="D2158" s="9" t="s">
        <v>5866</v>
      </c>
      <c r="E2158" s="7" t="s">
        <v>5786</v>
      </c>
      <c r="F2158" s="7" t="s">
        <v>5850</v>
      </c>
      <c r="G2158" s="7" t="str">
        <f>E2158&amp;F2158</f>
        <v>Ladish 阀盖毛坯(减流量)(NACE MR0175/NACE MR0103)11/2inch 150# CF8M</v>
      </c>
      <c r="H2158" s="7">
        <v>0.57999999999999996</v>
      </c>
      <c r="I2158" s="7">
        <v>8</v>
      </c>
      <c r="J2158" s="7"/>
      <c r="K2158" s="7"/>
      <c r="L2158" s="7"/>
      <c r="M2158" s="7"/>
      <c r="N2158" s="7">
        <v>60</v>
      </c>
      <c r="O2158" s="7">
        <v>250</v>
      </c>
      <c r="P2158" s="7">
        <v>280</v>
      </c>
    </row>
    <row r="2159" spans="1:16">
      <c r="A2159" s="7">
        <f>IF(B2159="","",SUBTOTAL(103,$B$2:B2159))</f>
        <v>2158</v>
      </c>
      <c r="B2159" s="7" t="s">
        <v>5759</v>
      </c>
      <c r="C2159" s="7" t="s">
        <v>5867</v>
      </c>
      <c r="D2159" s="9" t="s">
        <v>5868</v>
      </c>
      <c r="E2159" s="7" t="s">
        <v>5869</v>
      </c>
      <c r="F2159" s="7" t="s">
        <v>5870</v>
      </c>
      <c r="G2159" s="7" t="str">
        <f>+E2159&amp;F2159</f>
        <v>Ladish 阀体毛坯 (全流量,D0501-8F3-B,版本F)NPS1/2 CL300 ASTM A351-CF8M</v>
      </c>
      <c r="H2159" s="7">
        <v>1.08</v>
      </c>
      <c r="I2159" s="7">
        <v>3</v>
      </c>
      <c r="J2159" s="7"/>
      <c r="K2159" s="7"/>
      <c r="L2159" s="7"/>
      <c r="M2159" s="7"/>
      <c r="N2159" s="7">
        <v>0</v>
      </c>
      <c r="O2159" s="7">
        <v>800</v>
      </c>
      <c r="P2159" s="7">
        <v>1000</v>
      </c>
    </row>
    <row r="2160" spans="1:16">
      <c r="A2160" s="7">
        <f>IF(B2160="","",SUBTOTAL(103,$B$2:B2160))</f>
        <v>2159</v>
      </c>
      <c r="B2160" s="7" t="s">
        <v>5759</v>
      </c>
      <c r="C2160" s="7" t="s">
        <v>5867</v>
      </c>
      <c r="D2160" s="9" t="s">
        <v>5871</v>
      </c>
      <c r="E2160" s="7" t="s">
        <v>5762</v>
      </c>
      <c r="F2160" s="7" t="s">
        <v>446</v>
      </c>
      <c r="G2160" s="7" t="str">
        <f>+E2160&amp;F2160</f>
        <v>Ladish 阀体毛坯 (全流量,NACE MR0175/NACE MR0103)NPS1/2 CL150 CF8M</v>
      </c>
      <c r="H2160" s="7">
        <v>1.08</v>
      </c>
      <c r="I2160" s="7">
        <v>2</v>
      </c>
      <c r="J2160" s="7"/>
      <c r="K2160" s="7"/>
      <c r="L2160" s="7"/>
      <c r="M2160" s="7"/>
      <c r="N2160" s="7">
        <v>60</v>
      </c>
      <c r="O2160" s="7">
        <v>1000</v>
      </c>
      <c r="P2160" s="7">
        <v>1200</v>
      </c>
    </row>
    <row r="2161" spans="1:16">
      <c r="A2161" s="7">
        <f>IF(B2161="","",SUBTOTAL(103,$B$2:B2161))</f>
        <v>2160</v>
      </c>
      <c r="B2161" s="7" t="s">
        <v>5759</v>
      </c>
      <c r="C2161" s="7" t="s">
        <v>5872</v>
      </c>
      <c r="D2161" s="9" t="s">
        <v>5873</v>
      </c>
      <c r="E2161" s="7" t="s">
        <v>5874</v>
      </c>
      <c r="F2161" s="7" t="s">
        <v>5870</v>
      </c>
      <c r="G2161" s="7" t="str">
        <f>+E2161&amp;F2161</f>
        <v>Ladish 阀盖毛坯 (全流量,C0549-8F3-B,版本C)NPS1/2 CL300 ASTM A351-CF8M</v>
      </c>
      <c r="H2161" s="7">
        <v>1.46</v>
      </c>
      <c r="I2161" s="7">
        <v>3</v>
      </c>
      <c r="J2161" s="7"/>
      <c r="K2161" s="7"/>
      <c r="L2161" s="7"/>
      <c r="M2161" s="7"/>
      <c r="N2161" s="7">
        <v>0</v>
      </c>
      <c r="O2161" s="7">
        <v>800</v>
      </c>
      <c r="P2161" s="7">
        <v>1000</v>
      </c>
    </row>
    <row r="2162" spans="1:16">
      <c r="A2162" s="7">
        <f>IF(B2162="","",SUBTOTAL(103,$B$2:B2162))</f>
        <v>2161</v>
      </c>
      <c r="B2162" s="7" t="s">
        <v>5759</v>
      </c>
      <c r="C2162" s="7" t="s">
        <v>5872</v>
      </c>
      <c r="D2162" s="9" t="s">
        <v>5875</v>
      </c>
      <c r="E2162" s="7" t="s">
        <v>5781</v>
      </c>
      <c r="F2162" s="7" t="s">
        <v>5876</v>
      </c>
      <c r="G2162" s="7" t="str">
        <f>+E2162&amp;F2162</f>
        <v>Ladish 阀盖毛坯(全流量)(NACE MR0175/NACE MR0103)1/2inch 150# CF8M</v>
      </c>
      <c r="H2162" s="7">
        <v>0.84</v>
      </c>
      <c r="I2162" s="7">
        <v>3</v>
      </c>
      <c r="J2162" s="7"/>
      <c r="K2162" s="7"/>
      <c r="L2162" s="7"/>
      <c r="M2162" s="7"/>
      <c r="N2162" s="7">
        <v>60</v>
      </c>
      <c r="O2162" s="7">
        <v>700</v>
      </c>
      <c r="P2162" s="7">
        <v>900</v>
      </c>
    </row>
    <row r="2163" spans="1:16">
      <c r="A2163" s="7">
        <f>IF(B2163="","",SUBTOTAL(103,$B$2:B2163))</f>
        <v>2162</v>
      </c>
      <c r="B2163" s="7" t="s">
        <v>5759</v>
      </c>
      <c r="C2163" s="7" t="s">
        <v>5877</v>
      </c>
      <c r="D2163" s="9" t="s">
        <v>5878</v>
      </c>
      <c r="E2163" s="7" t="s">
        <v>5879</v>
      </c>
      <c r="F2163" s="7" t="s">
        <v>5880</v>
      </c>
      <c r="G2163" s="7" t="str">
        <f>E2163&amp;F2163</f>
        <v>Ladish 阀体毛坯 (全流量,C2501-8F1-B,版本0)NPS21/2 CL150 ASTM A351-CF8M</v>
      </c>
      <c r="H2163" s="7">
        <v>9.82</v>
      </c>
      <c r="I2163" s="7">
        <v>1</v>
      </c>
      <c r="J2163" s="7"/>
      <c r="K2163" s="7"/>
      <c r="L2163" s="7"/>
      <c r="M2163" s="7"/>
      <c r="N2163" s="7">
        <v>300</v>
      </c>
      <c r="O2163" s="7">
        <v>2500</v>
      </c>
      <c r="P2163" s="7">
        <v>3000</v>
      </c>
    </row>
    <row r="2164" spans="1:16">
      <c r="A2164" s="7">
        <f>IF(B2164="","",SUBTOTAL(103,$B$2:B2164))</f>
        <v>2163</v>
      </c>
      <c r="B2164" s="7" t="s">
        <v>5759</v>
      </c>
      <c r="C2164" s="7" t="s">
        <v>5877</v>
      </c>
      <c r="D2164" s="9" t="s">
        <v>5881</v>
      </c>
      <c r="E2164" s="7" t="s">
        <v>5882</v>
      </c>
      <c r="F2164" s="7" t="s">
        <v>5880</v>
      </c>
      <c r="G2164" s="7" t="str">
        <f>E2164&amp;F2164</f>
        <v>Ladish 阀体毛坯 (全流量,D2501-8F1-B,版本0)NPS21/2 CL150 ASTM A351-CF8M</v>
      </c>
      <c r="H2164" s="7"/>
      <c r="I2164" s="7">
        <v>1</v>
      </c>
      <c r="J2164" s="7"/>
      <c r="K2164" s="7"/>
      <c r="L2164" s="7"/>
      <c r="M2164" s="7"/>
      <c r="N2164" s="7">
        <v>300</v>
      </c>
      <c r="O2164" s="7">
        <v>2500</v>
      </c>
      <c r="P2164" s="7">
        <v>3000</v>
      </c>
    </row>
    <row r="2165" spans="1:16">
      <c r="A2165" s="7">
        <f>IF(B2165="","",SUBTOTAL(103,$B$2:B2165))</f>
        <v>2164</v>
      </c>
      <c r="B2165" s="7" t="s">
        <v>5759</v>
      </c>
      <c r="C2165" s="7" t="s">
        <v>5883</v>
      </c>
      <c r="D2165" s="9" t="s">
        <v>5884</v>
      </c>
      <c r="E2165" s="7" t="s">
        <v>5885</v>
      </c>
      <c r="F2165" s="7" t="s">
        <v>5880</v>
      </c>
      <c r="G2165" s="7" t="str">
        <f t="shared" ref="G2165:G2196" si="6">E2165&amp;F2165</f>
        <v>Ladish 阀盖毛坯 (全流量,C2549-8F1-B,版本0)NPS21/2 CL150 ASTM A351-CF8M</v>
      </c>
      <c r="H2165" s="7">
        <v>3.63</v>
      </c>
      <c r="I2165" s="7">
        <v>1</v>
      </c>
      <c r="J2165" s="7"/>
      <c r="K2165" s="7"/>
      <c r="L2165" s="7"/>
      <c r="M2165" s="7"/>
      <c r="N2165" s="7">
        <v>0</v>
      </c>
      <c r="O2165" s="7">
        <v>2500</v>
      </c>
      <c r="P2165" s="7">
        <v>3000</v>
      </c>
    </row>
    <row r="2166" spans="1:16">
      <c r="A2166" s="7">
        <f>IF(B2166="","",SUBTOTAL(103,$B$2:B2166))</f>
        <v>2165</v>
      </c>
      <c r="B2166" s="7" t="s">
        <v>5759</v>
      </c>
      <c r="C2166" s="7" t="s">
        <v>5886</v>
      </c>
      <c r="D2166" s="9" t="s">
        <v>5887</v>
      </c>
      <c r="E2166" s="7" t="s">
        <v>5888</v>
      </c>
      <c r="F2166" s="7" t="s">
        <v>5889</v>
      </c>
      <c r="G2166" s="7" t="str">
        <f t="shared" si="6"/>
        <v>Ladish 阀体毛坯 (全流量,D2001-8F1-B,版本B)NPS2 CL150 ASTM A494-M35-1</v>
      </c>
      <c r="H2166" s="7">
        <v>7.12</v>
      </c>
      <c r="I2166" s="7">
        <v>1</v>
      </c>
      <c r="J2166" s="7"/>
      <c r="K2166" s="7"/>
      <c r="L2166" s="7"/>
      <c r="M2166" s="7"/>
      <c r="N2166" s="7">
        <v>150</v>
      </c>
      <c r="O2166" s="7">
        <v>2500</v>
      </c>
      <c r="P2166" s="7">
        <v>3000</v>
      </c>
    </row>
    <row r="2167" spans="1:16">
      <c r="A2167" s="7">
        <f>IF(B2167="","",SUBTOTAL(103,$B$2:B2167))</f>
        <v>2166</v>
      </c>
      <c r="B2167" s="7" t="s">
        <v>5759</v>
      </c>
      <c r="C2167" s="7" t="s">
        <v>5886</v>
      </c>
      <c r="D2167" s="9" t="s">
        <v>5890</v>
      </c>
      <c r="E2167" s="7" t="s">
        <v>5891</v>
      </c>
      <c r="F2167" s="7" t="s">
        <v>5892</v>
      </c>
      <c r="G2167" s="7" t="str">
        <f t="shared" si="6"/>
        <v>Ladish 阀体毛坯 (全流量,D2001-8F1-B)NPS2 CL150 ASTM A351-CF8M</v>
      </c>
      <c r="H2167" s="7">
        <v>6.46</v>
      </c>
      <c r="I2167" s="7">
        <v>1</v>
      </c>
      <c r="J2167" s="7"/>
      <c r="K2167" s="7"/>
      <c r="L2167" s="7"/>
      <c r="M2167" s="7"/>
      <c r="N2167" s="7">
        <v>150</v>
      </c>
      <c r="O2167" s="7">
        <v>2500</v>
      </c>
      <c r="P2167" s="7">
        <v>3000</v>
      </c>
    </row>
    <row r="2168" spans="1:16">
      <c r="A2168" s="7">
        <f>IF(B2168="","",SUBTOTAL(103,$B$2:B2168))</f>
        <v>2167</v>
      </c>
      <c r="B2168" s="7" t="s">
        <v>5759</v>
      </c>
      <c r="C2168" s="7" t="s">
        <v>5886</v>
      </c>
      <c r="D2168" s="9" t="s">
        <v>5893</v>
      </c>
      <c r="E2168" s="7" t="s">
        <v>5894</v>
      </c>
      <c r="F2168" s="7" t="s">
        <v>5889</v>
      </c>
      <c r="G2168" s="7" t="str">
        <f t="shared" si="6"/>
        <v>Ladish 阀体毛坯 (减流量,D2001-9F1-B,版本0)NPS2 CL150 ASTM A494-M35-1</v>
      </c>
      <c r="H2168" s="7">
        <v>7.12</v>
      </c>
      <c r="I2168" s="7">
        <v>1</v>
      </c>
      <c r="J2168" s="7"/>
      <c r="K2168" s="7"/>
      <c r="L2168" s="7"/>
      <c r="M2168" s="7"/>
      <c r="N2168" s="7">
        <v>150</v>
      </c>
      <c r="O2168" s="7">
        <v>2500</v>
      </c>
      <c r="P2168" s="7">
        <v>3000</v>
      </c>
    </row>
    <row r="2169" spans="1:16">
      <c r="A2169" s="7">
        <f>IF(B2169="","",SUBTOTAL(103,$B$2:B2169))</f>
        <v>2168</v>
      </c>
      <c r="B2169" s="7" t="s">
        <v>5759</v>
      </c>
      <c r="C2169" s="7" t="s">
        <v>5886</v>
      </c>
      <c r="D2169" s="9" t="s">
        <v>5895</v>
      </c>
      <c r="E2169" s="7" t="s">
        <v>5894</v>
      </c>
      <c r="F2169" s="7" t="s">
        <v>5892</v>
      </c>
      <c r="G2169" s="7" t="str">
        <f t="shared" si="6"/>
        <v>Ladish 阀体毛坯 (减流量,D2001-9F1-B,版本0)NPS2 CL150 ASTM A351-CF8M</v>
      </c>
      <c r="H2169" s="7">
        <v>6.46</v>
      </c>
      <c r="I2169" s="7">
        <v>1</v>
      </c>
      <c r="J2169" s="7"/>
      <c r="K2169" s="7"/>
      <c r="L2169" s="7"/>
      <c r="M2169" s="7"/>
      <c r="N2169" s="7">
        <v>150</v>
      </c>
      <c r="O2169" s="7">
        <v>2500</v>
      </c>
      <c r="P2169" s="7">
        <v>3000</v>
      </c>
    </row>
    <row r="2170" spans="1:16">
      <c r="A2170" s="7">
        <f>IF(B2170="","",SUBTOTAL(103,$B$2:B2170))</f>
        <v>2169</v>
      </c>
      <c r="B2170" s="7" t="s">
        <v>5759</v>
      </c>
      <c r="C2170" s="7" t="s">
        <v>5886</v>
      </c>
      <c r="D2170" s="9" t="s">
        <v>5896</v>
      </c>
      <c r="E2170" s="7" t="s">
        <v>5897</v>
      </c>
      <c r="F2170" s="7" t="s">
        <v>5898</v>
      </c>
      <c r="G2170" s="7" t="str">
        <f>E2170&amp;F2170</f>
        <v>Ladish 阀体毛坯 (减流量,D2001-9F3-B,版本A)NPS2 CL300 ASTM A351-CF8M</v>
      </c>
      <c r="H2170" s="7">
        <v>10.36</v>
      </c>
      <c r="I2170" s="7">
        <v>1</v>
      </c>
      <c r="J2170" s="7"/>
      <c r="K2170" s="7"/>
      <c r="L2170" s="7"/>
      <c r="M2170" s="7"/>
      <c r="N2170" s="7">
        <v>60</v>
      </c>
      <c r="O2170" s="7">
        <v>2000</v>
      </c>
      <c r="P2170" s="7">
        <v>2500</v>
      </c>
    </row>
    <row r="2171" spans="1:16">
      <c r="A2171" s="7">
        <f>IF(B2171="","",SUBTOTAL(103,$B$2:B2171))</f>
        <v>2170</v>
      </c>
      <c r="B2171" s="7" t="s">
        <v>5759</v>
      </c>
      <c r="C2171" s="7" t="s">
        <v>5886</v>
      </c>
      <c r="D2171" s="9" t="s">
        <v>5899</v>
      </c>
      <c r="E2171" s="7" t="s">
        <v>5900</v>
      </c>
      <c r="F2171" s="7" t="s">
        <v>5898</v>
      </c>
      <c r="G2171" s="7" t="str">
        <f>E2171&amp;F2171</f>
        <v>Ladish 阀体毛坯 (减流量,一体式球阀,D2001-9F3-B,版本A)NPS2 CL300 ASTM A351-CF8M</v>
      </c>
      <c r="H2171" s="7">
        <v>10.36</v>
      </c>
      <c r="I2171" s="7">
        <v>1</v>
      </c>
      <c r="J2171" s="7"/>
      <c r="K2171" s="7"/>
      <c r="L2171" s="7"/>
      <c r="M2171" s="7"/>
      <c r="N2171" s="7">
        <v>60</v>
      </c>
      <c r="O2171" s="7">
        <v>2000</v>
      </c>
      <c r="P2171" s="7">
        <v>2500</v>
      </c>
    </row>
    <row r="2172" spans="1:16">
      <c r="A2172" s="7">
        <f>IF(B2172="","",SUBTOTAL(103,$B$2:B2172))</f>
        <v>2171</v>
      </c>
      <c r="B2172" s="7" t="s">
        <v>5759</v>
      </c>
      <c r="C2172" s="7" t="s">
        <v>5886</v>
      </c>
      <c r="D2172" s="9" t="s">
        <v>5901</v>
      </c>
      <c r="E2172" s="7" t="s">
        <v>5902</v>
      </c>
      <c r="F2172" s="7" t="s">
        <v>5898</v>
      </c>
      <c r="G2172" s="7" t="str">
        <f t="shared" si="6"/>
        <v>Ladish 阀体毛坯 (全流量,D2001-8F3-B,版本B)NPS2 CL300 ASTM A351-CF8M</v>
      </c>
      <c r="H2172" s="7">
        <v>10.36</v>
      </c>
      <c r="I2172" s="7">
        <v>1</v>
      </c>
      <c r="J2172" s="7"/>
      <c r="K2172" s="7"/>
      <c r="L2172" s="7"/>
      <c r="M2172" s="7"/>
      <c r="N2172" s="7">
        <v>60</v>
      </c>
      <c r="O2172" s="7">
        <v>2000</v>
      </c>
      <c r="P2172" s="7">
        <v>2200</v>
      </c>
    </row>
    <row r="2173" spans="1:16">
      <c r="A2173" s="7">
        <f>IF(B2173="","",SUBTOTAL(103,$B$2:B2173))</f>
        <v>2172</v>
      </c>
      <c r="B2173" s="7" t="s">
        <v>5759</v>
      </c>
      <c r="C2173" s="7" t="s">
        <v>5886</v>
      </c>
      <c r="D2173" s="9" t="s">
        <v>5903</v>
      </c>
      <c r="E2173" s="7" t="s">
        <v>5902</v>
      </c>
      <c r="F2173" s="7" t="s">
        <v>5904</v>
      </c>
      <c r="G2173" s="7" t="str">
        <f t="shared" si="6"/>
        <v>Ladish 阀体毛坯 (全流量,D2001-8F3-B,版本B)NPS2 CL300 ASTM A494-M35-1</v>
      </c>
      <c r="H2173" s="7">
        <v>8.86</v>
      </c>
      <c r="I2173" s="7">
        <v>1</v>
      </c>
      <c r="J2173" s="7"/>
      <c r="K2173" s="7"/>
      <c r="L2173" s="7"/>
      <c r="M2173" s="7"/>
      <c r="N2173" s="7">
        <v>60</v>
      </c>
      <c r="O2173" s="7">
        <v>2000</v>
      </c>
      <c r="P2173" s="7">
        <v>2200</v>
      </c>
    </row>
    <row r="2174" spans="1:16">
      <c r="A2174" s="7">
        <f>IF(B2174="","",SUBTOTAL(103,$B$2:B2174))</f>
        <v>2173</v>
      </c>
      <c r="B2174" s="7" t="s">
        <v>5759</v>
      </c>
      <c r="C2174" s="7" t="s">
        <v>5782</v>
      </c>
      <c r="D2174" s="9" t="s">
        <v>5905</v>
      </c>
      <c r="E2174" s="7" t="s">
        <v>5906</v>
      </c>
      <c r="F2174" s="7" t="s">
        <v>5889</v>
      </c>
      <c r="G2174" s="7" t="str">
        <f>E2174&amp;F2174</f>
        <v>Ladish 阀盖毛坯 (全流量,C2049-8F1-B)NPS2 CL150 ASTM A494-M35-1</v>
      </c>
      <c r="H2174" s="7">
        <v>4.68</v>
      </c>
      <c r="I2174" s="7">
        <v>2</v>
      </c>
      <c r="J2174" s="7"/>
      <c r="K2174" s="7"/>
      <c r="L2174" s="7"/>
      <c r="M2174" s="7"/>
      <c r="N2174" s="7">
        <v>120</v>
      </c>
      <c r="O2174" s="7">
        <v>1500</v>
      </c>
      <c r="P2174" s="7">
        <v>1700</v>
      </c>
    </row>
    <row r="2175" spans="1:16">
      <c r="A2175" s="7">
        <f>IF(B2175="","",SUBTOTAL(103,$B$2:B2175))</f>
        <v>2174</v>
      </c>
      <c r="B2175" s="7" t="s">
        <v>5759</v>
      </c>
      <c r="C2175" s="7" t="s">
        <v>5782</v>
      </c>
      <c r="D2175" s="9" t="s">
        <v>5907</v>
      </c>
      <c r="E2175" s="7" t="s">
        <v>5888</v>
      </c>
      <c r="F2175" s="7" t="s">
        <v>5908</v>
      </c>
      <c r="G2175" s="7" t="str">
        <f>E2175&amp;F2175</f>
        <v>Ladish 阀体毛坯 (全流量,D2001-8F1-B,版本B)NPS2 CL150 ASTM A351-CN7M</v>
      </c>
      <c r="H2175" s="7">
        <v>7.14</v>
      </c>
      <c r="I2175" s="7">
        <v>1</v>
      </c>
      <c r="J2175" s="7"/>
      <c r="K2175" s="7"/>
      <c r="L2175" s="7"/>
      <c r="M2175" s="7"/>
      <c r="N2175" s="7">
        <v>150</v>
      </c>
      <c r="O2175" s="7">
        <v>2500</v>
      </c>
      <c r="P2175" s="7">
        <v>3000</v>
      </c>
    </row>
    <row r="2176" spans="1:16">
      <c r="A2176" s="7">
        <f>IF(B2176="","",SUBTOTAL(103,$B$2:B2176))</f>
        <v>2175</v>
      </c>
      <c r="B2176" s="7" t="s">
        <v>5759</v>
      </c>
      <c r="C2176" s="7" t="s">
        <v>5782</v>
      </c>
      <c r="D2176" s="9" t="s">
        <v>5909</v>
      </c>
      <c r="E2176" s="7" t="s">
        <v>5902</v>
      </c>
      <c r="F2176" s="7" t="s">
        <v>5910</v>
      </c>
      <c r="G2176" s="7" t="str">
        <f>E2176&amp;F2176</f>
        <v>Ladish 阀体毛坯 (全流量,D2001-8F3-B,版本B)NPS2 CL300 ASTM A351-CN7M</v>
      </c>
      <c r="H2176" s="7">
        <v>10.36</v>
      </c>
      <c r="I2176" s="7">
        <v>1</v>
      </c>
      <c r="J2176" s="7"/>
      <c r="K2176" s="7"/>
      <c r="L2176" s="7"/>
      <c r="M2176" s="7"/>
      <c r="N2176" s="7">
        <v>150</v>
      </c>
      <c r="O2176" s="7">
        <v>2500</v>
      </c>
      <c r="P2176" s="7">
        <v>3000</v>
      </c>
    </row>
    <row r="2177" spans="1:16">
      <c r="A2177" s="7">
        <f>IF(B2177="","",SUBTOTAL(103,$B$2:B2177))</f>
        <v>2176</v>
      </c>
      <c r="B2177" s="7" t="s">
        <v>5759</v>
      </c>
      <c r="C2177" s="7" t="s">
        <v>5782</v>
      </c>
      <c r="D2177" s="9" t="s">
        <v>5911</v>
      </c>
      <c r="E2177" s="7" t="s">
        <v>5786</v>
      </c>
      <c r="F2177" s="7" t="s">
        <v>5784</v>
      </c>
      <c r="G2177" s="7" t="str">
        <f t="shared" si="6"/>
        <v>Ladish 阀盖毛坯(减流量)(NACE MR0175/NACE MR0103)2inch 150# CF8M</v>
      </c>
      <c r="H2177" s="7">
        <v>2.2599999999999998</v>
      </c>
      <c r="I2177" s="7">
        <v>4</v>
      </c>
      <c r="J2177" s="7"/>
      <c r="K2177" s="7"/>
      <c r="L2177" s="7"/>
      <c r="M2177" s="7"/>
      <c r="N2177" s="7">
        <v>60</v>
      </c>
      <c r="O2177" s="7">
        <v>600</v>
      </c>
      <c r="P2177" s="7">
        <v>800</v>
      </c>
    </row>
    <row r="2178" spans="1:16">
      <c r="A2178" s="7">
        <f>IF(B2178="","",SUBTOTAL(103,$B$2:B2178))</f>
        <v>2177</v>
      </c>
      <c r="B2178" s="7" t="s">
        <v>5759</v>
      </c>
      <c r="C2178" s="7" t="s">
        <v>5782</v>
      </c>
      <c r="D2178" s="9" t="s">
        <v>5912</v>
      </c>
      <c r="E2178" s="7" t="s">
        <v>5913</v>
      </c>
      <c r="F2178" s="7" t="s">
        <v>5904</v>
      </c>
      <c r="G2178" s="7" t="str">
        <f t="shared" si="6"/>
        <v>Ladish 阀盖毛坯 (减流量,C2049-9F3-B)NPS2 CL300 ASTM A494-M35-1</v>
      </c>
      <c r="H2178" s="7">
        <v>1.34</v>
      </c>
      <c r="I2178" s="7">
        <v>4</v>
      </c>
      <c r="J2178" s="7"/>
      <c r="K2178" s="7"/>
      <c r="L2178" s="7"/>
      <c r="M2178" s="7"/>
      <c r="N2178" s="7">
        <v>60</v>
      </c>
      <c r="O2178" s="7">
        <v>600</v>
      </c>
      <c r="P2178" s="7">
        <v>800</v>
      </c>
    </row>
    <row r="2179" spans="1:16">
      <c r="A2179" s="7">
        <f>IF(B2179="","",SUBTOTAL(103,$B$2:B2179))</f>
        <v>2178</v>
      </c>
      <c r="B2179" s="7" t="s">
        <v>5759</v>
      </c>
      <c r="C2179" s="7" t="s">
        <v>5782</v>
      </c>
      <c r="D2179" s="9" t="s">
        <v>5914</v>
      </c>
      <c r="E2179" s="7" t="s">
        <v>5915</v>
      </c>
      <c r="F2179" s="7" t="s">
        <v>5898</v>
      </c>
      <c r="G2179" s="7" t="str">
        <f t="shared" si="6"/>
        <v>Ladish 阀盖毛坯 (全流量,C2049-8F3-B,版本C)NPS2 CL300 ASTM A351-CF8M</v>
      </c>
      <c r="H2179" s="7">
        <v>5.6</v>
      </c>
      <c r="I2179" s="7">
        <v>1</v>
      </c>
      <c r="J2179" s="7"/>
      <c r="K2179" s="7"/>
      <c r="L2179" s="7"/>
      <c r="M2179" s="7"/>
      <c r="N2179" s="7">
        <v>60</v>
      </c>
      <c r="O2179" s="7">
        <v>2000</v>
      </c>
      <c r="P2179" s="7">
        <v>2200</v>
      </c>
    </row>
    <row r="2180" spans="1:16">
      <c r="A2180" s="7">
        <f>IF(B2180="","",SUBTOTAL(103,$B$2:B2180))</f>
        <v>2179</v>
      </c>
      <c r="B2180" s="7" t="s">
        <v>5759</v>
      </c>
      <c r="C2180" s="7" t="s">
        <v>5782</v>
      </c>
      <c r="D2180" s="9" t="s">
        <v>5916</v>
      </c>
      <c r="E2180" s="7" t="s">
        <v>5915</v>
      </c>
      <c r="F2180" s="7" t="s">
        <v>5904</v>
      </c>
      <c r="G2180" s="7" t="str">
        <f t="shared" si="6"/>
        <v>Ladish 阀盖毛坯 (全流量,C2049-8F3-B,版本C)NPS2 CL300 ASTM A494-M35-1</v>
      </c>
      <c r="H2180" s="7">
        <v>6.28</v>
      </c>
      <c r="I2180" s="7">
        <v>1</v>
      </c>
      <c r="J2180" s="7"/>
      <c r="K2180" s="7"/>
      <c r="L2180" s="7"/>
      <c r="M2180" s="7"/>
      <c r="N2180" s="7">
        <v>60</v>
      </c>
      <c r="O2180" s="7">
        <v>2000</v>
      </c>
      <c r="P2180" s="7">
        <v>2200</v>
      </c>
    </row>
    <row r="2181" spans="1:16">
      <c r="A2181" s="7">
        <f>IF(B2181="","",SUBTOTAL(103,$B$2:B2181))</f>
        <v>2180</v>
      </c>
      <c r="B2181" s="7" t="s">
        <v>5759</v>
      </c>
      <c r="C2181" s="7" t="s">
        <v>5782</v>
      </c>
      <c r="D2181" s="9" t="s">
        <v>5917</v>
      </c>
      <c r="E2181" s="7" t="s">
        <v>5915</v>
      </c>
      <c r="F2181" s="7" t="s">
        <v>5910</v>
      </c>
      <c r="G2181" s="7" t="str">
        <f t="shared" si="6"/>
        <v>Ladish 阀盖毛坯 (全流量,C2049-8F3-B,版本C)NPS2 CL300 ASTM A351-CN7M</v>
      </c>
      <c r="H2181" s="7">
        <v>4.12</v>
      </c>
      <c r="I2181" s="7">
        <v>1</v>
      </c>
      <c r="J2181" s="7"/>
      <c r="K2181" s="7"/>
      <c r="L2181" s="7"/>
      <c r="M2181" s="7"/>
      <c r="N2181" s="7">
        <v>60</v>
      </c>
      <c r="O2181" s="7">
        <v>2000</v>
      </c>
      <c r="P2181" s="7">
        <v>2200</v>
      </c>
    </row>
    <row r="2182" spans="1:16">
      <c r="A2182" s="7">
        <f>IF(B2182="","",SUBTOTAL(103,$B$2:B2182))</f>
        <v>2181</v>
      </c>
      <c r="B2182" s="7" t="s">
        <v>5759</v>
      </c>
      <c r="C2182" s="7" t="s">
        <v>5782</v>
      </c>
      <c r="D2182" s="9" t="s">
        <v>5918</v>
      </c>
      <c r="E2182" s="7" t="s">
        <v>5919</v>
      </c>
      <c r="F2182" s="7" t="s">
        <v>5908</v>
      </c>
      <c r="G2182" s="7" t="str">
        <f t="shared" si="6"/>
        <v>Ladish 阀盖毛坯 (全流量,C2049-8F1-B,版本F)NPS2 CL150 ASTM A351-CN7M</v>
      </c>
      <c r="H2182" s="7">
        <v>4.12</v>
      </c>
      <c r="I2182" s="7">
        <v>2</v>
      </c>
      <c r="J2182" s="7"/>
      <c r="K2182" s="7"/>
      <c r="L2182" s="7"/>
      <c r="M2182" s="7"/>
      <c r="N2182" s="7">
        <v>120</v>
      </c>
      <c r="O2182" s="7">
        <v>1500</v>
      </c>
      <c r="P2182" s="7">
        <v>1700</v>
      </c>
    </row>
    <row r="2183" spans="1:16">
      <c r="A2183" s="7">
        <f>IF(B2183="","",SUBTOTAL(103,$B$2:B2183))</f>
        <v>2182</v>
      </c>
      <c r="B2183" s="7" t="s">
        <v>5759</v>
      </c>
      <c r="C2183" s="7"/>
      <c r="D2183" s="9" t="s">
        <v>5920</v>
      </c>
      <c r="E2183" s="7" t="s">
        <v>5921</v>
      </c>
      <c r="F2183" s="7" t="s">
        <v>5922</v>
      </c>
      <c r="G2183" s="7" t="str">
        <f t="shared" si="6"/>
        <v>Ladish OEM零件 (毛坯,Q1063-030-B71,Bracket支架,版本A)ASTM A216-WCB磷化</v>
      </c>
      <c r="H2183" s="7">
        <v>1.82</v>
      </c>
      <c r="I2183" s="7">
        <v>2</v>
      </c>
      <c r="J2183" s="7"/>
      <c r="K2183" s="7"/>
      <c r="L2183" s="7"/>
      <c r="M2183" s="7"/>
      <c r="N2183" s="7">
        <v>400</v>
      </c>
      <c r="O2183" s="7">
        <v>3000</v>
      </c>
      <c r="P2183" s="7">
        <v>4000</v>
      </c>
    </row>
    <row r="2184" spans="1:16">
      <c r="A2184" s="7">
        <f>IF(B2184="","",SUBTOTAL(103,$B$2:B2184))</f>
        <v>2183</v>
      </c>
      <c r="B2184" s="7" t="s">
        <v>5759</v>
      </c>
      <c r="C2184" s="7"/>
      <c r="D2184" s="9" t="s">
        <v>5923</v>
      </c>
      <c r="E2184" s="7" t="s">
        <v>5924</v>
      </c>
      <c r="F2184" s="7" t="s">
        <v>5922</v>
      </c>
      <c r="G2184" s="7" t="str">
        <f t="shared" si="6"/>
        <v>Ladish OEM零件 (毛坯,Q0663-030-B71,Bracket支架,版本0)ASTM A216-WCB磷化</v>
      </c>
      <c r="H2184" s="7">
        <v>1.46</v>
      </c>
      <c r="I2184" s="7">
        <v>2</v>
      </c>
      <c r="J2184" s="7"/>
      <c r="K2184" s="7"/>
      <c r="L2184" s="7"/>
      <c r="M2184" s="7"/>
      <c r="N2184" s="7">
        <v>400</v>
      </c>
      <c r="O2184" s="7">
        <v>3000</v>
      </c>
      <c r="P2184" s="7">
        <v>4000</v>
      </c>
    </row>
    <row r="2185" spans="1:16">
      <c r="A2185" s="7">
        <f>IF(B2185="","",SUBTOTAL(103,$B$2:B2185))</f>
        <v>2184</v>
      </c>
      <c r="B2185" s="7" t="s">
        <v>5759</v>
      </c>
      <c r="C2185" s="7"/>
      <c r="D2185" s="9" t="s">
        <v>5925</v>
      </c>
      <c r="E2185" s="7" t="s">
        <v>5926</v>
      </c>
      <c r="F2185" s="7" t="s">
        <v>5922</v>
      </c>
      <c r="G2185" s="7" t="str">
        <f t="shared" si="6"/>
        <v>Ladish OEM零件 (毛坯,Q1563-030-B71,Bracket支架,版本0)ASTM A216-WCB磷化</v>
      </c>
      <c r="H2185" s="7">
        <v>4.78</v>
      </c>
      <c r="I2185" s="7">
        <v>1</v>
      </c>
      <c r="J2185" s="7"/>
      <c r="K2185" s="7"/>
      <c r="L2185" s="7"/>
      <c r="M2185" s="7"/>
      <c r="N2185" s="7">
        <v>400</v>
      </c>
      <c r="O2185" s="7">
        <v>5000</v>
      </c>
      <c r="P2185" s="7">
        <v>6000</v>
      </c>
    </row>
    <row r="2186" spans="1:16">
      <c r="A2186" s="7">
        <f>IF(B2186="","",SUBTOTAL(103,$B$2:B2186))</f>
        <v>2185</v>
      </c>
      <c r="B2186" s="7" t="s">
        <v>5927</v>
      </c>
      <c r="C2186" s="7"/>
      <c r="D2186" s="9" t="s">
        <v>5928</v>
      </c>
      <c r="E2186" s="7" t="s">
        <v>5929</v>
      </c>
      <c r="F2186" s="7" t="s">
        <v>5930</v>
      </c>
      <c r="G2186" s="7" t="str">
        <f t="shared" si="6"/>
        <v>Ladish K-EB-ND-BS 保温支架毛坯 (超低温阀,全流量,T0541-101-B,版本0)NPS1/2 CL600 ASTM A351-CF8M</v>
      </c>
      <c r="H2186" s="7">
        <v>1.08</v>
      </c>
      <c r="I2186" s="7">
        <v>2</v>
      </c>
      <c r="J2186" s="7">
        <v>800</v>
      </c>
      <c r="K2186" s="7">
        <v>600</v>
      </c>
      <c r="L2186" s="7">
        <v>150</v>
      </c>
      <c r="M2186" s="7">
        <v>30</v>
      </c>
      <c r="N2186" s="7">
        <v>500</v>
      </c>
      <c r="O2186" s="7">
        <v>1250</v>
      </c>
      <c r="P2186" s="7">
        <v>1500</v>
      </c>
    </row>
    <row r="2187" spans="1:16">
      <c r="A2187" s="7">
        <f>IF(B2187="","",SUBTOTAL(103,$B$2:B2187))</f>
        <v>2186</v>
      </c>
      <c r="B2187" s="7" t="s">
        <v>5931</v>
      </c>
      <c r="C2187" s="7"/>
      <c r="D2187" s="9" t="s">
        <v>5932</v>
      </c>
      <c r="E2187" s="7" t="s">
        <v>5933</v>
      </c>
      <c r="F2187" s="7" t="s">
        <v>5934</v>
      </c>
      <c r="G2187" s="7" t="str">
        <f t="shared" si="6"/>
        <v>KI K-EB-L 支架毛坯NPS1 ASTM A351-CF8M</v>
      </c>
      <c r="H2187" s="7">
        <v>0.58599999999999997</v>
      </c>
      <c r="I2187" s="7">
        <v>4</v>
      </c>
      <c r="J2187" s="7"/>
      <c r="K2187" s="7"/>
      <c r="L2187" s="7"/>
      <c r="M2187" s="7"/>
      <c r="N2187" s="7">
        <v>150</v>
      </c>
      <c r="O2187" s="7">
        <v>600</v>
      </c>
      <c r="P2187" s="7">
        <v>800</v>
      </c>
    </row>
    <row r="2188" spans="1:16">
      <c r="A2188" s="7">
        <f>IF(B2188="","",SUBTOTAL(103,$B$2:B2188))</f>
        <v>2187</v>
      </c>
      <c r="B2188" s="7" t="s">
        <v>5931</v>
      </c>
      <c r="C2188" s="7"/>
      <c r="D2188" s="9" t="s">
        <v>5935</v>
      </c>
      <c r="E2188" s="7" t="s">
        <v>5933</v>
      </c>
      <c r="F2188" s="7" t="s">
        <v>5936</v>
      </c>
      <c r="G2188" s="7" t="str">
        <f t="shared" si="6"/>
        <v>KI K-EB-L 支架毛坯NPS1/2 ASTM A351-CF8M</v>
      </c>
      <c r="H2188" s="7">
        <v>0.43</v>
      </c>
      <c r="I2188" s="7">
        <v>4</v>
      </c>
      <c r="J2188" s="7"/>
      <c r="K2188" s="7"/>
      <c r="L2188" s="7"/>
      <c r="M2188" s="7"/>
      <c r="N2188" s="7">
        <v>120</v>
      </c>
      <c r="O2188" s="7">
        <v>500</v>
      </c>
      <c r="P2188" s="7">
        <v>700</v>
      </c>
    </row>
    <row r="2189" spans="1:16">
      <c r="A2189" s="7">
        <f>IF(B2189="","",SUBTOTAL(103,$B$2:B2189))</f>
        <v>2188</v>
      </c>
      <c r="B2189" s="7" t="s">
        <v>5931</v>
      </c>
      <c r="C2189" s="7"/>
      <c r="D2189" s="9" t="s">
        <v>5937</v>
      </c>
      <c r="E2189" s="7" t="s">
        <v>5933</v>
      </c>
      <c r="F2189" s="7" t="s">
        <v>5892</v>
      </c>
      <c r="G2189" s="7" t="str">
        <f t="shared" si="6"/>
        <v>KI K-EB-L 支架毛坯NPS2 CL150 ASTM A351-CF8M</v>
      </c>
      <c r="H2189" s="7">
        <v>0.42699999999999999</v>
      </c>
      <c r="I2189" s="7">
        <v>4</v>
      </c>
      <c r="J2189" s="7"/>
      <c r="K2189" s="7"/>
      <c r="L2189" s="7"/>
      <c r="M2189" s="7"/>
      <c r="N2189" s="7">
        <v>120</v>
      </c>
      <c r="O2189" s="7">
        <v>500</v>
      </c>
      <c r="P2189" s="7">
        <v>700</v>
      </c>
    </row>
    <row r="2190" spans="1:16">
      <c r="A2190" s="7">
        <f>IF(B2190="","",SUBTOTAL(103,$B$2:B2190))</f>
        <v>2189</v>
      </c>
      <c r="B2190" s="7" t="s">
        <v>5931</v>
      </c>
      <c r="C2190" s="7"/>
      <c r="D2190" s="9" t="s">
        <v>5938</v>
      </c>
      <c r="E2190" s="7" t="s">
        <v>5933</v>
      </c>
      <c r="F2190" s="7" t="s">
        <v>5939</v>
      </c>
      <c r="G2190" s="7" t="str">
        <f t="shared" si="6"/>
        <v>KI K-EB-L 支架毛坯NPS21/2 ASTM A351-CF8M</v>
      </c>
      <c r="H2190" s="7">
        <v>2.206</v>
      </c>
      <c r="I2190" s="7">
        <v>2</v>
      </c>
      <c r="J2190" s="7"/>
      <c r="K2190" s="7"/>
      <c r="L2190" s="7"/>
      <c r="M2190" s="7"/>
      <c r="N2190" s="7">
        <v>120</v>
      </c>
      <c r="O2190" s="7">
        <v>1000</v>
      </c>
      <c r="P2190" s="7">
        <v>1200</v>
      </c>
    </row>
    <row r="2191" spans="1:16">
      <c r="A2191" s="7">
        <f>IF(B2191="","",SUBTOTAL(103,$B$2:B2191))</f>
        <v>2190</v>
      </c>
      <c r="B2191" s="7" t="s">
        <v>5931</v>
      </c>
      <c r="C2191" s="7"/>
      <c r="D2191" s="9" t="s">
        <v>5940</v>
      </c>
      <c r="E2191" s="7" t="s">
        <v>5933</v>
      </c>
      <c r="F2191" s="7" t="s">
        <v>5941</v>
      </c>
      <c r="G2191" s="7" t="str">
        <f t="shared" si="6"/>
        <v>KI K-EB-L 支架毛坯NPS4 ASTM A351-CF8M</v>
      </c>
      <c r="H2191" s="7">
        <v>2.5449999999999999</v>
      </c>
      <c r="I2191" s="7">
        <v>2</v>
      </c>
      <c r="J2191" s="7"/>
      <c r="K2191" s="7"/>
      <c r="L2191" s="7"/>
      <c r="M2191" s="7"/>
      <c r="N2191" s="7">
        <v>120</v>
      </c>
      <c r="O2191" s="7">
        <v>1000</v>
      </c>
      <c r="P2191" s="7">
        <v>1200</v>
      </c>
    </row>
    <row r="2192" spans="1:16">
      <c r="A2192" s="7">
        <f>IF(B2192="","",SUBTOTAL(103,$B$2:B2192))</f>
        <v>2191</v>
      </c>
      <c r="B2192" s="7" t="s">
        <v>5931</v>
      </c>
      <c r="C2192" s="7"/>
      <c r="D2192" s="9" t="s">
        <v>5942</v>
      </c>
      <c r="E2192" s="7" t="s">
        <v>5933</v>
      </c>
      <c r="F2192" s="7" t="s">
        <v>5943</v>
      </c>
      <c r="G2192" s="7" t="str">
        <f t="shared" si="6"/>
        <v>KI K-EB-L 支架毛坯NPS5 ASTM A351-CF8M</v>
      </c>
      <c r="H2192" s="7">
        <v>4.8099999999999996</v>
      </c>
      <c r="I2192" s="7">
        <v>1</v>
      </c>
      <c r="J2192" s="7"/>
      <c r="K2192" s="7"/>
      <c r="L2192" s="7"/>
      <c r="M2192" s="7"/>
      <c r="N2192" s="7">
        <v>120</v>
      </c>
      <c r="O2192" s="7">
        <v>2000</v>
      </c>
      <c r="P2192" s="7">
        <v>2200</v>
      </c>
    </row>
    <row r="2193" spans="1:16380">
      <c r="A2193" s="7">
        <f>IF(B2193="","",SUBTOTAL(103,$B$2:B2193))</f>
        <v>2192</v>
      </c>
      <c r="B2193" s="8" t="s">
        <v>5944</v>
      </c>
      <c r="C2193" s="7"/>
      <c r="D2193" s="9" t="s">
        <v>5945</v>
      </c>
      <c r="E2193" s="7" t="s">
        <v>5946</v>
      </c>
      <c r="F2193" s="7" t="s">
        <v>5947</v>
      </c>
      <c r="G2193" s="7" t="str">
        <f t="shared" si="6"/>
        <v>左下护板（茂村喷砂机）毛坯锰</v>
      </c>
      <c r="H2193" s="7"/>
      <c r="I2193" s="7">
        <v>2</v>
      </c>
      <c r="J2193" s="7"/>
      <c r="K2193" s="7"/>
      <c r="L2193" s="7"/>
      <c r="M2193" s="7"/>
      <c r="N2193" s="7"/>
      <c r="O2193" s="7">
        <v>1000</v>
      </c>
      <c r="P2193" s="7">
        <v>1100</v>
      </c>
    </row>
    <row r="2194" spans="1:16380">
      <c r="A2194" s="7">
        <f>IF(B2194="","",SUBTOTAL(103,$B$2:B2194))</f>
        <v>2193</v>
      </c>
      <c r="B2194" s="8" t="s">
        <v>5944</v>
      </c>
      <c r="C2194" s="7"/>
      <c r="D2194" s="9" t="s">
        <v>5948</v>
      </c>
      <c r="E2194" s="7" t="s">
        <v>5949</v>
      </c>
      <c r="F2194" s="7" t="s">
        <v>5947</v>
      </c>
      <c r="G2194" s="7" t="str">
        <f t="shared" si="6"/>
        <v>左上护板（茂村喷砂机）毛坯锰</v>
      </c>
      <c r="H2194" s="7"/>
      <c r="I2194" s="7">
        <v>1</v>
      </c>
      <c r="J2194" s="7"/>
      <c r="K2194" s="7"/>
      <c r="L2194" s="7"/>
      <c r="M2194" s="7"/>
      <c r="N2194" s="7"/>
      <c r="O2194" s="7">
        <v>1000</v>
      </c>
      <c r="P2194" s="7">
        <v>1100</v>
      </c>
    </row>
    <row r="2195" spans="1:16380">
      <c r="A2195" s="7">
        <f>IF(B2195="","",SUBTOTAL(103,$B$2:B2195))</f>
        <v>2194</v>
      </c>
      <c r="B2195" s="8" t="s">
        <v>5950</v>
      </c>
      <c r="C2195" s="7"/>
      <c r="D2195" s="9" t="s">
        <v>5951</v>
      </c>
      <c r="E2195" s="7" t="s">
        <v>5952</v>
      </c>
      <c r="F2195" s="7" t="s">
        <v>5947</v>
      </c>
      <c r="G2195" s="7" t="str">
        <f t="shared" si="6"/>
        <v>顶护板 （茂村喷砂机）毛坯-Miếng cố định đầu MC-201 phôi锰</v>
      </c>
      <c r="H2195" s="7">
        <v>5.9</v>
      </c>
      <c r="I2195" s="7">
        <v>1</v>
      </c>
      <c r="J2195" s="7"/>
      <c r="K2195" s="7"/>
      <c r="L2195" s="7"/>
      <c r="M2195" s="7"/>
      <c r="N2195" s="7"/>
      <c r="O2195" s="7">
        <v>2000</v>
      </c>
      <c r="P2195" s="7">
        <v>2200</v>
      </c>
    </row>
    <row r="2196" spans="1:16380">
      <c r="A2196" s="7">
        <f>IF(B2196="","",SUBTOTAL(103,$B$2:B2196))</f>
        <v>2195</v>
      </c>
      <c r="B2196" s="8" t="s">
        <v>5953</v>
      </c>
      <c r="C2196" s="7"/>
      <c r="D2196" s="9">
        <v>2580400014</v>
      </c>
      <c r="E2196" s="7" t="s">
        <v>5954</v>
      </c>
      <c r="F2196" s="7" t="s">
        <v>5955</v>
      </c>
      <c r="G2196" s="7" t="str">
        <f t="shared" si="6"/>
        <v>越南铁王-模头螺丝WCB 毛胚</v>
      </c>
      <c r="H2196" s="7"/>
      <c r="I2196" s="7"/>
      <c r="J2196" s="7">
        <v>800</v>
      </c>
      <c r="K2196" s="7">
        <v>600</v>
      </c>
      <c r="L2196" s="7">
        <v>150</v>
      </c>
      <c r="M2196" s="7">
        <v>30</v>
      </c>
      <c r="N2196" s="7">
        <v>120</v>
      </c>
      <c r="O2196" s="7">
        <v>300</v>
      </c>
      <c r="P2196" s="7">
        <v>700</v>
      </c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0"/>
      <c r="BC2196" s="10"/>
      <c r="BD2196" s="10"/>
      <c r="BE2196" s="10"/>
      <c r="BF2196" s="10"/>
      <c r="BG2196" s="10"/>
      <c r="BH2196" s="10"/>
      <c r="BI2196" s="10"/>
      <c r="BJ2196" s="10"/>
      <c r="BK2196" s="10"/>
      <c r="BL2196" s="10"/>
      <c r="BM2196" s="10"/>
      <c r="BN2196" s="10"/>
      <c r="BO2196" s="10"/>
      <c r="BP2196" s="10"/>
      <c r="BQ2196" s="10"/>
      <c r="BR2196" s="10"/>
      <c r="BS2196" s="10"/>
      <c r="BT2196" s="10"/>
      <c r="BU2196" s="10"/>
      <c r="BV2196" s="10"/>
      <c r="BW2196" s="10"/>
      <c r="BX2196" s="10"/>
      <c r="BY2196" s="10"/>
      <c r="BZ2196" s="10"/>
      <c r="CA2196" s="10"/>
      <c r="CB2196" s="10"/>
      <c r="CC2196" s="10"/>
      <c r="CD2196" s="10"/>
      <c r="CE2196" s="10"/>
      <c r="CF2196" s="10"/>
      <c r="CG2196" s="10"/>
      <c r="CH2196" s="10"/>
      <c r="CI2196" s="10"/>
      <c r="CJ2196" s="10"/>
      <c r="CK2196" s="10"/>
      <c r="CL2196" s="10"/>
      <c r="CM2196" s="10"/>
      <c r="CN2196" s="10"/>
      <c r="CO2196" s="10"/>
      <c r="CP2196" s="10"/>
      <c r="CQ2196" s="10"/>
      <c r="CR2196" s="10"/>
      <c r="CS2196" s="10"/>
      <c r="CT2196" s="10"/>
      <c r="CU2196" s="10"/>
      <c r="CV2196" s="10"/>
      <c r="CW2196" s="10"/>
      <c r="CX2196" s="10"/>
      <c r="CY2196" s="10"/>
      <c r="CZ2196" s="10"/>
      <c r="DA2196" s="10"/>
      <c r="DB2196" s="10"/>
      <c r="DC2196" s="10"/>
      <c r="DD2196" s="10"/>
      <c r="DE2196" s="10"/>
      <c r="DF2196" s="10"/>
      <c r="DG2196" s="10"/>
      <c r="DH2196" s="10"/>
      <c r="DI2196" s="10"/>
      <c r="DJ2196" s="10"/>
      <c r="DK2196" s="10"/>
      <c r="DL2196" s="10"/>
      <c r="DM2196" s="10"/>
      <c r="DN2196" s="10"/>
      <c r="DO2196" s="10"/>
      <c r="DP2196" s="10"/>
      <c r="DQ2196" s="10"/>
      <c r="DR2196" s="10"/>
      <c r="DS2196" s="10"/>
      <c r="DT2196" s="10"/>
      <c r="DU2196" s="10"/>
      <c r="DV2196" s="10"/>
      <c r="DW2196" s="10"/>
      <c r="DX2196" s="10"/>
      <c r="DY2196" s="10"/>
      <c r="DZ2196" s="10"/>
      <c r="EA2196" s="10"/>
      <c r="EB2196" s="10"/>
      <c r="EC2196" s="10"/>
      <c r="ED2196" s="10"/>
      <c r="EE2196" s="10"/>
      <c r="EF2196" s="10"/>
      <c r="EG2196" s="10"/>
      <c r="EH2196" s="10"/>
      <c r="EI2196" s="10"/>
      <c r="EJ2196" s="10"/>
      <c r="EK2196" s="10"/>
      <c r="EL2196" s="10"/>
      <c r="EM2196" s="10"/>
      <c r="EN2196" s="10"/>
      <c r="EO2196" s="10"/>
      <c r="EP2196" s="10"/>
      <c r="EQ2196" s="10"/>
      <c r="ER2196" s="10"/>
      <c r="ES2196" s="10"/>
      <c r="ET2196" s="10"/>
      <c r="EU2196" s="10"/>
      <c r="EV2196" s="10"/>
      <c r="EW2196" s="10"/>
      <c r="EX2196" s="10"/>
      <c r="EY2196" s="10"/>
      <c r="EZ2196" s="10"/>
      <c r="FA2196" s="10"/>
      <c r="FB2196" s="10"/>
      <c r="FC2196" s="10"/>
      <c r="FD2196" s="10"/>
      <c r="FE2196" s="10"/>
      <c r="FF2196" s="10"/>
      <c r="FG2196" s="10"/>
      <c r="FH2196" s="10"/>
      <c r="FI2196" s="10"/>
      <c r="FJ2196" s="10"/>
      <c r="FK2196" s="10"/>
      <c r="FL2196" s="10"/>
      <c r="FM2196" s="10"/>
      <c r="FN2196" s="10"/>
      <c r="FO2196" s="10"/>
      <c r="FP2196" s="10"/>
      <c r="FQ2196" s="10"/>
      <c r="FR2196" s="10"/>
      <c r="FS2196" s="10"/>
      <c r="FT2196" s="10"/>
      <c r="FU2196" s="10"/>
      <c r="FV2196" s="10"/>
      <c r="FW2196" s="10"/>
      <c r="FX2196" s="10"/>
      <c r="FY2196" s="10"/>
      <c r="FZ2196" s="10"/>
      <c r="GA2196" s="10"/>
      <c r="GB2196" s="10"/>
      <c r="GC2196" s="10"/>
      <c r="GD2196" s="10"/>
      <c r="GE2196" s="10"/>
      <c r="GF2196" s="10"/>
      <c r="GG2196" s="10"/>
      <c r="GH2196" s="10"/>
      <c r="GI2196" s="10"/>
      <c r="GJ2196" s="10"/>
      <c r="GK2196" s="10"/>
      <c r="GL2196" s="10"/>
      <c r="GM2196" s="10"/>
      <c r="GN2196" s="10"/>
      <c r="GO2196" s="10"/>
      <c r="GP2196" s="10"/>
      <c r="GQ2196" s="10"/>
      <c r="GR2196" s="10"/>
      <c r="GS2196" s="10"/>
      <c r="GT2196" s="10"/>
      <c r="GU2196" s="10"/>
      <c r="GV2196" s="10"/>
      <c r="GW2196" s="10"/>
      <c r="GX2196" s="10"/>
      <c r="GY2196" s="10"/>
      <c r="GZ2196" s="10"/>
      <c r="HA2196" s="10"/>
      <c r="HB2196" s="10"/>
      <c r="HC2196" s="10"/>
      <c r="HD2196" s="10"/>
      <c r="HE2196" s="10"/>
      <c r="HF2196" s="10"/>
      <c r="HG2196" s="10"/>
      <c r="HH2196" s="10"/>
      <c r="HI2196" s="10"/>
      <c r="HJ2196" s="10"/>
      <c r="HK2196" s="10"/>
      <c r="HL2196" s="10"/>
      <c r="HM2196" s="10"/>
      <c r="HN2196" s="10"/>
      <c r="HO2196" s="10"/>
      <c r="HP2196" s="10"/>
      <c r="HQ2196" s="10"/>
      <c r="HR2196" s="10"/>
      <c r="HS2196" s="10"/>
      <c r="HT2196" s="10"/>
      <c r="HU2196" s="10"/>
      <c r="HV2196" s="10"/>
      <c r="HW2196" s="10"/>
      <c r="HX2196" s="10"/>
      <c r="HY2196" s="10"/>
      <c r="HZ2196" s="10"/>
      <c r="IA2196" s="10"/>
      <c r="IB2196" s="10"/>
      <c r="IC2196" s="10"/>
      <c r="ID2196" s="10"/>
      <c r="IE2196" s="10"/>
      <c r="IF2196" s="10"/>
      <c r="IG2196" s="10"/>
      <c r="IH2196" s="10"/>
      <c r="II2196" s="10"/>
      <c r="IJ2196" s="10"/>
      <c r="IK2196" s="10"/>
      <c r="IL2196" s="10"/>
      <c r="IM2196" s="10"/>
      <c r="IN2196" s="10"/>
      <c r="IO2196" s="10"/>
      <c r="IP2196" s="10"/>
      <c r="IQ2196" s="10"/>
      <c r="IR2196" s="10"/>
      <c r="IS2196" s="10"/>
      <c r="IT2196" s="10"/>
      <c r="IU2196" s="10"/>
      <c r="IV2196" s="10"/>
      <c r="IW2196" s="10"/>
      <c r="IX2196" s="10"/>
      <c r="IY2196" s="10"/>
      <c r="IZ2196" s="10"/>
      <c r="JA2196" s="10"/>
      <c r="JB2196" s="10"/>
      <c r="JC2196" s="10"/>
      <c r="JD2196" s="10"/>
      <c r="JE2196" s="10"/>
      <c r="JF2196" s="10"/>
      <c r="JG2196" s="10"/>
      <c r="JH2196" s="10"/>
      <c r="JI2196" s="10"/>
      <c r="JJ2196" s="10"/>
      <c r="JK2196" s="10"/>
      <c r="JL2196" s="10"/>
      <c r="JM2196" s="10"/>
      <c r="JN2196" s="10"/>
      <c r="JO2196" s="10"/>
      <c r="JP2196" s="10"/>
      <c r="JQ2196" s="10"/>
      <c r="JR2196" s="10"/>
      <c r="JS2196" s="10"/>
      <c r="JT2196" s="10"/>
      <c r="JU2196" s="10"/>
      <c r="JV2196" s="10"/>
      <c r="JW2196" s="10"/>
      <c r="JX2196" s="10"/>
      <c r="JY2196" s="10"/>
      <c r="JZ2196" s="10"/>
      <c r="KA2196" s="10"/>
      <c r="KB2196" s="10"/>
      <c r="KC2196" s="10"/>
      <c r="KD2196" s="10"/>
      <c r="KE2196" s="10"/>
      <c r="KF2196" s="10"/>
      <c r="KG2196" s="10"/>
      <c r="KH2196" s="10"/>
      <c r="KI2196" s="10"/>
      <c r="KJ2196" s="10"/>
      <c r="KK2196" s="10"/>
      <c r="KL2196" s="10"/>
      <c r="KM2196" s="10"/>
      <c r="KN2196" s="10"/>
      <c r="KO2196" s="10"/>
      <c r="KP2196" s="10"/>
      <c r="KQ2196" s="10"/>
      <c r="KR2196" s="10"/>
      <c r="KS2196" s="10"/>
      <c r="KT2196" s="10"/>
      <c r="KU2196" s="10"/>
      <c r="KV2196" s="10"/>
      <c r="KW2196" s="10"/>
      <c r="KX2196" s="10"/>
      <c r="KY2196" s="10"/>
      <c r="KZ2196" s="10"/>
      <c r="LA2196" s="10"/>
      <c r="LB2196" s="10"/>
      <c r="LC2196" s="10"/>
      <c r="LD2196" s="10"/>
      <c r="LE2196" s="10"/>
      <c r="LF2196" s="10"/>
      <c r="LG2196" s="10"/>
      <c r="LH2196" s="10"/>
      <c r="LI2196" s="10"/>
      <c r="LJ2196" s="10"/>
      <c r="LK2196" s="10"/>
      <c r="LL2196" s="10"/>
      <c r="LM2196" s="10"/>
      <c r="LN2196" s="10"/>
      <c r="LO2196" s="10"/>
      <c r="LP2196" s="10"/>
      <c r="LQ2196" s="10"/>
      <c r="LR2196" s="10"/>
      <c r="LS2196" s="10"/>
      <c r="LT2196" s="10"/>
      <c r="LU2196" s="10"/>
      <c r="LV2196" s="10"/>
      <c r="LW2196" s="10"/>
      <c r="LX2196" s="10"/>
      <c r="LY2196" s="10"/>
      <c r="LZ2196" s="10"/>
      <c r="MA2196" s="10"/>
      <c r="MB2196" s="10"/>
      <c r="MC2196" s="10"/>
      <c r="MD2196" s="10"/>
      <c r="ME2196" s="10"/>
      <c r="MF2196" s="10"/>
      <c r="MG2196" s="10"/>
      <c r="MH2196" s="10"/>
      <c r="MI2196" s="10"/>
      <c r="MJ2196" s="10"/>
      <c r="MK2196" s="10"/>
      <c r="ML2196" s="10"/>
      <c r="MM2196" s="10"/>
      <c r="MN2196" s="10"/>
      <c r="MO2196" s="10"/>
      <c r="MP2196" s="10"/>
      <c r="MQ2196" s="10"/>
      <c r="MR2196" s="10"/>
      <c r="MS2196" s="10"/>
      <c r="MT2196" s="10"/>
      <c r="MU2196" s="10"/>
      <c r="MV2196" s="10"/>
      <c r="MW2196" s="10"/>
      <c r="MX2196" s="10"/>
      <c r="MY2196" s="10"/>
      <c r="MZ2196" s="10"/>
      <c r="NA2196" s="10"/>
      <c r="NB2196" s="10"/>
      <c r="NC2196" s="10"/>
      <c r="ND2196" s="10"/>
      <c r="NE2196" s="10"/>
      <c r="NF2196" s="10"/>
      <c r="NG2196" s="10"/>
      <c r="NH2196" s="10"/>
      <c r="NI2196" s="10"/>
      <c r="NJ2196" s="10"/>
      <c r="NK2196" s="10"/>
      <c r="NL2196" s="10"/>
      <c r="NM2196" s="10"/>
      <c r="NN2196" s="10"/>
      <c r="NO2196" s="10"/>
      <c r="NP2196" s="10"/>
      <c r="NQ2196" s="10"/>
      <c r="NR2196" s="10"/>
      <c r="NS2196" s="10"/>
      <c r="NT2196" s="10"/>
      <c r="NU2196" s="10"/>
      <c r="NV2196" s="10"/>
      <c r="NW2196" s="10"/>
      <c r="NX2196" s="10"/>
      <c r="NY2196" s="10"/>
      <c r="NZ2196" s="10"/>
      <c r="OA2196" s="10"/>
      <c r="OB2196" s="10"/>
      <c r="OC2196" s="10"/>
      <c r="OD2196" s="10"/>
      <c r="OE2196" s="10"/>
      <c r="OF2196" s="10"/>
      <c r="OG2196" s="10"/>
      <c r="OH2196" s="10"/>
      <c r="OI2196" s="10"/>
      <c r="OJ2196" s="10"/>
      <c r="OK2196" s="10"/>
      <c r="OL2196" s="10"/>
      <c r="OM2196" s="10"/>
      <c r="ON2196" s="10"/>
      <c r="OO2196" s="10"/>
      <c r="OP2196" s="10"/>
      <c r="OQ2196" s="10"/>
      <c r="OR2196" s="10"/>
      <c r="OS2196" s="10"/>
      <c r="OT2196" s="10"/>
      <c r="OU2196" s="10"/>
      <c r="OV2196" s="10"/>
      <c r="OW2196" s="10"/>
      <c r="OX2196" s="10"/>
      <c r="OY2196" s="10"/>
      <c r="OZ2196" s="10"/>
      <c r="PA2196" s="10"/>
      <c r="PB2196" s="10"/>
      <c r="PC2196" s="10"/>
      <c r="PD2196" s="10"/>
      <c r="PE2196" s="10"/>
      <c r="PF2196" s="10"/>
      <c r="PG2196" s="10"/>
      <c r="PH2196" s="10"/>
      <c r="PI2196" s="10"/>
      <c r="PJ2196" s="10"/>
      <c r="PK2196" s="10"/>
      <c r="PL2196" s="10"/>
      <c r="PM2196" s="10"/>
      <c r="PN2196" s="10"/>
      <c r="PO2196" s="10"/>
      <c r="PP2196" s="10"/>
      <c r="PQ2196" s="10"/>
      <c r="PR2196" s="10"/>
      <c r="PS2196" s="10"/>
      <c r="PT2196" s="10"/>
      <c r="PU2196" s="10"/>
      <c r="PV2196" s="10"/>
      <c r="PW2196" s="10"/>
      <c r="PX2196" s="10"/>
      <c r="PY2196" s="10"/>
      <c r="PZ2196" s="10"/>
      <c r="QA2196" s="10"/>
      <c r="QB2196" s="10"/>
      <c r="QC2196" s="10"/>
      <c r="QD2196" s="10"/>
      <c r="QE2196" s="10"/>
      <c r="QF2196" s="10"/>
      <c r="QG2196" s="10"/>
      <c r="QH2196" s="10"/>
      <c r="QI2196" s="10"/>
      <c r="QJ2196" s="10"/>
      <c r="QK2196" s="10"/>
      <c r="QL2196" s="10"/>
      <c r="QM2196" s="10"/>
      <c r="QN2196" s="10"/>
      <c r="QO2196" s="10"/>
      <c r="QP2196" s="10"/>
      <c r="QQ2196" s="10"/>
      <c r="QR2196" s="10"/>
      <c r="QS2196" s="10"/>
      <c r="QT2196" s="10"/>
      <c r="QU2196" s="10"/>
      <c r="QV2196" s="10"/>
      <c r="QW2196" s="10"/>
      <c r="QX2196" s="10"/>
      <c r="QY2196" s="10"/>
      <c r="QZ2196" s="10"/>
      <c r="RA2196" s="10"/>
      <c r="RB2196" s="10"/>
      <c r="RC2196" s="10"/>
      <c r="RD2196" s="10"/>
      <c r="RE2196" s="10"/>
      <c r="RF2196" s="10"/>
      <c r="RG2196" s="10"/>
      <c r="RH2196" s="10"/>
      <c r="RI2196" s="10"/>
      <c r="RJ2196" s="10"/>
      <c r="RK2196" s="10"/>
      <c r="RL2196" s="10"/>
      <c r="RM2196" s="10"/>
      <c r="RN2196" s="10"/>
      <c r="RO2196" s="10"/>
      <c r="RP2196" s="10"/>
      <c r="RQ2196" s="10"/>
      <c r="RR2196" s="10"/>
      <c r="RS2196" s="10"/>
      <c r="RT2196" s="10"/>
      <c r="RU2196" s="10"/>
      <c r="RV2196" s="10"/>
      <c r="RW2196" s="10"/>
      <c r="RX2196" s="10"/>
      <c r="RY2196" s="10"/>
      <c r="RZ2196" s="10"/>
      <c r="SA2196" s="10"/>
      <c r="SB2196" s="10"/>
      <c r="SC2196" s="10"/>
      <c r="SD2196" s="10"/>
      <c r="SE2196" s="10"/>
      <c r="SF2196" s="10"/>
      <c r="SG2196" s="10"/>
      <c r="SH2196" s="10"/>
      <c r="SI2196" s="10"/>
      <c r="SJ2196" s="10"/>
      <c r="SK2196" s="10"/>
      <c r="SL2196" s="10"/>
      <c r="SM2196" s="10"/>
      <c r="SN2196" s="10"/>
      <c r="SO2196" s="10"/>
      <c r="SP2196" s="10"/>
      <c r="SQ2196" s="10"/>
      <c r="SR2196" s="10"/>
      <c r="SS2196" s="10"/>
      <c r="ST2196" s="10"/>
      <c r="SU2196" s="10"/>
      <c r="SV2196" s="10"/>
      <c r="SW2196" s="10"/>
      <c r="SX2196" s="10"/>
      <c r="SY2196" s="10"/>
      <c r="SZ2196" s="10"/>
      <c r="TA2196" s="10"/>
      <c r="TB2196" s="10"/>
      <c r="TC2196" s="10"/>
      <c r="TD2196" s="10"/>
      <c r="TE2196" s="10"/>
      <c r="TF2196" s="10"/>
      <c r="TG2196" s="10"/>
      <c r="TH2196" s="10"/>
      <c r="TI2196" s="10"/>
      <c r="TJ2196" s="10"/>
      <c r="TK2196" s="10"/>
      <c r="TL2196" s="10"/>
      <c r="TM2196" s="10"/>
      <c r="TN2196" s="10"/>
      <c r="TO2196" s="10"/>
      <c r="TP2196" s="10"/>
      <c r="TQ2196" s="10"/>
      <c r="TR2196" s="10"/>
      <c r="TS2196" s="10"/>
      <c r="TT2196" s="10"/>
      <c r="TU2196" s="10"/>
      <c r="TV2196" s="10"/>
      <c r="TW2196" s="10"/>
      <c r="TX2196" s="10"/>
      <c r="TY2196" s="10"/>
      <c r="TZ2196" s="10"/>
      <c r="UA2196" s="10"/>
      <c r="UB2196" s="10"/>
      <c r="UC2196" s="10"/>
      <c r="UD2196" s="10"/>
      <c r="UE2196" s="10"/>
      <c r="UF2196" s="10"/>
      <c r="UG2196" s="10"/>
      <c r="UH2196" s="10"/>
      <c r="UI2196" s="10"/>
      <c r="UJ2196" s="10"/>
      <c r="UK2196" s="10"/>
      <c r="UL2196" s="10"/>
      <c r="UM2196" s="10"/>
      <c r="UN2196" s="10"/>
      <c r="UO2196" s="10"/>
      <c r="UP2196" s="10"/>
      <c r="UQ2196" s="10"/>
      <c r="UR2196" s="10"/>
      <c r="US2196" s="10"/>
      <c r="UT2196" s="10"/>
      <c r="UU2196" s="10"/>
      <c r="UV2196" s="10"/>
      <c r="UW2196" s="10"/>
      <c r="UX2196" s="10"/>
      <c r="UY2196" s="10"/>
      <c r="UZ2196" s="10"/>
      <c r="VA2196" s="10"/>
      <c r="VB2196" s="10"/>
      <c r="VC2196" s="10"/>
      <c r="VD2196" s="10"/>
      <c r="VE2196" s="10"/>
      <c r="VF2196" s="10"/>
      <c r="VG2196" s="10"/>
      <c r="VH2196" s="10"/>
      <c r="VI2196" s="10"/>
      <c r="VJ2196" s="10"/>
      <c r="VK2196" s="10"/>
      <c r="VL2196" s="10"/>
      <c r="VM2196" s="10"/>
      <c r="VN2196" s="10"/>
      <c r="VO2196" s="10"/>
      <c r="VP2196" s="10"/>
      <c r="VQ2196" s="10"/>
      <c r="VR2196" s="10"/>
      <c r="VS2196" s="10"/>
      <c r="VT2196" s="10"/>
      <c r="VU2196" s="10"/>
      <c r="VV2196" s="10"/>
      <c r="VW2196" s="10"/>
      <c r="VX2196" s="10"/>
      <c r="VY2196" s="10"/>
      <c r="VZ2196" s="10"/>
      <c r="WA2196" s="10"/>
      <c r="WB2196" s="10"/>
      <c r="WC2196" s="10"/>
      <c r="WD2196" s="10"/>
      <c r="WE2196" s="10"/>
      <c r="WF2196" s="10"/>
      <c r="WG2196" s="10"/>
      <c r="WH2196" s="10"/>
      <c r="WI2196" s="10"/>
      <c r="WJ2196" s="10"/>
      <c r="WK2196" s="10"/>
      <c r="WL2196" s="10"/>
      <c r="WM2196" s="10"/>
      <c r="WN2196" s="10"/>
      <c r="WO2196" s="10"/>
      <c r="WP2196" s="10"/>
      <c r="WQ2196" s="10"/>
      <c r="WR2196" s="10"/>
      <c r="WS2196" s="10"/>
      <c r="WT2196" s="10"/>
      <c r="WU2196" s="10"/>
      <c r="WV2196" s="10"/>
      <c r="WW2196" s="10"/>
      <c r="WX2196" s="10"/>
      <c r="WY2196" s="10"/>
      <c r="WZ2196" s="10"/>
      <c r="XA2196" s="10"/>
      <c r="XB2196" s="10"/>
      <c r="XC2196" s="10"/>
      <c r="XD2196" s="10"/>
      <c r="XE2196" s="10"/>
      <c r="XF2196" s="10"/>
      <c r="XG2196" s="10"/>
      <c r="XH2196" s="10"/>
      <c r="XI2196" s="10"/>
      <c r="XJ2196" s="10"/>
      <c r="XK2196" s="10"/>
      <c r="XL2196" s="10"/>
      <c r="XM2196" s="10"/>
      <c r="XN2196" s="10"/>
      <c r="XO2196" s="10"/>
      <c r="XP2196" s="10"/>
      <c r="XQ2196" s="10"/>
      <c r="XR2196" s="10"/>
      <c r="XS2196" s="10"/>
      <c r="XT2196" s="10"/>
      <c r="XU2196" s="10"/>
      <c r="XV2196" s="10"/>
      <c r="XW2196" s="10"/>
      <c r="XX2196" s="10"/>
      <c r="XY2196" s="10"/>
      <c r="XZ2196" s="10"/>
      <c r="YA2196" s="10"/>
      <c r="YB2196" s="10"/>
      <c r="YC2196" s="10"/>
      <c r="YD2196" s="10"/>
      <c r="YE2196" s="10"/>
      <c r="YF2196" s="10"/>
      <c r="YG2196" s="10"/>
      <c r="YH2196" s="10"/>
      <c r="YI2196" s="10"/>
      <c r="YJ2196" s="10"/>
      <c r="YK2196" s="10"/>
      <c r="YL2196" s="10"/>
      <c r="YM2196" s="10"/>
      <c r="YN2196" s="10"/>
      <c r="YO2196" s="10"/>
      <c r="YP2196" s="10"/>
      <c r="YQ2196" s="10"/>
      <c r="YR2196" s="10"/>
      <c r="YS2196" s="10"/>
      <c r="YT2196" s="10"/>
      <c r="YU2196" s="10"/>
      <c r="YV2196" s="10"/>
      <c r="YW2196" s="10"/>
      <c r="YX2196" s="10"/>
      <c r="YY2196" s="10"/>
      <c r="YZ2196" s="10"/>
      <c r="ZA2196" s="10"/>
      <c r="ZB2196" s="10"/>
      <c r="ZC2196" s="10"/>
      <c r="ZD2196" s="10"/>
      <c r="ZE2196" s="10"/>
      <c r="ZF2196" s="10"/>
      <c r="ZG2196" s="10"/>
      <c r="ZH2196" s="10"/>
      <c r="ZI2196" s="10"/>
      <c r="ZJ2196" s="10"/>
      <c r="ZK2196" s="10"/>
      <c r="ZL2196" s="10"/>
      <c r="ZM2196" s="10"/>
      <c r="ZN2196" s="10"/>
      <c r="ZO2196" s="10"/>
      <c r="ZP2196" s="10"/>
      <c r="ZQ2196" s="10"/>
      <c r="ZR2196" s="10"/>
      <c r="ZS2196" s="10"/>
      <c r="ZT2196" s="10"/>
      <c r="ZU2196" s="10"/>
      <c r="ZV2196" s="10"/>
      <c r="ZW2196" s="10"/>
      <c r="ZX2196" s="10"/>
      <c r="ZY2196" s="10"/>
      <c r="ZZ2196" s="10"/>
      <c r="AAA2196" s="10"/>
      <c r="AAB2196" s="10"/>
      <c r="AAC2196" s="10"/>
      <c r="AAD2196" s="10"/>
      <c r="AAE2196" s="10"/>
      <c r="AAF2196" s="10"/>
      <c r="AAG2196" s="10"/>
      <c r="AAH2196" s="10"/>
      <c r="AAI2196" s="10"/>
      <c r="AAJ2196" s="10"/>
      <c r="AAK2196" s="10"/>
      <c r="AAL2196" s="10"/>
      <c r="AAM2196" s="10"/>
      <c r="AAN2196" s="10"/>
      <c r="AAO2196" s="10"/>
      <c r="AAP2196" s="10"/>
      <c r="AAQ2196" s="10"/>
      <c r="AAR2196" s="10"/>
      <c r="AAS2196" s="10"/>
      <c r="AAT2196" s="10"/>
      <c r="AAU2196" s="10"/>
      <c r="AAV2196" s="10"/>
      <c r="AAW2196" s="10"/>
      <c r="AAX2196" s="10"/>
      <c r="AAY2196" s="10"/>
      <c r="AAZ2196" s="10"/>
      <c r="ABA2196" s="10"/>
      <c r="ABB2196" s="10"/>
      <c r="ABC2196" s="10"/>
      <c r="ABD2196" s="10"/>
      <c r="ABE2196" s="10"/>
      <c r="ABF2196" s="10"/>
      <c r="ABG2196" s="10"/>
      <c r="ABH2196" s="10"/>
      <c r="ABI2196" s="10"/>
      <c r="ABJ2196" s="10"/>
      <c r="ABK2196" s="10"/>
      <c r="ABL2196" s="10"/>
      <c r="ABM2196" s="10"/>
      <c r="ABN2196" s="10"/>
      <c r="ABO2196" s="10"/>
      <c r="ABP2196" s="10"/>
      <c r="ABQ2196" s="10"/>
      <c r="ABR2196" s="10"/>
      <c r="ABS2196" s="10"/>
      <c r="ABT2196" s="10"/>
      <c r="ABU2196" s="10"/>
      <c r="ABV2196" s="10"/>
      <c r="ABW2196" s="10"/>
      <c r="ABX2196" s="10"/>
      <c r="ABY2196" s="10"/>
      <c r="ABZ2196" s="10"/>
      <c r="ACA2196" s="10"/>
      <c r="ACB2196" s="10"/>
      <c r="ACC2196" s="10"/>
      <c r="ACD2196" s="10"/>
      <c r="ACE2196" s="10"/>
      <c r="ACF2196" s="10"/>
      <c r="ACG2196" s="10"/>
      <c r="ACH2196" s="10"/>
      <c r="ACI2196" s="10"/>
      <c r="ACJ2196" s="10"/>
      <c r="ACK2196" s="10"/>
      <c r="ACL2196" s="10"/>
      <c r="ACM2196" s="10"/>
      <c r="ACN2196" s="10"/>
      <c r="ACO2196" s="10"/>
      <c r="ACP2196" s="10"/>
      <c r="ACQ2196" s="10"/>
      <c r="ACR2196" s="10"/>
      <c r="ACS2196" s="10"/>
      <c r="ACT2196" s="10"/>
      <c r="ACU2196" s="10"/>
      <c r="ACV2196" s="10"/>
      <c r="ACW2196" s="10"/>
      <c r="ACX2196" s="10"/>
      <c r="ACY2196" s="10"/>
      <c r="ACZ2196" s="10"/>
      <c r="ADA2196" s="10"/>
      <c r="ADB2196" s="10"/>
      <c r="ADC2196" s="10"/>
      <c r="ADD2196" s="10"/>
      <c r="ADE2196" s="10"/>
      <c r="ADF2196" s="10"/>
      <c r="ADG2196" s="10"/>
      <c r="ADH2196" s="10"/>
      <c r="ADI2196" s="10"/>
      <c r="ADJ2196" s="10"/>
      <c r="ADK2196" s="10"/>
      <c r="ADL2196" s="10"/>
      <c r="ADM2196" s="10"/>
      <c r="ADN2196" s="10"/>
      <c r="ADO2196" s="10"/>
      <c r="ADP2196" s="10"/>
      <c r="ADQ2196" s="10"/>
      <c r="ADR2196" s="10"/>
      <c r="ADS2196" s="10"/>
      <c r="ADT2196" s="10"/>
      <c r="ADU2196" s="10"/>
      <c r="ADV2196" s="10"/>
      <c r="ADW2196" s="10"/>
      <c r="ADX2196" s="10"/>
      <c r="ADY2196" s="10"/>
      <c r="ADZ2196" s="10"/>
      <c r="AEA2196" s="10"/>
      <c r="AEB2196" s="10"/>
      <c r="AEC2196" s="10"/>
      <c r="AED2196" s="10"/>
      <c r="AEE2196" s="10"/>
      <c r="AEF2196" s="10"/>
      <c r="AEG2196" s="10"/>
      <c r="AEH2196" s="10"/>
      <c r="AEI2196" s="10"/>
      <c r="AEJ2196" s="10"/>
      <c r="AEK2196" s="10"/>
      <c r="AEL2196" s="10"/>
      <c r="AEM2196" s="10"/>
      <c r="AEN2196" s="10"/>
      <c r="AEO2196" s="10"/>
      <c r="AEP2196" s="10"/>
      <c r="AEQ2196" s="10"/>
      <c r="AER2196" s="10"/>
      <c r="AES2196" s="10"/>
      <c r="AET2196" s="10"/>
      <c r="AEU2196" s="10"/>
      <c r="AEV2196" s="10"/>
      <c r="AEW2196" s="10"/>
      <c r="AEX2196" s="10"/>
      <c r="AEY2196" s="10"/>
      <c r="AEZ2196" s="10"/>
      <c r="AFA2196" s="10"/>
      <c r="AFB2196" s="10"/>
      <c r="AFC2196" s="10"/>
      <c r="AFD2196" s="10"/>
      <c r="AFE2196" s="10"/>
      <c r="AFF2196" s="10"/>
      <c r="AFG2196" s="10"/>
      <c r="AFH2196" s="10"/>
      <c r="AFI2196" s="10"/>
      <c r="AFJ2196" s="10"/>
      <c r="AFK2196" s="10"/>
      <c r="AFL2196" s="10"/>
      <c r="AFM2196" s="10"/>
      <c r="AFN2196" s="10"/>
      <c r="AFO2196" s="10"/>
      <c r="AFP2196" s="10"/>
      <c r="AFQ2196" s="10"/>
      <c r="AFR2196" s="10"/>
      <c r="AFS2196" s="10"/>
      <c r="AFT2196" s="10"/>
      <c r="AFU2196" s="10"/>
      <c r="AFV2196" s="10"/>
      <c r="AFW2196" s="10"/>
      <c r="AFX2196" s="10"/>
      <c r="AFY2196" s="10"/>
      <c r="AFZ2196" s="10"/>
      <c r="AGA2196" s="10"/>
      <c r="AGB2196" s="10"/>
      <c r="AGC2196" s="10"/>
      <c r="AGD2196" s="10"/>
      <c r="AGE2196" s="10"/>
      <c r="AGF2196" s="10"/>
      <c r="AGG2196" s="10"/>
      <c r="AGH2196" s="10"/>
      <c r="AGI2196" s="10"/>
      <c r="AGJ2196" s="10"/>
      <c r="AGK2196" s="10"/>
      <c r="AGL2196" s="10"/>
      <c r="AGM2196" s="10"/>
      <c r="AGN2196" s="10"/>
      <c r="AGO2196" s="10"/>
      <c r="AGP2196" s="10"/>
      <c r="AGQ2196" s="10"/>
      <c r="AGR2196" s="10"/>
      <c r="AGS2196" s="10"/>
      <c r="AGT2196" s="10"/>
      <c r="AGU2196" s="10"/>
      <c r="AGV2196" s="10"/>
      <c r="AGW2196" s="10"/>
      <c r="AGX2196" s="10"/>
      <c r="AGY2196" s="10"/>
      <c r="AGZ2196" s="10"/>
      <c r="AHA2196" s="10"/>
      <c r="AHB2196" s="10"/>
      <c r="AHC2196" s="10"/>
      <c r="AHD2196" s="10"/>
      <c r="AHE2196" s="10"/>
      <c r="AHF2196" s="10"/>
      <c r="AHG2196" s="10"/>
      <c r="AHH2196" s="10"/>
      <c r="AHI2196" s="10"/>
      <c r="AHJ2196" s="10"/>
      <c r="AHK2196" s="10"/>
      <c r="AHL2196" s="10"/>
      <c r="AHM2196" s="10"/>
      <c r="AHN2196" s="10"/>
      <c r="AHO2196" s="10"/>
      <c r="AHP2196" s="10"/>
      <c r="AHQ2196" s="10"/>
      <c r="AHR2196" s="10"/>
      <c r="AHS2196" s="10"/>
      <c r="AHT2196" s="10"/>
      <c r="AHU2196" s="10"/>
      <c r="AHV2196" s="10"/>
      <c r="AHW2196" s="10"/>
      <c r="AHX2196" s="10"/>
      <c r="AHY2196" s="10"/>
      <c r="AHZ2196" s="10"/>
      <c r="AIA2196" s="10"/>
      <c r="AIB2196" s="10"/>
      <c r="AIC2196" s="10"/>
      <c r="AID2196" s="10"/>
      <c r="AIE2196" s="10"/>
      <c r="AIF2196" s="10"/>
      <c r="AIG2196" s="10"/>
      <c r="AIH2196" s="10"/>
      <c r="AII2196" s="10"/>
      <c r="AIJ2196" s="10"/>
      <c r="AIK2196" s="10"/>
      <c r="AIL2196" s="10"/>
      <c r="AIM2196" s="10"/>
      <c r="AIN2196" s="10"/>
      <c r="AIO2196" s="10"/>
      <c r="AIP2196" s="10"/>
      <c r="AIQ2196" s="10"/>
      <c r="AIR2196" s="10"/>
      <c r="AIS2196" s="10"/>
      <c r="AIT2196" s="10"/>
      <c r="AIU2196" s="10"/>
      <c r="AIV2196" s="10"/>
      <c r="AIW2196" s="10"/>
      <c r="AIX2196" s="10"/>
      <c r="AIY2196" s="10"/>
      <c r="AIZ2196" s="10"/>
      <c r="AJA2196" s="10"/>
      <c r="AJB2196" s="10"/>
      <c r="AJC2196" s="10"/>
      <c r="AJD2196" s="10"/>
      <c r="AJE2196" s="10"/>
      <c r="AJF2196" s="10"/>
      <c r="AJG2196" s="10"/>
      <c r="AJH2196" s="10"/>
      <c r="AJI2196" s="10"/>
      <c r="AJJ2196" s="10"/>
      <c r="AJK2196" s="10"/>
      <c r="AJL2196" s="10"/>
      <c r="AJM2196" s="10"/>
      <c r="AJN2196" s="10"/>
      <c r="AJO2196" s="10"/>
      <c r="AJP2196" s="10"/>
      <c r="AJQ2196" s="10"/>
      <c r="AJR2196" s="10"/>
      <c r="AJS2196" s="10"/>
      <c r="AJT2196" s="10"/>
      <c r="AJU2196" s="10"/>
      <c r="AJV2196" s="10"/>
      <c r="AJW2196" s="10"/>
      <c r="AJX2196" s="10"/>
      <c r="AJY2196" s="10"/>
      <c r="AJZ2196" s="10"/>
      <c r="AKA2196" s="10"/>
      <c r="AKB2196" s="10"/>
      <c r="AKC2196" s="10"/>
      <c r="AKD2196" s="10"/>
      <c r="AKE2196" s="10"/>
      <c r="AKF2196" s="10"/>
      <c r="AKG2196" s="10"/>
      <c r="AKH2196" s="10"/>
      <c r="AKI2196" s="10"/>
      <c r="AKJ2196" s="10"/>
      <c r="AKK2196" s="10"/>
      <c r="AKL2196" s="10"/>
      <c r="AKM2196" s="10"/>
      <c r="AKN2196" s="10"/>
      <c r="AKO2196" s="10"/>
      <c r="AKP2196" s="10"/>
      <c r="AKQ2196" s="10"/>
      <c r="AKR2196" s="10"/>
      <c r="AKS2196" s="10"/>
      <c r="AKT2196" s="10"/>
      <c r="AKU2196" s="10"/>
      <c r="AKV2196" s="10"/>
      <c r="AKW2196" s="10"/>
      <c r="AKX2196" s="10"/>
      <c r="AKY2196" s="10"/>
      <c r="AKZ2196" s="10"/>
      <c r="ALA2196" s="10"/>
      <c r="ALB2196" s="10"/>
      <c r="ALC2196" s="10"/>
      <c r="ALD2196" s="10"/>
      <c r="ALE2196" s="10"/>
      <c r="ALF2196" s="10"/>
      <c r="ALG2196" s="10"/>
      <c r="ALH2196" s="10"/>
      <c r="ALI2196" s="10"/>
      <c r="ALJ2196" s="10"/>
      <c r="ALK2196" s="10"/>
      <c r="ALL2196" s="10"/>
      <c r="ALM2196" s="10"/>
      <c r="ALN2196" s="10"/>
      <c r="ALO2196" s="10"/>
      <c r="ALP2196" s="10"/>
      <c r="ALQ2196" s="10"/>
      <c r="ALR2196" s="10"/>
      <c r="ALS2196" s="10"/>
      <c r="ALT2196" s="10"/>
      <c r="ALU2196" s="10"/>
      <c r="ALV2196" s="10"/>
      <c r="ALW2196" s="10"/>
      <c r="ALX2196" s="10"/>
      <c r="ALY2196" s="10"/>
      <c r="ALZ2196" s="10"/>
      <c r="AMA2196" s="10"/>
      <c r="AMB2196" s="10"/>
      <c r="AMC2196" s="10"/>
      <c r="AMD2196" s="10"/>
      <c r="AME2196" s="10"/>
      <c r="AMF2196" s="10"/>
      <c r="AMG2196" s="10"/>
      <c r="AMH2196" s="10"/>
      <c r="AMI2196" s="10"/>
      <c r="AMJ2196" s="10"/>
      <c r="AMK2196" s="10"/>
      <c r="AML2196" s="10"/>
      <c r="AMM2196" s="10"/>
      <c r="AMN2196" s="10"/>
      <c r="AMO2196" s="10"/>
      <c r="AMP2196" s="10"/>
      <c r="AMQ2196" s="10"/>
      <c r="AMR2196" s="10"/>
      <c r="AMS2196" s="10"/>
      <c r="AMT2196" s="10"/>
      <c r="AMU2196" s="10"/>
      <c r="AMV2196" s="10"/>
      <c r="AMW2196" s="10"/>
      <c r="AMX2196" s="10"/>
      <c r="AMY2196" s="10"/>
      <c r="AMZ2196" s="10"/>
      <c r="ANA2196" s="10"/>
      <c r="ANB2196" s="10"/>
      <c r="ANC2196" s="10"/>
      <c r="AND2196" s="10"/>
      <c r="ANE2196" s="10"/>
      <c r="ANF2196" s="10"/>
      <c r="ANG2196" s="10"/>
      <c r="ANH2196" s="10"/>
      <c r="ANI2196" s="10"/>
      <c r="ANJ2196" s="10"/>
      <c r="ANK2196" s="10"/>
      <c r="ANL2196" s="10"/>
      <c r="ANM2196" s="10"/>
      <c r="ANN2196" s="10"/>
      <c r="ANO2196" s="10"/>
      <c r="ANP2196" s="10"/>
      <c r="ANQ2196" s="10"/>
      <c r="ANR2196" s="10"/>
      <c r="ANS2196" s="10"/>
      <c r="ANT2196" s="10"/>
      <c r="ANU2196" s="10"/>
      <c r="ANV2196" s="10"/>
      <c r="ANW2196" s="10"/>
      <c r="ANX2196" s="10"/>
      <c r="ANY2196" s="10"/>
      <c r="ANZ2196" s="10"/>
      <c r="AOA2196" s="10"/>
      <c r="AOB2196" s="10"/>
      <c r="AOC2196" s="10"/>
      <c r="AOD2196" s="10"/>
      <c r="AOE2196" s="10"/>
      <c r="AOF2196" s="10"/>
      <c r="AOG2196" s="10"/>
      <c r="AOH2196" s="10"/>
      <c r="AOI2196" s="10"/>
      <c r="AOJ2196" s="10"/>
      <c r="AOK2196" s="10"/>
      <c r="AOL2196" s="10"/>
      <c r="AOM2196" s="10"/>
      <c r="AON2196" s="10"/>
      <c r="AOO2196" s="10"/>
      <c r="AOP2196" s="10"/>
      <c r="AOQ2196" s="10"/>
      <c r="AOR2196" s="10"/>
      <c r="AOS2196" s="10"/>
      <c r="AOT2196" s="10"/>
      <c r="AOU2196" s="10"/>
      <c r="AOV2196" s="10"/>
      <c r="AOW2196" s="10"/>
      <c r="AOX2196" s="10"/>
      <c r="AOY2196" s="10"/>
      <c r="AOZ2196" s="10"/>
      <c r="APA2196" s="10"/>
      <c r="APB2196" s="10"/>
      <c r="APC2196" s="10"/>
      <c r="APD2196" s="10"/>
      <c r="APE2196" s="10"/>
      <c r="APF2196" s="10"/>
      <c r="APG2196" s="10"/>
      <c r="APH2196" s="10"/>
      <c r="API2196" s="10"/>
      <c r="APJ2196" s="10"/>
      <c r="APK2196" s="10"/>
      <c r="APL2196" s="10"/>
      <c r="APM2196" s="10"/>
      <c r="APN2196" s="10"/>
      <c r="APO2196" s="10"/>
      <c r="APP2196" s="10"/>
      <c r="APQ2196" s="10"/>
      <c r="APR2196" s="10"/>
      <c r="APS2196" s="10"/>
      <c r="APT2196" s="10"/>
      <c r="APU2196" s="10"/>
      <c r="APV2196" s="10"/>
      <c r="APW2196" s="10"/>
      <c r="APX2196" s="10"/>
      <c r="APY2196" s="10"/>
      <c r="APZ2196" s="10"/>
      <c r="AQA2196" s="10"/>
      <c r="AQB2196" s="10"/>
      <c r="AQC2196" s="10"/>
      <c r="AQD2196" s="10"/>
      <c r="AQE2196" s="10"/>
      <c r="AQF2196" s="10"/>
      <c r="AQG2196" s="10"/>
      <c r="AQH2196" s="10"/>
      <c r="AQI2196" s="10"/>
      <c r="AQJ2196" s="10"/>
      <c r="AQK2196" s="10"/>
      <c r="AQL2196" s="10"/>
      <c r="AQM2196" s="10"/>
      <c r="AQN2196" s="10"/>
      <c r="AQO2196" s="10"/>
      <c r="AQP2196" s="10"/>
      <c r="AQQ2196" s="10"/>
      <c r="AQR2196" s="10"/>
      <c r="AQS2196" s="10"/>
      <c r="AQT2196" s="10"/>
      <c r="AQU2196" s="10"/>
      <c r="AQV2196" s="10"/>
      <c r="AQW2196" s="10"/>
      <c r="AQX2196" s="10"/>
      <c r="AQY2196" s="10"/>
      <c r="AQZ2196" s="10"/>
      <c r="ARA2196" s="10"/>
      <c r="ARB2196" s="10"/>
      <c r="ARC2196" s="10"/>
      <c r="ARD2196" s="10"/>
      <c r="ARE2196" s="10"/>
      <c r="ARF2196" s="10"/>
      <c r="ARG2196" s="10"/>
      <c r="ARH2196" s="10"/>
      <c r="ARI2196" s="10"/>
      <c r="ARJ2196" s="10"/>
      <c r="ARK2196" s="10"/>
      <c r="ARL2196" s="10"/>
      <c r="ARM2196" s="10"/>
      <c r="ARN2196" s="10"/>
      <c r="ARO2196" s="10"/>
      <c r="ARP2196" s="10"/>
      <c r="ARQ2196" s="10"/>
      <c r="ARR2196" s="10"/>
      <c r="ARS2196" s="10"/>
      <c r="ART2196" s="10"/>
      <c r="ARU2196" s="10"/>
      <c r="ARV2196" s="10"/>
      <c r="ARW2196" s="10"/>
      <c r="ARX2196" s="10"/>
      <c r="ARY2196" s="10"/>
      <c r="ARZ2196" s="10"/>
      <c r="ASA2196" s="10"/>
      <c r="ASB2196" s="10"/>
      <c r="ASC2196" s="10"/>
      <c r="ASD2196" s="10"/>
      <c r="ASE2196" s="10"/>
      <c r="ASF2196" s="10"/>
      <c r="ASG2196" s="10"/>
      <c r="ASH2196" s="10"/>
      <c r="ASI2196" s="10"/>
      <c r="ASJ2196" s="10"/>
      <c r="ASK2196" s="10"/>
      <c r="ASL2196" s="10"/>
      <c r="ASM2196" s="10"/>
      <c r="ASN2196" s="10"/>
      <c r="ASO2196" s="10"/>
      <c r="ASP2196" s="10"/>
      <c r="ASQ2196" s="10"/>
      <c r="ASR2196" s="10"/>
      <c r="ASS2196" s="10"/>
      <c r="AST2196" s="10"/>
      <c r="ASU2196" s="10"/>
      <c r="ASV2196" s="10"/>
      <c r="ASW2196" s="10"/>
      <c r="ASX2196" s="10"/>
      <c r="ASY2196" s="10"/>
      <c r="ASZ2196" s="10"/>
      <c r="ATA2196" s="10"/>
      <c r="ATB2196" s="10"/>
      <c r="ATC2196" s="10"/>
      <c r="ATD2196" s="10"/>
      <c r="ATE2196" s="10"/>
      <c r="ATF2196" s="10"/>
      <c r="ATG2196" s="10"/>
      <c r="ATH2196" s="10"/>
      <c r="ATI2196" s="10"/>
      <c r="ATJ2196" s="10"/>
      <c r="ATK2196" s="10"/>
      <c r="ATL2196" s="10"/>
      <c r="ATM2196" s="10"/>
      <c r="ATN2196" s="10"/>
      <c r="ATO2196" s="10"/>
      <c r="ATP2196" s="10"/>
      <c r="ATQ2196" s="10"/>
      <c r="ATR2196" s="10"/>
      <c r="ATS2196" s="10"/>
      <c r="ATT2196" s="10"/>
      <c r="ATU2196" s="10"/>
      <c r="ATV2196" s="10"/>
      <c r="ATW2196" s="10"/>
      <c r="ATX2196" s="10"/>
      <c r="ATY2196" s="10"/>
      <c r="ATZ2196" s="10"/>
      <c r="AUA2196" s="10"/>
      <c r="AUB2196" s="10"/>
      <c r="AUC2196" s="10"/>
      <c r="AUD2196" s="10"/>
      <c r="AUE2196" s="10"/>
      <c r="AUF2196" s="10"/>
      <c r="AUG2196" s="10"/>
      <c r="AUH2196" s="10"/>
      <c r="AUI2196" s="10"/>
      <c r="AUJ2196" s="10"/>
      <c r="AUK2196" s="10"/>
      <c r="AUL2196" s="10"/>
      <c r="AUM2196" s="10"/>
      <c r="AUN2196" s="10"/>
      <c r="AUO2196" s="10"/>
      <c r="AUP2196" s="10"/>
      <c r="AUQ2196" s="10"/>
      <c r="AUR2196" s="10"/>
      <c r="AUS2196" s="10"/>
      <c r="AUT2196" s="10"/>
      <c r="AUU2196" s="10"/>
      <c r="AUV2196" s="10"/>
      <c r="AUW2196" s="10"/>
      <c r="AUX2196" s="10"/>
      <c r="AUY2196" s="10"/>
      <c r="AUZ2196" s="10"/>
      <c r="AVA2196" s="10"/>
      <c r="AVB2196" s="10"/>
      <c r="AVC2196" s="10"/>
      <c r="AVD2196" s="10"/>
      <c r="AVE2196" s="10"/>
      <c r="AVF2196" s="10"/>
      <c r="AVG2196" s="10"/>
      <c r="AVH2196" s="10"/>
      <c r="AVI2196" s="10"/>
      <c r="AVJ2196" s="10"/>
      <c r="AVK2196" s="10"/>
      <c r="AVL2196" s="10"/>
      <c r="AVM2196" s="10"/>
      <c r="AVN2196" s="10"/>
      <c r="AVO2196" s="10"/>
      <c r="AVP2196" s="10"/>
      <c r="AVQ2196" s="10"/>
      <c r="AVR2196" s="10"/>
      <c r="AVS2196" s="10"/>
      <c r="AVT2196" s="10"/>
      <c r="AVU2196" s="10"/>
      <c r="AVV2196" s="10"/>
      <c r="AVW2196" s="10"/>
      <c r="AVX2196" s="10"/>
      <c r="AVY2196" s="10"/>
      <c r="AVZ2196" s="10"/>
      <c r="AWA2196" s="10"/>
      <c r="AWB2196" s="10"/>
      <c r="AWC2196" s="10"/>
      <c r="AWD2196" s="10"/>
      <c r="AWE2196" s="10"/>
      <c r="AWF2196" s="10"/>
      <c r="AWG2196" s="10"/>
      <c r="AWH2196" s="10"/>
      <c r="AWI2196" s="10"/>
      <c r="AWJ2196" s="10"/>
      <c r="AWK2196" s="10"/>
      <c r="AWL2196" s="10"/>
      <c r="AWM2196" s="10"/>
      <c r="AWN2196" s="10"/>
      <c r="AWO2196" s="10"/>
      <c r="AWP2196" s="10"/>
      <c r="AWQ2196" s="10"/>
      <c r="AWR2196" s="10"/>
      <c r="AWS2196" s="10"/>
      <c r="AWT2196" s="10"/>
      <c r="AWU2196" s="10"/>
      <c r="AWV2196" s="10"/>
      <c r="AWW2196" s="10"/>
      <c r="AWX2196" s="10"/>
      <c r="AWY2196" s="10"/>
      <c r="AWZ2196" s="10"/>
      <c r="AXA2196" s="10"/>
      <c r="AXB2196" s="10"/>
      <c r="AXC2196" s="10"/>
      <c r="AXD2196" s="10"/>
      <c r="AXE2196" s="10"/>
      <c r="AXF2196" s="10"/>
      <c r="AXG2196" s="10"/>
      <c r="AXH2196" s="10"/>
      <c r="AXI2196" s="10"/>
      <c r="AXJ2196" s="10"/>
      <c r="AXK2196" s="10"/>
      <c r="AXL2196" s="10"/>
      <c r="AXM2196" s="10"/>
      <c r="AXN2196" s="10"/>
      <c r="AXO2196" s="10"/>
      <c r="AXP2196" s="10"/>
      <c r="AXQ2196" s="10"/>
      <c r="AXR2196" s="10"/>
      <c r="AXS2196" s="10"/>
      <c r="AXT2196" s="10"/>
      <c r="AXU2196" s="10"/>
      <c r="AXV2196" s="10"/>
      <c r="AXW2196" s="10"/>
      <c r="AXX2196" s="10"/>
      <c r="AXY2196" s="10"/>
      <c r="AXZ2196" s="10"/>
      <c r="AYA2196" s="10"/>
      <c r="AYB2196" s="10"/>
      <c r="AYC2196" s="10"/>
      <c r="AYD2196" s="10"/>
      <c r="AYE2196" s="10"/>
      <c r="AYF2196" s="10"/>
      <c r="AYG2196" s="10"/>
      <c r="AYH2196" s="10"/>
      <c r="AYI2196" s="10"/>
      <c r="AYJ2196" s="10"/>
      <c r="AYK2196" s="10"/>
      <c r="AYL2196" s="10"/>
      <c r="AYM2196" s="10"/>
      <c r="AYN2196" s="10"/>
      <c r="AYO2196" s="10"/>
      <c r="AYP2196" s="10"/>
      <c r="AYQ2196" s="10"/>
      <c r="AYR2196" s="10"/>
      <c r="AYS2196" s="10"/>
      <c r="AYT2196" s="10"/>
      <c r="AYU2196" s="10"/>
      <c r="AYV2196" s="10"/>
      <c r="AYW2196" s="10"/>
      <c r="AYX2196" s="10"/>
      <c r="AYY2196" s="10"/>
      <c r="AYZ2196" s="10"/>
      <c r="AZA2196" s="10"/>
      <c r="AZB2196" s="10"/>
      <c r="AZC2196" s="10"/>
      <c r="AZD2196" s="10"/>
      <c r="AZE2196" s="10"/>
      <c r="AZF2196" s="10"/>
      <c r="AZG2196" s="10"/>
      <c r="AZH2196" s="10"/>
      <c r="AZI2196" s="10"/>
      <c r="AZJ2196" s="10"/>
      <c r="AZK2196" s="10"/>
      <c r="AZL2196" s="10"/>
      <c r="AZM2196" s="10"/>
      <c r="AZN2196" s="10"/>
      <c r="AZO2196" s="10"/>
      <c r="AZP2196" s="10"/>
      <c r="AZQ2196" s="10"/>
      <c r="AZR2196" s="10"/>
      <c r="AZS2196" s="10"/>
      <c r="AZT2196" s="10"/>
      <c r="AZU2196" s="10"/>
      <c r="AZV2196" s="10"/>
      <c r="AZW2196" s="10"/>
      <c r="AZX2196" s="10"/>
      <c r="AZY2196" s="10"/>
      <c r="AZZ2196" s="10"/>
      <c r="BAA2196" s="10"/>
      <c r="BAB2196" s="10"/>
      <c r="BAC2196" s="10"/>
      <c r="BAD2196" s="10"/>
      <c r="BAE2196" s="10"/>
      <c r="BAF2196" s="10"/>
      <c r="BAG2196" s="10"/>
      <c r="BAH2196" s="10"/>
      <c r="BAI2196" s="10"/>
      <c r="BAJ2196" s="10"/>
      <c r="BAK2196" s="10"/>
      <c r="BAL2196" s="10"/>
      <c r="BAM2196" s="10"/>
      <c r="BAN2196" s="10"/>
      <c r="BAO2196" s="10"/>
      <c r="BAP2196" s="10"/>
      <c r="BAQ2196" s="10"/>
      <c r="BAR2196" s="10"/>
      <c r="BAS2196" s="10"/>
      <c r="BAT2196" s="10"/>
      <c r="BAU2196" s="10"/>
      <c r="BAV2196" s="10"/>
      <c r="BAW2196" s="10"/>
      <c r="BAX2196" s="10"/>
      <c r="BAY2196" s="10"/>
      <c r="BAZ2196" s="10"/>
      <c r="BBA2196" s="10"/>
      <c r="BBB2196" s="10"/>
      <c r="BBC2196" s="10"/>
      <c r="BBD2196" s="10"/>
      <c r="BBE2196" s="10"/>
      <c r="BBF2196" s="10"/>
      <c r="BBG2196" s="10"/>
      <c r="BBH2196" s="10"/>
      <c r="BBI2196" s="10"/>
      <c r="BBJ2196" s="10"/>
      <c r="BBK2196" s="10"/>
      <c r="BBL2196" s="10"/>
      <c r="BBM2196" s="10"/>
      <c r="BBN2196" s="10"/>
      <c r="BBO2196" s="10"/>
      <c r="BBP2196" s="10"/>
      <c r="BBQ2196" s="10"/>
      <c r="BBR2196" s="10"/>
      <c r="BBS2196" s="10"/>
      <c r="BBT2196" s="10"/>
      <c r="BBU2196" s="10"/>
      <c r="BBV2196" s="10"/>
      <c r="BBW2196" s="10"/>
      <c r="BBX2196" s="10"/>
      <c r="BBY2196" s="10"/>
      <c r="BBZ2196" s="10"/>
      <c r="BCA2196" s="10"/>
      <c r="BCB2196" s="10"/>
      <c r="BCC2196" s="10"/>
      <c r="BCD2196" s="10"/>
      <c r="BCE2196" s="10"/>
      <c r="BCF2196" s="10"/>
      <c r="BCG2196" s="10"/>
      <c r="BCH2196" s="10"/>
      <c r="BCI2196" s="10"/>
      <c r="BCJ2196" s="10"/>
      <c r="BCK2196" s="10"/>
      <c r="BCL2196" s="10"/>
      <c r="BCM2196" s="10"/>
      <c r="BCN2196" s="10"/>
      <c r="BCO2196" s="10"/>
      <c r="BCP2196" s="10"/>
      <c r="BCQ2196" s="10"/>
      <c r="BCR2196" s="10"/>
      <c r="BCS2196" s="10"/>
      <c r="BCT2196" s="10"/>
      <c r="BCU2196" s="10"/>
      <c r="BCV2196" s="10"/>
      <c r="BCW2196" s="10"/>
      <c r="BCX2196" s="10"/>
      <c r="BCY2196" s="10"/>
      <c r="BCZ2196" s="10"/>
      <c r="BDA2196" s="10"/>
      <c r="BDB2196" s="10"/>
      <c r="BDC2196" s="10"/>
      <c r="BDD2196" s="10"/>
      <c r="BDE2196" s="10"/>
      <c r="BDF2196" s="10"/>
      <c r="BDG2196" s="10"/>
      <c r="BDH2196" s="10"/>
      <c r="BDI2196" s="10"/>
      <c r="BDJ2196" s="10"/>
      <c r="BDK2196" s="10"/>
      <c r="BDL2196" s="10"/>
      <c r="BDM2196" s="10"/>
      <c r="BDN2196" s="10"/>
      <c r="BDO2196" s="10"/>
      <c r="BDP2196" s="10"/>
      <c r="BDQ2196" s="10"/>
      <c r="BDR2196" s="10"/>
      <c r="BDS2196" s="10"/>
      <c r="BDT2196" s="10"/>
      <c r="BDU2196" s="10"/>
      <c r="BDV2196" s="10"/>
      <c r="BDW2196" s="10"/>
      <c r="BDX2196" s="10"/>
      <c r="BDY2196" s="10"/>
      <c r="BDZ2196" s="10"/>
      <c r="BEA2196" s="10"/>
      <c r="BEB2196" s="10"/>
      <c r="BEC2196" s="10"/>
      <c r="BED2196" s="10"/>
      <c r="BEE2196" s="10"/>
      <c r="BEF2196" s="10"/>
      <c r="BEG2196" s="10"/>
      <c r="BEH2196" s="10"/>
      <c r="BEI2196" s="10"/>
      <c r="BEJ2196" s="10"/>
      <c r="BEK2196" s="10"/>
      <c r="BEL2196" s="10"/>
      <c r="BEM2196" s="10"/>
      <c r="BEN2196" s="10"/>
      <c r="BEO2196" s="10"/>
      <c r="BEP2196" s="10"/>
      <c r="BEQ2196" s="10"/>
      <c r="BER2196" s="10"/>
      <c r="BES2196" s="10"/>
      <c r="BET2196" s="10"/>
      <c r="BEU2196" s="10"/>
      <c r="BEV2196" s="10"/>
      <c r="BEW2196" s="10"/>
      <c r="BEX2196" s="10"/>
      <c r="BEY2196" s="10"/>
      <c r="BEZ2196" s="10"/>
      <c r="BFA2196" s="10"/>
      <c r="BFB2196" s="10"/>
      <c r="BFC2196" s="10"/>
      <c r="BFD2196" s="10"/>
      <c r="BFE2196" s="10"/>
      <c r="BFF2196" s="10"/>
      <c r="BFG2196" s="10"/>
      <c r="BFH2196" s="10"/>
      <c r="BFI2196" s="10"/>
      <c r="BFJ2196" s="10"/>
      <c r="BFK2196" s="10"/>
      <c r="BFL2196" s="10"/>
      <c r="BFM2196" s="10"/>
      <c r="BFN2196" s="10"/>
      <c r="BFO2196" s="10"/>
      <c r="BFP2196" s="10"/>
      <c r="BFQ2196" s="10"/>
      <c r="BFR2196" s="10"/>
      <c r="BFS2196" s="10"/>
      <c r="BFT2196" s="10"/>
      <c r="BFU2196" s="10"/>
      <c r="BFV2196" s="10"/>
      <c r="BFW2196" s="10"/>
      <c r="BFX2196" s="10"/>
      <c r="BFY2196" s="10"/>
      <c r="BFZ2196" s="10"/>
      <c r="BGA2196" s="10"/>
      <c r="BGB2196" s="10"/>
      <c r="BGC2196" s="10"/>
      <c r="BGD2196" s="10"/>
      <c r="BGE2196" s="10"/>
      <c r="BGF2196" s="10"/>
      <c r="BGG2196" s="10"/>
      <c r="BGH2196" s="10"/>
      <c r="BGI2196" s="10"/>
      <c r="BGJ2196" s="10"/>
      <c r="BGK2196" s="10"/>
      <c r="BGL2196" s="10"/>
      <c r="BGM2196" s="10"/>
      <c r="BGN2196" s="10"/>
      <c r="BGO2196" s="10"/>
      <c r="BGP2196" s="10"/>
      <c r="BGQ2196" s="10"/>
      <c r="BGR2196" s="10"/>
      <c r="BGS2196" s="10"/>
      <c r="BGT2196" s="10"/>
      <c r="BGU2196" s="10"/>
      <c r="BGV2196" s="10"/>
      <c r="BGW2196" s="10"/>
      <c r="BGX2196" s="10"/>
      <c r="BGY2196" s="10"/>
      <c r="BGZ2196" s="10"/>
      <c r="BHA2196" s="10"/>
      <c r="BHB2196" s="10"/>
      <c r="BHC2196" s="10"/>
      <c r="BHD2196" s="10"/>
      <c r="BHE2196" s="10"/>
      <c r="BHF2196" s="10"/>
      <c r="BHG2196" s="10"/>
      <c r="BHH2196" s="10"/>
      <c r="BHI2196" s="10"/>
      <c r="BHJ2196" s="10"/>
      <c r="BHK2196" s="10"/>
      <c r="BHL2196" s="10"/>
      <c r="BHM2196" s="10"/>
      <c r="BHN2196" s="10"/>
      <c r="BHO2196" s="10"/>
      <c r="BHP2196" s="10"/>
      <c r="BHQ2196" s="10"/>
      <c r="BHR2196" s="10"/>
      <c r="BHS2196" s="10"/>
      <c r="BHT2196" s="10"/>
      <c r="BHU2196" s="10"/>
      <c r="BHV2196" s="10"/>
      <c r="BHW2196" s="10"/>
      <c r="BHX2196" s="10"/>
      <c r="BHY2196" s="10"/>
      <c r="BHZ2196" s="10"/>
      <c r="BIA2196" s="10"/>
      <c r="BIB2196" s="10"/>
      <c r="BIC2196" s="10"/>
      <c r="BID2196" s="10"/>
      <c r="BIE2196" s="10"/>
      <c r="BIF2196" s="10"/>
      <c r="BIG2196" s="10"/>
      <c r="BIH2196" s="10"/>
      <c r="BII2196" s="10"/>
      <c r="BIJ2196" s="10"/>
      <c r="BIK2196" s="10"/>
      <c r="BIL2196" s="10"/>
      <c r="BIM2196" s="10"/>
      <c r="BIN2196" s="10"/>
      <c r="BIO2196" s="10"/>
      <c r="BIP2196" s="10"/>
      <c r="BIQ2196" s="10"/>
      <c r="BIR2196" s="10"/>
      <c r="BIS2196" s="10"/>
      <c r="BIT2196" s="10"/>
      <c r="BIU2196" s="10"/>
      <c r="BIV2196" s="10"/>
      <c r="BIW2196" s="10"/>
      <c r="BIX2196" s="10"/>
      <c r="BIY2196" s="10"/>
      <c r="BIZ2196" s="10"/>
      <c r="BJA2196" s="10"/>
      <c r="BJB2196" s="10"/>
      <c r="BJC2196" s="10"/>
      <c r="BJD2196" s="10"/>
      <c r="BJE2196" s="10"/>
      <c r="BJF2196" s="10"/>
      <c r="BJG2196" s="10"/>
      <c r="BJH2196" s="10"/>
      <c r="BJI2196" s="10"/>
      <c r="BJJ2196" s="10"/>
      <c r="BJK2196" s="10"/>
      <c r="BJL2196" s="10"/>
      <c r="BJM2196" s="10"/>
      <c r="BJN2196" s="10"/>
      <c r="BJO2196" s="10"/>
      <c r="BJP2196" s="10"/>
      <c r="BJQ2196" s="10"/>
      <c r="BJR2196" s="10"/>
      <c r="BJS2196" s="10"/>
      <c r="BJT2196" s="10"/>
      <c r="BJU2196" s="10"/>
      <c r="BJV2196" s="10"/>
      <c r="BJW2196" s="10"/>
      <c r="BJX2196" s="10"/>
      <c r="BJY2196" s="10"/>
      <c r="BJZ2196" s="10"/>
      <c r="BKA2196" s="10"/>
      <c r="BKB2196" s="10"/>
      <c r="BKC2196" s="10"/>
      <c r="BKD2196" s="10"/>
      <c r="BKE2196" s="10"/>
      <c r="BKF2196" s="10"/>
      <c r="BKG2196" s="10"/>
      <c r="BKH2196" s="10"/>
      <c r="BKI2196" s="10"/>
      <c r="BKJ2196" s="10"/>
      <c r="BKK2196" s="10"/>
      <c r="BKL2196" s="10"/>
      <c r="BKM2196" s="10"/>
      <c r="BKN2196" s="10"/>
      <c r="BKO2196" s="10"/>
      <c r="BKP2196" s="10"/>
      <c r="BKQ2196" s="10"/>
      <c r="BKR2196" s="10"/>
      <c r="BKS2196" s="10"/>
      <c r="BKT2196" s="10"/>
      <c r="BKU2196" s="10"/>
      <c r="BKV2196" s="10"/>
      <c r="BKW2196" s="10"/>
      <c r="BKX2196" s="10"/>
      <c r="BKY2196" s="10"/>
      <c r="BKZ2196" s="10"/>
      <c r="BLA2196" s="10"/>
      <c r="BLB2196" s="10"/>
      <c r="BLC2196" s="10"/>
      <c r="BLD2196" s="10"/>
      <c r="BLE2196" s="10"/>
      <c r="BLF2196" s="10"/>
      <c r="BLG2196" s="10"/>
      <c r="BLH2196" s="10"/>
      <c r="BLI2196" s="10"/>
      <c r="BLJ2196" s="10"/>
      <c r="BLK2196" s="10"/>
      <c r="BLL2196" s="10"/>
      <c r="BLM2196" s="10"/>
      <c r="BLN2196" s="10"/>
      <c r="BLO2196" s="10"/>
      <c r="BLP2196" s="10"/>
      <c r="BLQ2196" s="10"/>
      <c r="BLR2196" s="10"/>
      <c r="BLS2196" s="10"/>
      <c r="BLT2196" s="10"/>
      <c r="BLU2196" s="10"/>
      <c r="BLV2196" s="10"/>
      <c r="BLW2196" s="10"/>
      <c r="BLX2196" s="10"/>
      <c r="BLY2196" s="10"/>
      <c r="BLZ2196" s="10"/>
      <c r="BMA2196" s="10"/>
      <c r="BMB2196" s="10"/>
      <c r="BMC2196" s="10"/>
      <c r="BMD2196" s="10"/>
      <c r="BME2196" s="10"/>
      <c r="BMF2196" s="10"/>
      <c r="BMG2196" s="10"/>
      <c r="BMH2196" s="10"/>
      <c r="BMI2196" s="10"/>
      <c r="BMJ2196" s="10"/>
      <c r="BMK2196" s="10"/>
      <c r="BML2196" s="10"/>
      <c r="BMM2196" s="10"/>
      <c r="BMN2196" s="10"/>
      <c r="BMO2196" s="10"/>
      <c r="BMP2196" s="10"/>
      <c r="BMQ2196" s="10"/>
      <c r="BMR2196" s="10"/>
      <c r="BMS2196" s="10"/>
      <c r="BMT2196" s="10"/>
      <c r="BMU2196" s="10"/>
      <c r="BMV2196" s="10"/>
      <c r="BMW2196" s="10"/>
      <c r="BMX2196" s="10"/>
      <c r="BMY2196" s="10"/>
      <c r="BMZ2196" s="10"/>
      <c r="BNA2196" s="10"/>
      <c r="BNB2196" s="10"/>
      <c r="BNC2196" s="10"/>
      <c r="BND2196" s="10"/>
      <c r="BNE2196" s="10"/>
      <c r="BNF2196" s="10"/>
      <c r="BNG2196" s="10"/>
      <c r="BNH2196" s="10"/>
      <c r="BNI2196" s="10"/>
      <c r="BNJ2196" s="10"/>
      <c r="BNK2196" s="10"/>
      <c r="BNL2196" s="10"/>
      <c r="BNM2196" s="10"/>
      <c r="BNN2196" s="10"/>
      <c r="BNO2196" s="10"/>
      <c r="BNP2196" s="10"/>
      <c r="BNQ2196" s="10"/>
      <c r="BNR2196" s="10"/>
      <c r="BNS2196" s="10"/>
      <c r="BNT2196" s="10"/>
      <c r="BNU2196" s="10"/>
      <c r="BNV2196" s="10"/>
      <c r="BNW2196" s="10"/>
      <c r="BNX2196" s="10"/>
      <c r="BNY2196" s="10"/>
      <c r="BNZ2196" s="10"/>
      <c r="BOA2196" s="10"/>
      <c r="BOB2196" s="10"/>
      <c r="BOC2196" s="10"/>
      <c r="BOD2196" s="10"/>
      <c r="BOE2196" s="10"/>
      <c r="BOF2196" s="10"/>
      <c r="BOG2196" s="10"/>
      <c r="BOH2196" s="10"/>
      <c r="BOI2196" s="10"/>
      <c r="BOJ2196" s="10"/>
      <c r="BOK2196" s="10"/>
      <c r="BOL2196" s="10"/>
      <c r="BOM2196" s="10"/>
      <c r="BON2196" s="10"/>
      <c r="BOO2196" s="10"/>
      <c r="BOP2196" s="10"/>
      <c r="BOQ2196" s="10"/>
      <c r="BOR2196" s="10"/>
      <c r="BOS2196" s="10"/>
      <c r="BOT2196" s="10"/>
      <c r="BOU2196" s="10"/>
      <c r="BOV2196" s="10"/>
      <c r="BOW2196" s="10"/>
      <c r="BOX2196" s="10"/>
      <c r="BOY2196" s="10"/>
      <c r="BOZ2196" s="10"/>
      <c r="BPA2196" s="10"/>
      <c r="BPB2196" s="10"/>
      <c r="BPC2196" s="10"/>
      <c r="BPD2196" s="10"/>
      <c r="BPE2196" s="10"/>
      <c r="BPF2196" s="10"/>
      <c r="BPG2196" s="10"/>
      <c r="BPH2196" s="10"/>
      <c r="BPI2196" s="10"/>
      <c r="BPJ2196" s="10"/>
      <c r="BPK2196" s="10"/>
      <c r="BPL2196" s="10"/>
      <c r="BPM2196" s="10"/>
      <c r="BPN2196" s="10"/>
      <c r="BPO2196" s="10"/>
      <c r="BPP2196" s="10"/>
      <c r="BPQ2196" s="10"/>
      <c r="BPR2196" s="10"/>
      <c r="BPS2196" s="10"/>
      <c r="BPT2196" s="10"/>
      <c r="BPU2196" s="10"/>
      <c r="BPV2196" s="10"/>
      <c r="BPW2196" s="10"/>
      <c r="BPX2196" s="10"/>
      <c r="BPY2196" s="10"/>
      <c r="BPZ2196" s="10"/>
      <c r="BQA2196" s="10"/>
      <c r="BQB2196" s="10"/>
      <c r="BQC2196" s="10"/>
      <c r="BQD2196" s="10"/>
      <c r="BQE2196" s="10"/>
      <c r="BQF2196" s="10"/>
      <c r="BQG2196" s="10"/>
      <c r="BQH2196" s="10"/>
      <c r="BQI2196" s="10"/>
      <c r="BQJ2196" s="10"/>
      <c r="BQK2196" s="10"/>
      <c r="BQL2196" s="10"/>
      <c r="BQM2196" s="10"/>
      <c r="BQN2196" s="10"/>
      <c r="BQO2196" s="10"/>
      <c r="BQP2196" s="10"/>
      <c r="BQQ2196" s="10"/>
      <c r="BQR2196" s="10"/>
      <c r="BQS2196" s="10"/>
      <c r="BQT2196" s="10"/>
      <c r="BQU2196" s="10"/>
      <c r="BQV2196" s="10"/>
      <c r="BQW2196" s="10"/>
      <c r="BQX2196" s="10"/>
      <c r="BQY2196" s="10"/>
      <c r="BQZ2196" s="10"/>
      <c r="BRA2196" s="10"/>
      <c r="BRB2196" s="10"/>
      <c r="BRC2196" s="10"/>
      <c r="BRD2196" s="10"/>
      <c r="BRE2196" s="10"/>
      <c r="BRF2196" s="10"/>
      <c r="BRG2196" s="10"/>
      <c r="BRH2196" s="10"/>
      <c r="BRI2196" s="10"/>
      <c r="BRJ2196" s="10"/>
      <c r="BRK2196" s="10"/>
      <c r="BRL2196" s="10"/>
      <c r="BRM2196" s="10"/>
      <c r="BRN2196" s="10"/>
      <c r="BRO2196" s="10"/>
      <c r="BRP2196" s="10"/>
      <c r="BRQ2196" s="10"/>
      <c r="BRR2196" s="10"/>
      <c r="BRS2196" s="10"/>
      <c r="BRT2196" s="10"/>
      <c r="BRU2196" s="10"/>
      <c r="BRV2196" s="10"/>
      <c r="BRW2196" s="10"/>
      <c r="BRX2196" s="10"/>
      <c r="BRY2196" s="10"/>
      <c r="BRZ2196" s="10"/>
      <c r="BSA2196" s="10"/>
      <c r="BSB2196" s="10"/>
      <c r="BSC2196" s="10"/>
      <c r="BSD2196" s="10"/>
      <c r="BSE2196" s="10"/>
      <c r="BSF2196" s="10"/>
      <c r="BSG2196" s="10"/>
      <c r="BSH2196" s="10"/>
      <c r="BSI2196" s="10"/>
      <c r="BSJ2196" s="10"/>
      <c r="BSK2196" s="10"/>
      <c r="BSL2196" s="10"/>
      <c r="BSM2196" s="10"/>
      <c r="BSN2196" s="10"/>
      <c r="BSO2196" s="10"/>
      <c r="BSP2196" s="10"/>
      <c r="BSQ2196" s="10"/>
      <c r="BSR2196" s="10"/>
      <c r="BSS2196" s="10"/>
      <c r="BST2196" s="10"/>
      <c r="BSU2196" s="10"/>
      <c r="BSV2196" s="10"/>
      <c r="BSW2196" s="10"/>
      <c r="BSX2196" s="10"/>
      <c r="BSY2196" s="10"/>
      <c r="BSZ2196" s="10"/>
      <c r="BTA2196" s="10"/>
      <c r="BTB2196" s="10"/>
      <c r="BTC2196" s="10"/>
      <c r="BTD2196" s="10"/>
      <c r="BTE2196" s="10"/>
      <c r="BTF2196" s="10"/>
      <c r="BTG2196" s="10"/>
      <c r="BTH2196" s="10"/>
      <c r="BTI2196" s="10"/>
      <c r="BTJ2196" s="10"/>
      <c r="BTK2196" s="10"/>
      <c r="BTL2196" s="10"/>
      <c r="BTM2196" s="10"/>
      <c r="BTN2196" s="10"/>
      <c r="BTO2196" s="10"/>
      <c r="BTP2196" s="10"/>
      <c r="BTQ2196" s="10"/>
      <c r="BTR2196" s="10"/>
      <c r="BTS2196" s="10"/>
      <c r="BTT2196" s="10"/>
      <c r="BTU2196" s="10"/>
      <c r="BTV2196" s="10"/>
      <c r="BTW2196" s="10"/>
      <c r="BTX2196" s="10"/>
      <c r="BTY2196" s="10"/>
      <c r="BTZ2196" s="10"/>
      <c r="BUA2196" s="10"/>
      <c r="BUB2196" s="10"/>
      <c r="BUC2196" s="10"/>
      <c r="BUD2196" s="10"/>
      <c r="BUE2196" s="10"/>
      <c r="BUF2196" s="10"/>
      <c r="BUG2196" s="10"/>
      <c r="BUH2196" s="10"/>
      <c r="BUI2196" s="10"/>
      <c r="BUJ2196" s="10"/>
      <c r="BUK2196" s="10"/>
      <c r="BUL2196" s="10"/>
      <c r="BUM2196" s="10"/>
      <c r="BUN2196" s="10"/>
      <c r="BUO2196" s="10"/>
      <c r="BUP2196" s="10"/>
      <c r="BUQ2196" s="10"/>
      <c r="BUR2196" s="10"/>
      <c r="BUS2196" s="10"/>
      <c r="BUT2196" s="10"/>
      <c r="BUU2196" s="10"/>
      <c r="BUV2196" s="10"/>
      <c r="BUW2196" s="10"/>
      <c r="BUX2196" s="10"/>
      <c r="BUY2196" s="10"/>
      <c r="BUZ2196" s="10"/>
      <c r="BVA2196" s="10"/>
      <c r="BVB2196" s="10"/>
      <c r="BVC2196" s="10"/>
      <c r="BVD2196" s="10"/>
      <c r="BVE2196" s="10"/>
      <c r="BVF2196" s="10"/>
      <c r="BVG2196" s="10"/>
      <c r="BVH2196" s="10"/>
      <c r="BVI2196" s="10"/>
      <c r="BVJ2196" s="10"/>
      <c r="BVK2196" s="10"/>
      <c r="BVL2196" s="10"/>
      <c r="BVM2196" s="10"/>
      <c r="BVN2196" s="10"/>
      <c r="BVO2196" s="10"/>
      <c r="BVP2196" s="10"/>
      <c r="BVQ2196" s="10"/>
      <c r="BVR2196" s="10"/>
      <c r="BVS2196" s="10"/>
      <c r="BVT2196" s="10"/>
      <c r="BVU2196" s="10"/>
      <c r="BVV2196" s="10"/>
      <c r="BVW2196" s="10"/>
      <c r="BVX2196" s="10"/>
      <c r="BVY2196" s="10"/>
      <c r="BVZ2196" s="10"/>
      <c r="BWA2196" s="10"/>
      <c r="BWB2196" s="10"/>
      <c r="BWC2196" s="10"/>
      <c r="BWD2196" s="10"/>
      <c r="BWE2196" s="10"/>
      <c r="BWF2196" s="10"/>
      <c r="BWG2196" s="10"/>
      <c r="BWH2196" s="10"/>
      <c r="BWI2196" s="10"/>
      <c r="BWJ2196" s="10"/>
      <c r="BWK2196" s="10"/>
      <c r="BWL2196" s="10"/>
      <c r="BWM2196" s="10"/>
      <c r="BWN2196" s="10"/>
      <c r="BWO2196" s="10"/>
      <c r="BWP2196" s="10"/>
      <c r="BWQ2196" s="10"/>
      <c r="BWR2196" s="10"/>
      <c r="BWS2196" s="10"/>
      <c r="BWT2196" s="10"/>
      <c r="BWU2196" s="10"/>
      <c r="BWV2196" s="10"/>
      <c r="BWW2196" s="10"/>
      <c r="BWX2196" s="10"/>
      <c r="BWY2196" s="10"/>
      <c r="BWZ2196" s="10"/>
      <c r="BXA2196" s="10"/>
      <c r="BXB2196" s="10"/>
      <c r="BXC2196" s="10"/>
      <c r="BXD2196" s="10"/>
      <c r="BXE2196" s="10"/>
      <c r="BXF2196" s="10"/>
      <c r="BXG2196" s="10"/>
      <c r="BXH2196" s="10"/>
      <c r="BXI2196" s="10"/>
      <c r="BXJ2196" s="10"/>
      <c r="BXK2196" s="10"/>
      <c r="BXL2196" s="10"/>
      <c r="BXM2196" s="10"/>
      <c r="BXN2196" s="10"/>
      <c r="BXO2196" s="10"/>
      <c r="BXP2196" s="10"/>
      <c r="BXQ2196" s="10"/>
      <c r="BXR2196" s="10"/>
      <c r="BXS2196" s="10"/>
      <c r="BXT2196" s="10"/>
      <c r="BXU2196" s="10"/>
      <c r="BXV2196" s="10"/>
      <c r="BXW2196" s="10"/>
      <c r="BXX2196" s="10"/>
      <c r="BXY2196" s="10"/>
      <c r="BXZ2196" s="10"/>
      <c r="BYA2196" s="10"/>
      <c r="BYB2196" s="10"/>
      <c r="BYC2196" s="10"/>
      <c r="BYD2196" s="10"/>
      <c r="BYE2196" s="10"/>
      <c r="BYF2196" s="10"/>
      <c r="BYG2196" s="10"/>
      <c r="BYH2196" s="10"/>
      <c r="BYI2196" s="10"/>
      <c r="BYJ2196" s="10"/>
      <c r="BYK2196" s="10"/>
      <c r="BYL2196" s="10"/>
      <c r="BYM2196" s="10"/>
      <c r="BYN2196" s="10"/>
      <c r="BYO2196" s="10"/>
      <c r="BYP2196" s="10"/>
      <c r="BYQ2196" s="10"/>
      <c r="BYR2196" s="10"/>
      <c r="BYS2196" s="10"/>
      <c r="BYT2196" s="10"/>
      <c r="BYU2196" s="10"/>
      <c r="BYV2196" s="10"/>
      <c r="BYW2196" s="10"/>
      <c r="BYX2196" s="10"/>
      <c r="BYY2196" s="10"/>
      <c r="BYZ2196" s="10"/>
      <c r="BZA2196" s="10"/>
      <c r="BZB2196" s="10"/>
      <c r="BZC2196" s="10"/>
      <c r="BZD2196" s="10"/>
      <c r="BZE2196" s="10"/>
      <c r="BZF2196" s="10"/>
      <c r="BZG2196" s="10"/>
      <c r="BZH2196" s="10"/>
      <c r="BZI2196" s="10"/>
      <c r="BZJ2196" s="10"/>
      <c r="BZK2196" s="10"/>
      <c r="BZL2196" s="10"/>
      <c r="BZM2196" s="10"/>
      <c r="BZN2196" s="10"/>
      <c r="BZO2196" s="10"/>
      <c r="BZP2196" s="10"/>
      <c r="BZQ2196" s="10"/>
      <c r="BZR2196" s="10"/>
      <c r="BZS2196" s="10"/>
      <c r="BZT2196" s="10"/>
      <c r="BZU2196" s="10"/>
      <c r="BZV2196" s="10"/>
      <c r="BZW2196" s="10"/>
      <c r="BZX2196" s="10"/>
      <c r="BZY2196" s="10"/>
      <c r="BZZ2196" s="10"/>
      <c r="CAA2196" s="10"/>
      <c r="CAB2196" s="10"/>
      <c r="CAC2196" s="10"/>
      <c r="CAD2196" s="10"/>
      <c r="CAE2196" s="10"/>
      <c r="CAF2196" s="10"/>
      <c r="CAG2196" s="10"/>
      <c r="CAH2196" s="10"/>
      <c r="CAI2196" s="10"/>
      <c r="CAJ2196" s="10"/>
      <c r="CAK2196" s="10"/>
      <c r="CAL2196" s="10"/>
      <c r="CAM2196" s="10"/>
      <c r="CAN2196" s="10"/>
      <c r="CAO2196" s="10"/>
      <c r="CAP2196" s="10"/>
      <c r="CAQ2196" s="10"/>
      <c r="CAR2196" s="10"/>
      <c r="CAS2196" s="10"/>
      <c r="CAT2196" s="10"/>
      <c r="CAU2196" s="10"/>
      <c r="CAV2196" s="10"/>
      <c r="CAW2196" s="10"/>
      <c r="CAX2196" s="10"/>
      <c r="CAY2196" s="10"/>
      <c r="CAZ2196" s="10"/>
      <c r="CBA2196" s="10"/>
      <c r="CBB2196" s="10"/>
      <c r="CBC2196" s="10"/>
      <c r="CBD2196" s="10"/>
      <c r="CBE2196" s="10"/>
      <c r="CBF2196" s="10"/>
      <c r="CBG2196" s="10"/>
      <c r="CBH2196" s="10"/>
      <c r="CBI2196" s="10"/>
      <c r="CBJ2196" s="10"/>
      <c r="CBK2196" s="10"/>
      <c r="CBL2196" s="10"/>
      <c r="CBM2196" s="10"/>
      <c r="CBN2196" s="10"/>
      <c r="CBO2196" s="10"/>
      <c r="CBP2196" s="10"/>
      <c r="CBQ2196" s="10"/>
      <c r="CBR2196" s="10"/>
      <c r="CBS2196" s="10"/>
      <c r="CBT2196" s="10"/>
      <c r="CBU2196" s="10"/>
      <c r="CBV2196" s="10"/>
      <c r="CBW2196" s="10"/>
      <c r="CBX2196" s="10"/>
      <c r="CBY2196" s="10"/>
      <c r="CBZ2196" s="10"/>
      <c r="CCA2196" s="10"/>
      <c r="CCB2196" s="10"/>
      <c r="CCC2196" s="10"/>
      <c r="CCD2196" s="10"/>
      <c r="CCE2196" s="10"/>
      <c r="CCF2196" s="10"/>
      <c r="CCG2196" s="10"/>
      <c r="CCH2196" s="10"/>
      <c r="CCI2196" s="10"/>
      <c r="CCJ2196" s="10"/>
      <c r="CCK2196" s="10"/>
      <c r="CCL2196" s="10"/>
      <c r="CCM2196" s="10"/>
      <c r="CCN2196" s="10"/>
      <c r="CCO2196" s="10"/>
      <c r="CCP2196" s="10"/>
      <c r="CCQ2196" s="10"/>
      <c r="CCR2196" s="10"/>
      <c r="CCS2196" s="10"/>
      <c r="CCT2196" s="10"/>
      <c r="CCU2196" s="10"/>
      <c r="CCV2196" s="10"/>
      <c r="CCW2196" s="10"/>
      <c r="CCX2196" s="10"/>
      <c r="CCY2196" s="10"/>
      <c r="CCZ2196" s="10"/>
      <c r="CDA2196" s="10"/>
      <c r="CDB2196" s="10"/>
      <c r="CDC2196" s="10"/>
      <c r="CDD2196" s="10"/>
      <c r="CDE2196" s="10"/>
      <c r="CDF2196" s="10"/>
      <c r="CDG2196" s="10"/>
      <c r="CDH2196" s="10"/>
      <c r="CDI2196" s="10"/>
      <c r="CDJ2196" s="10"/>
      <c r="CDK2196" s="10"/>
      <c r="CDL2196" s="10"/>
      <c r="CDM2196" s="10"/>
      <c r="CDN2196" s="10"/>
      <c r="CDO2196" s="10"/>
      <c r="CDP2196" s="10"/>
      <c r="CDQ2196" s="10"/>
      <c r="CDR2196" s="10"/>
      <c r="CDS2196" s="10"/>
      <c r="CDT2196" s="10"/>
      <c r="CDU2196" s="10"/>
      <c r="CDV2196" s="10"/>
      <c r="CDW2196" s="10"/>
      <c r="CDX2196" s="10"/>
      <c r="CDY2196" s="10"/>
      <c r="CDZ2196" s="10"/>
      <c r="CEA2196" s="10"/>
      <c r="CEB2196" s="10"/>
      <c r="CEC2196" s="10"/>
      <c r="CED2196" s="10"/>
      <c r="CEE2196" s="10"/>
      <c r="CEF2196" s="10"/>
      <c r="CEG2196" s="10"/>
      <c r="CEH2196" s="10"/>
      <c r="CEI2196" s="10"/>
      <c r="CEJ2196" s="10"/>
      <c r="CEK2196" s="10"/>
      <c r="CEL2196" s="10"/>
      <c r="CEM2196" s="10"/>
      <c r="CEN2196" s="10"/>
      <c r="CEO2196" s="10"/>
      <c r="CEP2196" s="10"/>
      <c r="CEQ2196" s="10"/>
      <c r="CER2196" s="10"/>
      <c r="CES2196" s="10"/>
      <c r="CET2196" s="10"/>
      <c r="CEU2196" s="10"/>
      <c r="CEV2196" s="10"/>
      <c r="CEW2196" s="10"/>
      <c r="CEX2196" s="10"/>
      <c r="CEY2196" s="10"/>
      <c r="CEZ2196" s="10"/>
      <c r="CFA2196" s="10"/>
      <c r="CFB2196" s="10"/>
      <c r="CFC2196" s="10"/>
      <c r="CFD2196" s="10"/>
      <c r="CFE2196" s="10"/>
      <c r="CFF2196" s="10"/>
      <c r="CFG2196" s="10"/>
      <c r="CFH2196" s="10"/>
      <c r="CFI2196" s="10"/>
      <c r="CFJ2196" s="10"/>
      <c r="CFK2196" s="10"/>
      <c r="CFL2196" s="10"/>
      <c r="CFM2196" s="10"/>
      <c r="CFN2196" s="10"/>
      <c r="CFO2196" s="10"/>
      <c r="CFP2196" s="10"/>
      <c r="CFQ2196" s="10"/>
      <c r="CFR2196" s="10"/>
      <c r="CFS2196" s="10"/>
      <c r="CFT2196" s="10"/>
      <c r="CFU2196" s="10"/>
      <c r="CFV2196" s="10"/>
      <c r="CFW2196" s="10"/>
      <c r="CFX2196" s="10"/>
      <c r="CFY2196" s="10"/>
      <c r="CFZ2196" s="10"/>
      <c r="CGA2196" s="10"/>
      <c r="CGB2196" s="10"/>
      <c r="CGC2196" s="10"/>
      <c r="CGD2196" s="10"/>
      <c r="CGE2196" s="10"/>
      <c r="CGF2196" s="10"/>
      <c r="CGG2196" s="10"/>
      <c r="CGH2196" s="10"/>
      <c r="CGI2196" s="10"/>
      <c r="CGJ2196" s="10"/>
      <c r="CGK2196" s="10"/>
      <c r="CGL2196" s="10"/>
      <c r="CGM2196" s="10"/>
      <c r="CGN2196" s="10"/>
      <c r="CGO2196" s="10"/>
      <c r="CGP2196" s="10"/>
      <c r="CGQ2196" s="10"/>
      <c r="CGR2196" s="10"/>
      <c r="CGS2196" s="10"/>
      <c r="CGT2196" s="10"/>
      <c r="CGU2196" s="10"/>
      <c r="CGV2196" s="10"/>
      <c r="CGW2196" s="10"/>
      <c r="CGX2196" s="10"/>
      <c r="CGY2196" s="10"/>
      <c r="CGZ2196" s="10"/>
      <c r="CHA2196" s="10"/>
      <c r="CHB2196" s="10"/>
      <c r="CHC2196" s="10"/>
      <c r="CHD2196" s="10"/>
      <c r="CHE2196" s="10"/>
      <c r="CHF2196" s="10"/>
      <c r="CHG2196" s="10"/>
      <c r="CHH2196" s="10"/>
      <c r="CHI2196" s="10"/>
      <c r="CHJ2196" s="10"/>
      <c r="CHK2196" s="10"/>
      <c r="CHL2196" s="10"/>
      <c r="CHM2196" s="10"/>
      <c r="CHN2196" s="10"/>
      <c r="CHO2196" s="10"/>
      <c r="CHP2196" s="10"/>
      <c r="CHQ2196" s="10"/>
      <c r="CHR2196" s="10"/>
      <c r="CHS2196" s="10"/>
      <c r="CHT2196" s="10"/>
      <c r="CHU2196" s="10"/>
      <c r="CHV2196" s="10"/>
      <c r="CHW2196" s="10"/>
      <c r="CHX2196" s="10"/>
      <c r="CHY2196" s="10"/>
      <c r="CHZ2196" s="10"/>
      <c r="CIA2196" s="10"/>
      <c r="CIB2196" s="10"/>
      <c r="CIC2196" s="10"/>
      <c r="CID2196" s="10"/>
      <c r="CIE2196" s="10"/>
      <c r="CIF2196" s="10"/>
      <c r="CIG2196" s="10"/>
      <c r="CIH2196" s="10"/>
      <c r="CII2196" s="10"/>
      <c r="CIJ2196" s="10"/>
      <c r="CIK2196" s="10"/>
      <c r="CIL2196" s="10"/>
      <c r="CIM2196" s="10"/>
      <c r="CIN2196" s="10"/>
      <c r="CIO2196" s="10"/>
      <c r="CIP2196" s="10"/>
      <c r="CIQ2196" s="10"/>
      <c r="CIR2196" s="10"/>
      <c r="CIS2196" s="10"/>
      <c r="CIT2196" s="10"/>
      <c r="CIU2196" s="10"/>
      <c r="CIV2196" s="10"/>
      <c r="CIW2196" s="10"/>
      <c r="CIX2196" s="10"/>
      <c r="CIY2196" s="10"/>
      <c r="CIZ2196" s="10"/>
      <c r="CJA2196" s="10"/>
      <c r="CJB2196" s="10"/>
      <c r="CJC2196" s="10"/>
      <c r="CJD2196" s="10"/>
      <c r="CJE2196" s="10"/>
      <c r="CJF2196" s="10"/>
      <c r="CJG2196" s="10"/>
      <c r="CJH2196" s="10"/>
      <c r="CJI2196" s="10"/>
      <c r="CJJ2196" s="10"/>
      <c r="CJK2196" s="10"/>
      <c r="CJL2196" s="10"/>
      <c r="CJM2196" s="10"/>
      <c r="CJN2196" s="10"/>
      <c r="CJO2196" s="10"/>
      <c r="CJP2196" s="10"/>
      <c r="CJQ2196" s="10"/>
      <c r="CJR2196" s="10"/>
      <c r="CJS2196" s="10"/>
      <c r="CJT2196" s="10"/>
      <c r="CJU2196" s="10"/>
      <c r="CJV2196" s="10"/>
      <c r="CJW2196" s="10"/>
      <c r="CJX2196" s="10"/>
      <c r="CJY2196" s="10"/>
      <c r="CJZ2196" s="10"/>
      <c r="CKA2196" s="10"/>
      <c r="CKB2196" s="10"/>
      <c r="CKC2196" s="10"/>
      <c r="CKD2196" s="10"/>
      <c r="CKE2196" s="10"/>
      <c r="CKF2196" s="10"/>
      <c r="CKG2196" s="10"/>
      <c r="CKH2196" s="10"/>
      <c r="CKI2196" s="10"/>
      <c r="CKJ2196" s="10"/>
      <c r="CKK2196" s="10"/>
      <c r="CKL2196" s="10"/>
      <c r="CKM2196" s="10"/>
      <c r="CKN2196" s="10"/>
      <c r="CKO2196" s="10"/>
      <c r="CKP2196" s="10"/>
      <c r="CKQ2196" s="10"/>
      <c r="CKR2196" s="10"/>
      <c r="CKS2196" s="10"/>
      <c r="CKT2196" s="10"/>
      <c r="CKU2196" s="10"/>
      <c r="CKV2196" s="10"/>
      <c r="CKW2196" s="10"/>
      <c r="CKX2196" s="10"/>
      <c r="CKY2196" s="10"/>
      <c r="CKZ2196" s="10"/>
      <c r="CLA2196" s="10"/>
      <c r="CLB2196" s="10"/>
      <c r="CLC2196" s="10"/>
      <c r="CLD2196" s="10"/>
      <c r="CLE2196" s="10"/>
      <c r="CLF2196" s="10"/>
      <c r="CLG2196" s="10"/>
      <c r="CLH2196" s="10"/>
      <c r="CLI2196" s="10"/>
      <c r="CLJ2196" s="10"/>
      <c r="CLK2196" s="10"/>
      <c r="CLL2196" s="10"/>
      <c r="CLM2196" s="10"/>
      <c r="CLN2196" s="10"/>
      <c r="CLO2196" s="10"/>
      <c r="CLP2196" s="10"/>
      <c r="CLQ2196" s="10"/>
      <c r="CLR2196" s="10"/>
      <c r="CLS2196" s="10"/>
      <c r="CLT2196" s="10"/>
      <c r="CLU2196" s="10"/>
      <c r="CLV2196" s="10"/>
      <c r="CLW2196" s="10"/>
      <c r="CLX2196" s="10"/>
      <c r="CLY2196" s="10"/>
      <c r="CLZ2196" s="10"/>
      <c r="CMA2196" s="10"/>
      <c r="CMB2196" s="10"/>
      <c r="CMC2196" s="10"/>
      <c r="CMD2196" s="10"/>
      <c r="CME2196" s="10"/>
      <c r="CMF2196" s="10"/>
      <c r="CMG2196" s="10"/>
      <c r="CMH2196" s="10"/>
      <c r="CMI2196" s="10"/>
      <c r="CMJ2196" s="10"/>
      <c r="CMK2196" s="10"/>
      <c r="CML2196" s="10"/>
      <c r="CMM2196" s="10"/>
      <c r="CMN2196" s="10"/>
      <c r="CMO2196" s="10"/>
      <c r="CMP2196" s="10"/>
      <c r="CMQ2196" s="10"/>
      <c r="CMR2196" s="10"/>
      <c r="CMS2196" s="10"/>
      <c r="CMT2196" s="10"/>
      <c r="CMU2196" s="10"/>
      <c r="CMV2196" s="10"/>
      <c r="CMW2196" s="10"/>
      <c r="CMX2196" s="10"/>
      <c r="CMY2196" s="10"/>
      <c r="CMZ2196" s="10"/>
      <c r="CNA2196" s="10"/>
      <c r="CNB2196" s="10"/>
      <c r="CNC2196" s="10"/>
      <c r="CND2196" s="10"/>
      <c r="CNE2196" s="10"/>
      <c r="CNF2196" s="10"/>
      <c r="CNG2196" s="10"/>
      <c r="CNH2196" s="10"/>
      <c r="CNI2196" s="10"/>
      <c r="CNJ2196" s="10"/>
      <c r="CNK2196" s="10"/>
      <c r="CNL2196" s="10"/>
      <c r="CNM2196" s="10"/>
      <c r="CNN2196" s="10"/>
      <c r="CNO2196" s="10"/>
      <c r="CNP2196" s="10"/>
      <c r="CNQ2196" s="10"/>
      <c r="CNR2196" s="10"/>
      <c r="CNS2196" s="10"/>
      <c r="CNT2196" s="10"/>
      <c r="CNU2196" s="10"/>
      <c r="CNV2196" s="10"/>
      <c r="CNW2196" s="10"/>
      <c r="CNX2196" s="10"/>
      <c r="CNY2196" s="10"/>
      <c r="CNZ2196" s="10"/>
      <c r="COA2196" s="10"/>
      <c r="COB2196" s="10"/>
      <c r="COC2196" s="10"/>
      <c r="COD2196" s="10"/>
      <c r="COE2196" s="10"/>
      <c r="COF2196" s="10"/>
      <c r="COG2196" s="10"/>
      <c r="COH2196" s="10"/>
      <c r="COI2196" s="10"/>
      <c r="COJ2196" s="10"/>
      <c r="COK2196" s="10"/>
      <c r="COL2196" s="10"/>
      <c r="COM2196" s="10"/>
      <c r="CON2196" s="10"/>
      <c r="COO2196" s="10"/>
      <c r="COP2196" s="10"/>
      <c r="COQ2196" s="10"/>
      <c r="COR2196" s="10"/>
      <c r="COS2196" s="10"/>
      <c r="COT2196" s="10"/>
      <c r="COU2196" s="10"/>
      <c r="COV2196" s="10"/>
      <c r="COW2196" s="10"/>
      <c r="COX2196" s="10"/>
      <c r="COY2196" s="10"/>
      <c r="COZ2196" s="10"/>
      <c r="CPA2196" s="10"/>
      <c r="CPB2196" s="10"/>
      <c r="CPC2196" s="10"/>
      <c r="CPD2196" s="10"/>
      <c r="CPE2196" s="10"/>
      <c r="CPF2196" s="10"/>
      <c r="CPG2196" s="10"/>
      <c r="CPH2196" s="10"/>
      <c r="CPI2196" s="10"/>
      <c r="CPJ2196" s="10"/>
      <c r="CPK2196" s="10"/>
      <c r="CPL2196" s="10"/>
      <c r="CPM2196" s="10"/>
      <c r="CPN2196" s="10"/>
      <c r="CPO2196" s="10"/>
      <c r="CPP2196" s="10"/>
      <c r="CPQ2196" s="10"/>
      <c r="CPR2196" s="10"/>
      <c r="CPS2196" s="10"/>
      <c r="CPT2196" s="10"/>
      <c r="CPU2196" s="10"/>
      <c r="CPV2196" s="10"/>
      <c r="CPW2196" s="10"/>
      <c r="CPX2196" s="10"/>
      <c r="CPY2196" s="10"/>
      <c r="CPZ2196" s="10"/>
      <c r="CQA2196" s="10"/>
      <c r="CQB2196" s="10"/>
      <c r="CQC2196" s="10"/>
      <c r="CQD2196" s="10"/>
      <c r="CQE2196" s="10"/>
      <c r="CQF2196" s="10"/>
      <c r="CQG2196" s="10"/>
      <c r="CQH2196" s="10"/>
      <c r="CQI2196" s="10"/>
      <c r="CQJ2196" s="10"/>
      <c r="CQK2196" s="10"/>
      <c r="CQL2196" s="10"/>
      <c r="CQM2196" s="10"/>
      <c r="CQN2196" s="10"/>
      <c r="CQO2196" s="10"/>
      <c r="CQP2196" s="10"/>
      <c r="CQQ2196" s="10"/>
      <c r="CQR2196" s="10"/>
      <c r="CQS2196" s="10"/>
      <c r="CQT2196" s="10"/>
      <c r="CQU2196" s="10"/>
      <c r="CQV2196" s="10"/>
      <c r="CQW2196" s="10"/>
      <c r="CQX2196" s="10"/>
      <c r="CQY2196" s="10"/>
      <c r="CQZ2196" s="10"/>
      <c r="CRA2196" s="10"/>
      <c r="CRB2196" s="10"/>
      <c r="CRC2196" s="10"/>
      <c r="CRD2196" s="10"/>
      <c r="CRE2196" s="10"/>
      <c r="CRF2196" s="10"/>
      <c r="CRG2196" s="10"/>
      <c r="CRH2196" s="10"/>
      <c r="CRI2196" s="10"/>
      <c r="CRJ2196" s="10"/>
      <c r="CRK2196" s="10"/>
      <c r="CRL2196" s="10"/>
      <c r="CRM2196" s="10"/>
      <c r="CRN2196" s="10"/>
      <c r="CRO2196" s="10"/>
      <c r="CRP2196" s="10"/>
      <c r="CRQ2196" s="10"/>
      <c r="CRR2196" s="10"/>
      <c r="CRS2196" s="10"/>
      <c r="CRT2196" s="10"/>
      <c r="CRU2196" s="10"/>
      <c r="CRV2196" s="10"/>
      <c r="CRW2196" s="10"/>
      <c r="CRX2196" s="10"/>
      <c r="CRY2196" s="10"/>
      <c r="CRZ2196" s="10"/>
      <c r="CSA2196" s="10"/>
      <c r="CSB2196" s="10"/>
      <c r="CSC2196" s="10"/>
      <c r="CSD2196" s="10"/>
      <c r="CSE2196" s="10"/>
      <c r="CSF2196" s="10"/>
      <c r="CSG2196" s="10"/>
      <c r="CSH2196" s="10"/>
      <c r="CSI2196" s="10"/>
      <c r="CSJ2196" s="10"/>
      <c r="CSK2196" s="10"/>
      <c r="CSL2196" s="10"/>
      <c r="CSM2196" s="10"/>
      <c r="CSN2196" s="10"/>
      <c r="CSO2196" s="10"/>
      <c r="CSP2196" s="10"/>
      <c r="CSQ2196" s="10"/>
      <c r="CSR2196" s="10"/>
      <c r="CSS2196" s="10"/>
      <c r="CST2196" s="10"/>
      <c r="CSU2196" s="10"/>
      <c r="CSV2196" s="10"/>
      <c r="CSW2196" s="10"/>
      <c r="CSX2196" s="10"/>
      <c r="CSY2196" s="10"/>
      <c r="CSZ2196" s="10"/>
      <c r="CTA2196" s="10"/>
      <c r="CTB2196" s="10"/>
      <c r="CTC2196" s="10"/>
      <c r="CTD2196" s="10"/>
      <c r="CTE2196" s="10"/>
      <c r="CTF2196" s="10"/>
      <c r="CTG2196" s="10"/>
      <c r="CTH2196" s="10"/>
      <c r="CTI2196" s="10"/>
      <c r="CTJ2196" s="10"/>
      <c r="CTK2196" s="10"/>
      <c r="CTL2196" s="10"/>
      <c r="CTM2196" s="10"/>
      <c r="CTN2196" s="10"/>
      <c r="CTO2196" s="10"/>
      <c r="CTP2196" s="10"/>
      <c r="CTQ2196" s="10"/>
      <c r="CTR2196" s="10"/>
      <c r="CTS2196" s="10"/>
      <c r="CTT2196" s="10"/>
      <c r="CTU2196" s="10"/>
      <c r="CTV2196" s="10"/>
      <c r="CTW2196" s="10"/>
      <c r="CTX2196" s="10"/>
      <c r="CTY2196" s="10"/>
      <c r="CTZ2196" s="10"/>
      <c r="CUA2196" s="10"/>
      <c r="CUB2196" s="10"/>
      <c r="CUC2196" s="10"/>
      <c r="CUD2196" s="10"/>
      <c r="CUE2196" s="10"/>
      <c r="CUF2196" s="10"/>
      <c r="CUG2196" s="10"/>
      <c r="CUH2196" s="10"/>
      <c r="CUI2196" s="10"/>
      <c r="CUJ2196" s="10"/>
      <c r="CUK2196" s="10"/>
      <c r="CUL2196" s="10"/>
      <c r="CUM2196" s="10"/>
      <c r="CUN2196" s="10"/>
      <c r="CUO2196" s="10"/>
      <c r="CUP2196" s="10"/>
      <c r="CUQ2196" s="10"/>
      <c r="CUR2196" s="10"/>
      <c r="CUS2196" s="10"/>
      <c r="CUT2196" s="10"/>
      <c r="CUU2196" s="10"/>
      <c r="CUV2196" s="10"/>
      <c r="CUW2196" s="10"/>
      <c r="CUX2196" s="10"/>
      <c r="CUY2196" s="10"/>
      <c r="CUZ2196" s="10"/>
      <c r="CVA2196" s="10"/>
      <c r="CVB2196" s="10"/>
      <c r="CVC2196" s="10"/>
      <c r="CVD2196" s="10"/>
      <c r="CVE2196" s="10"/>
      <c r="CVF2196" s="10"/>
      <c r="CVG2196" s="10"/>
      <c r="CVH2196" s="10"/>
      <c r="CVI2196" s="10"/>
      <c r="CVJ2196" s="10"/>
      <c r="CVK2196" s="10"/>
      <c r="CVL2196" s="10"/>
      <c r="CVM2196" s="10"/>
      <c r="CVN2196" s="10"/>
      <c r="CVO2196" s="10"/>
      <c r="CVP2196" s="10"/>
      <c r="CVQ2196" s="10"/>
      <c r="CVR2196" s="10"/>
      <c r="CVS2196" s="10"/>
      <c r="CVT2196" s="10"/>
      <c r="CVU2196" s="10"/>
      <c r="CVV2196" s="10"/>
      <c r="CVW2196" s="10"/>
      <c r="CVX2196" s="10"/>
      <c r="CVY2196" s="10"/>
      <c r="CVZ2196" s="10"/>
      <c r="CWA2196" s="10"/>
      <c r="CWB2196" s="10"/>
      <c r="CWC2196" s="10"/>
      <c r="CWD2196" s="10"/>
      <c r="CWE2196" s="10"/>
      <c r="CWF2196" s="10"/>
      <c r="CWG2196" s="10"/>
      <c r="CWH2196" s="10"/>
      <c r="CWI2196" s="10"/>
      <c r="CWJ2196" s="10"/>
      <c r="CWK2196" s="10"/>
      <c r="CWL2196" s="10"/>
      <c r="CWM2196" s="10"/>
      <c r="CWN2196" s="10"/>
      <c r="CWO2196" s="10"/>
      <c r="CWP2196" s="10"/>
      <c r="CWQ2196" s="10"/>
      <c r="CWR2196" s="10"/>
      <c r="CWS2196" s="10"/>
      <c r="CWT2196" s="10"/>
      <c r="CWU2196" s="10"/>
      <c r="CWV2196" s="10"/>
      <c r="CWW2196" s="10"/>
      <c r="CWX2196" s="10"/>
      <c r="CWY2196" s="10"/>
      <c r="CWZ2196" s="10"/>
      <c r="CXA2196" s="10"/>
      <c r="CXB2196" s="10"/>
      <c r="CXC2196" s="10"/>
      <c r="CXD2196" s="10"/>
      <c r="CXE2196" s="10"/>
      <c r="CXF2196" s="10"/>
      <c r="CXG2196" s="10"/>
      <c r="CXH2196" s="10"/>
      <c r="CXI2196" s="10"/>
      <c r="CXJ2196" s="10"/>
      <c r="CXK2196" s="10"/>
      <c r="CXL2196" s="10"/>
      <c r="CXM2196" s="10"/>
      <c r="CXN2196" s="10"/>
      <c r="CXO2196" s="10"/>
      <c r="CXP2196" s="10"/>
      <c r="CXQ2196" s="10"/>
      <c r="CXR2196" s="10"/>
      <c r="CXS2196" s="10"/>
      <c r="CXT2196" s="10"/>
      <c r="CXU2196" s="10"/>
      <c r="CXV2196" s="10"/>
      <c r="CXW2196" s="10"/>
      <c r="CXX2196" s="10"/>
      <c r="CXY2196" s="10"/>
      <c r="CXZ2196" s="10"/>
      <c r="CYA2196" s="10"/>
      <c r="CYB2196" s="10"/>
      <c r="CYC2196" s="10"/>
      <c r="CYD2196" s="10"/>
      <c r="CYE2196" s="10"/>
      <c r="CYF2196" s="10"/>
      <c r="CYG2196" s="10"/>
      <c r="CYH2196" s="10"/>
      <c r="CYI2196" s="10"/>
      <c r="CYJ2196" s="10"/>
      <c r="CYK2196" s="10"/>
      <c r="CYL2196" s="10"/>
      <c r="CYM2196" s="10"/>
      <c r="CYN2196" s="10"/>
      <c r="CYO2196" s="10"/>
      <c r="CYP2196" s="10"/>
      <c r="CYQ2196" s="10"/>
      <c r="CYR2196" s="10"/>
      <c r="CYS2196" s="10"/>
      <c r="CYT2196" s="10"/>
      <c r="CYU2196" s="10"/>
      <c r="CYV2196" s="10"/>
      <c r="CYW2196" s="10"/>
      <c r="CYX2196" s="10"/>
      <c r="CYY2196" s="10"/>
      <c r="CYZ2196" s="10"/>
      <c r="CZA2196" s="10"/>
      <c r="CZB2196" s="10"/>
      <c r="CZC2196" s="10"/>
      <c r="CZD2196" s="10"/>
      <c r="CZE2196" s="10"/>
      <c r="CZF2196" s="10"/>
      <c r="CZG2196" s="10"/>
      <c r="CZH2196" s="10"/>
      <c r="CZI2196" s="10"/>
      <c r="CZJ2196" s="10"/>
      <c r="CZK2196" s="10"/>
      <c r="CZL2196" s="10"/>
      <c r="CZM2196" s="10"/>
      <c r="CZN2196" s="10"/>
      <c r="CZO2196" s="10"/>
      <c r="CZP2196" s="10"/>
      <c r="CZQ2196" s="10"/>
      <c r="CZR2196" s="10"/>
      <c r="CZS2196" s="10"/>
      <c r="CZT2196" s="10"/>
      <c r="CZU2196" s="10"/>
      <c r="CZV2196" s="10"/>
      <c r="CZW2196" s="10"/>
      <c r="CZX2196" s="10"/>
      <c r="CZY2196" s="10"/>
      <c r="CZZ2196" s="10"/>
      <c r="DAA2196" s="10"/>
      <c r="DAB2196" s="10"/>
      <c r="DAC2196" s="10"/>
      <c r="DAD2196" s="10"/>
      <c r="DAE2196" s="10"/>
      <c r="DAF2196" s="10"/>
      <c r="DAG2196" s="10"/>
      <c r="DAH2196" s="10"/>
      <c r="DAI2196" s="10"/>
      <c r="DAJ2196" s="10"/>
      <c r="DAK2196" s="10"/>
      <c r="DAL2196" s="10"/>
      <c r="DAM2196" s="10"/>
      <c r="DAN2196" s="10"/>
      <c r="DAO2196" s="10"/>
      <c r="DAP2196" s="10"/>
      <c r="DAQ2196" s="10"/>
      <c r="DAR2196" s="10"/>
      <c r="DAS2196" s="10"/>
      <c r="DAT2196" s="10"/>
      <c r="DAU2196" s="10"/>
      <c r="DAV2196" s="10"/>
      <c r="DAW2196" s="10"/>
      <c r="DAX2196" s="10"/>
      <c r="DAY2196" s="10"/>
      <c r="DAZ2196" s="10"/>
      <c r="DBA2196" s="10"/>
      <c r="DBB2196" s="10"/>
      <c r="DBC2196" s="10"/>
      <c r="DBD2196" s="10"/>
      <c r="DBE2196" s="10"/>
      <c r="DBF2196" s="10"/>
      <c r="DBG2196" s="10"/>
      <c r="DBH2196" s="10"/>
      <c r="DBI2196" s="10"/>
      <c r="DBJ2196" s="10"/>
      <c r="DBK2196" s="10"/>
      <c r="DBL2196" s="10"/>
      <c r="DBM2196" s="10"/>
      <c r="DBN2196" s="10"/>
      <c r="DBO2196" s="10"/>
      <c r="DBP2196" s="10"/>
      <c r="DBQ2196" s="10"/>
      <c r="DBR2196" s="10"/>
      <c r="DBS2196" s="10"/>
      <c r="DBT2196" s="10"/>
      <c r="DBU2196" s="10"/>
      <c r="DBV2196" s="10"/>
      <c r="DBW2196" s="10"/>
      <c r="DBX2196" s="10"/>
      <c r="DBY2196" s="10"/>
      <c r="DBZ2196" s="10"/>
      <c r="DCA2196" s="10"/>
      <c r="DCB2196" s="10"/>
      <c r="DCC2196" s="10"/>
      <c r="DCD2196" s="10"/>
      <c r="DCE2196" s="10"/>
      <c r="DCF2196" s="10"/>
      <c r="DCG2196" s="10"/>
      <c r="DCH2196" s="10"/>
      <c r="DCI2196" s="10"/>
      <c r="DCJ2196" s="10"/>
      <c r="DCK2196" s="10"/>
      <c r="DCL2196" s="10"/>
      <c r="DCM2196" s="10"/>
      <c r="DCN2196" s="10"/>
      <c r="DCO2196" s="10"/>
      <c r="DCP2196" s="10"/>
      <c r="DCQ2196" s="10"/>
      <c r="DCR2196" s="10"/>
      <c r="DCS2196" s="10"/>
      <c r="DCT2196" s="10"/>
      <c r="DCU2196" s="10"/>
      <c r="DCV2196" s="10"/>
      <c r="DCW2196" s="10"/>
      <c r="DCX2196" s="10"/>
      <c r="DCY2196" s="10"/>
      <c r="DCZ2196" s="10"/>
      <c r="DDA2196" s="10"/>
      <c r="DDB2196" s="10"/>
      <c r="DDC2196" s="10"/>
      <c r="DDD2196" s="10"/>
      <c r="DDE2196" s="10"/>
      <c r="DDF2196" s="10"/>
      <c r="DDG2196" s="10"/>
      <c r="DDH2196" s="10"/>
      <c r="DDI2196" s="10"/>
      <c r="DDJ2196" s="10"/>
      <c r="DDK2196" s="10"/>
      <c r="DDL2196" s="10"/>
      <c r="DDM2196" s="10"/>
      <c r="DDN2196" s="10"/>
      <c r="DDO2196" s="10"/>
      <c r="DDP2196" s="10"/>
      <c r="DDQ2196" s="10"/>
      <c r="DDR2196" s="10"/>
      <c r="DDS2196" s="10"/>
      <c r="DDT2196" s="10"/>
      <c r="DDU2196" s="10"/>
      <c r="DDV2196" s="10"/>
      <c r="DDW2196" s="10"/>
      <c r="DDX2196" s="10"/>
      <c r="DDY2196" s="10"/>
      <c r="DDZ2196" s="10"/>
      <c r="DEA2196" s="10"/>
      <c r="DEB2196" s="10"/>
      <c r="DEC2196" s="10"/>
      <c r="DED2196" s="10"/>
      <c r="DEE2196" s="10"/>
      <c r="DEF2196" s="10"/>
      <c r="DEG2196" s="10"/>
      <c r="DEH2196" s="10"/>
      <c r="DEI2196" s="10"/>
      <c r="DEJ2196" s="10"/>
      <c r="DEK2196" s="10"/>
      <c r="DEL2196" s="10"/>
      <c r="DEM2196" s="10"/>
      <c r="DEN2196" s="10"/>
      <c r="DEO2196" s="10"/>
      <c r="DEP2196" s="10"/>
      <c r="DEQ2196" s="10"/>
      <c r="DER2196" s="10"/>
      <c r="DES2196" s="10"/>
      <c r="DET2196" s="10"/>
      <c r="DEU2196" s="10"/>
      <c r="DEV2196" s="10"/>
      <c r="DEW2196" s="10"/>
      <c r="DEX2196" s="10"/>
      <c r="DEY2196" s="10"/>
      <c r="DEZ2196" s="10"/>
      <c r="DFA2196" s="10"/>
      <c r="DFB2196" s="10"/>
      <c r="DFC2196" s="10"/>
      <c r="DFD2196" s="10"/>
      <c r="DFE2196" s="10"/>
      <c r="DFF2196" s="10"/>
      <c r="DFG2196" s="10"/>
      <c r="DFH2196" s="10"/>
      <c r="DFI2196" s="10"/>
      <c r="DFJ2196" s="10"/>
      <c r="DFK2196" s="10"/>
      <c r="DFL2196" s="10"/>
      <c r="DFM2196" s="10"/>
      <c r="DFN2196" s="10"/>
      <c r="DFO2196" s="10"/>
      <c r="DFP2196" s="10"/>
      <c r="DFQ2196" s="10"/>
      <c r="DFR2196" s="10"/>
      <c r="DFS2196" s="10"/>
      <c r="DFT2196" s="10"/>
      <c r="DFU2196" s="10"/>
      <c r="DFV2196" s="10"/>
      <c r="DFW2196" s="10"/>
      <c r="DFX2196" s="10"/>
      <c r="DFY2196" s="10"/>
      <c r="DFZ2196" s="10"/>
      <c r="DGA2196" s="10"/>
      <c r="DGB2196" s="10"/>
      <c r="DGC2196" s="10"/>
      <c r="DGD2196" s="10"/>
      <c r="DGE2196" s="10"/>
      <c r="DGF2196" s="10"/>
      <c r="DGG2196" s="10"/>
      <c r="DGH2196" s="10"/>
      <c r="DGI2196" s="10"/>
      <c r="DGJ2196" s="10"/>
      <c r="DGK2196" s="10"/>
      <c r="DGL2196" s="10"/>
      <c r="DGM2196" s="10"/>
      <c r="DGN2196" s="10"/>
      <c r="DGO2196" s="10"/>
      <c r="DGP2196" s="10"/>
      <c r="DGQ2196" s="10"/>
      <c r="DGR2196" s="10"/>
      <c r="DGS2196" s="10"/>
      <c r="DGT2196" s="10"/>
      <c r="DGU2196" s="10"/>
      <c r="DGV2196" s="10"/>
      <c r="DGW2196" s="10"/>
      <c r="DGX2196" s="10"/>
      <c r="DGY2196" s="10"/>
      <c r="DGZ2196" s="10"/>
      <c r="DHA2196" s="10"/>
      <c r="DHB2196" s="10"/>
      <c r="DHC2196" s="10"/>
      <c r="DHD2196" s="10"/>
      <c r="DHE2196" s="10"/>
      <c r="DHF2196" s="10"/>
      <c r="DHG2196" s="10"/>
      <c r="DHH2196" s="10"/>
      <c r="DHI2196" s="10"/>
      <c r="DHJ2196" s="10"/>
      <c r="DHK2196" s="10"/>
      <c r="DHL2196" s="10"/>
      <c r="DHM2196" s="10"/>
      <c r="DHN2196" s="10"/>
      <c r="DHO2196" s="10"/>
      <c r="DHP2196" s="10"/>
      <c r="DHQ2196" s="10"/>
      <c r="DHR2196" s="10"/>
      <c r="DHS2196" s="10"/>
      <c r="DHT2196" s="10"/>
      <c r="DHU2196" s="10"/>
      <c r="DHV2196" s="10"/>
      <c r="DHW2196" s="10"/>
      <c r="DHX2196" s="10"/>
      <c r="DHY2196" s="10"/>
      <c r="DHZ2196" s="10"/>
      <c r="DIA2196" s="10"/>
      <c r="DIB2196" s="10"/>
      <c r="DIC2196" s="10"/>
      <c r="DID2196" s="10"/>
      <c r="DIE2196" s="10"/>
      <c r="DIF2196" s="10"/>
      <c r="DIG2196" s="10"/>
      <c r="DIH2196" s="10"/>
      <c r="DII2196" s="10"/>
      <c r="DIJ2196" s="10"/>
      <c r="DIK2196" s="10"/>
      <c r="DIL2196" s="10"/>
      <c r="DIM2196" s="10"/>
      <c r="DIN2196" s="10"/>
      <c r="DIO2196" s="10"/>
      <c r="DIP2196" s="10"/>
      <c r="DIQ2196" s="10"/>
      <c r="DIR2196" s="10"/>
      <c r="DIS2196" s="10"/>
      <c r="DIT2196" s="10"/>
      <c r="DIU2196" s="10"/>
      <c r="DIV2196" s="10"/>
      <c r="DIW2196" s="10"/>
      <c r="DIX2196" s="10"/>
      <c r="DIY2196" s="10"/>
      <c r="DIZ2196" s="10"/>
      <c r="DJA2196" s="10"/>
      <c r="DJB2196" s="10"/>
      <c r="DJC2196" s="10"/>
      <c r="DJD2196" s="10"/>
      <c r="DJE2196" s="10"/>
      <c r="DJF2196" s="10"/>
      <c r="DJG2196" s="10"/>
      <c r="DJH2196" s="10"/>
      <c r="DJI2196" s="10"/>
      <c r="DJJ2196" s="10"/>
      <c r="DJK2196" s="10"/>
      <c r="DJL2196" s="10"/>
      <c r="DJM2196" s="10"/>
      <c r="DJN2196" s="10"/>
      <c r="DJO2196" s="10"/>
      <c r="DJP2196" s="10"/>
      <c r="DJQ2196" s="10"/>
      <c r="DJR2196" s="10"/>
      <c r="DJS2196" s="10"/>
      <c r="DJT2196" s="10"/>
      <c r="DJU2196" s="10"/>
      <c r="DJV2196" s="10"/>
      <c r="DJW2196" s="10"/>
      <c r="DJX2196" s="10"/>
      <c r="DJY2196" s="10"/>
      <c r="DJZ2196" s="10"/>
      <c r="DKA2196" s="10"/>
      <c r="DKB2196" s="10"/>
      <c r="DKC2196" s="10"/>
      <c r="DKD2196" s="10"/>
      <c r="DKE2196" s="10"/>
      <c r="DKF2196" s="10"/>
      <c r="DKG2196" s="10"/>
      <c r="DKH2196" s="10"/>
      <c r="DKI2196" s="10"/>
      <c r="DKJ2196" s="10"/>
      <c r="DKK2196" s="10"/>
      <c r="DKL2196" s="10"/>
      <c r="DKM2196" s="10"/>
      <c r="DKN2196" s="10"/>
      <c r="DKO2196" s="10"/>
      <c r="DKP2196" s="10"/>
      <c r="DKQ2196" s="10"/>
      <c r="DKR2196" s="10"/>
      <c r="DKS2196" s="10"/>
      <c r="DKT2196" s="10"/>
      <c r="DKU2196" s="10"/>
      <c r="DKV2196" s="10"/>
      <c r="DKW2196" s="10"/>
      <c r="DKX2196" s="10"/>
      <c r="DKY2196" s="10"/>
      <c r="DKZ2196" s="10"/>
      <c r="DLA2196" s="10"/>
      <c r="DLB2196" s="10"/>
      <c r="DLC2196" s="10"/>
      <c r="DLD2196" s="10"/>
      <c r="DLE2196" s="10"/>
      <c r="DLF2196" s="10"/>
      <c r="DLG2196" s="10"/>
      <c r="DLH2196" s="10"/>
      <c r="DLI2196" s="10"/>
      <c r="DLJ2196" s="10"/>
      <c r="DLK2196" s="10"/>
      <c r="DLL2196" s="10"/>
      <c r="DLM2196" s="10"/>
      <c r="DLN2196" s="10"/>
      <c r="DLO2196" s="10"/>
      <c r="DLP2196" s="10"/>
      <c r="DLQ2196" s="10"/>
      <c r="DLR2196" s="10"/>
      <c r="DLS2196" s="10"/>
      <c r="DLT2196" s="10"/>
      <c r="DLU2196" s="10"/>
      <c r="DLV2196" s="10"/>
      <c r="DLW2196" s="10"/>
      <c r="DLX2196" s="10"/>
      <c r="DLY2196" s="10"/>
      <c r="DLZ2196" s="10"/>
      <c r="DMA2196" s="10"/>
      <c r="DMB2196" s="10"/>
      <c r="DMC2196" s="10"/>
      <c r="DMD2196" s="10"/>
      <c r="DME2196" s="10"/>
      <c r="DMF2196" s="10"/>
      <c r="DMG2196" s="10"/>
      <c r="DMH2196" s="10"/>
      <c r="DMI2196" s="10"/>
      <c r="DMJ2196" s="10"/>
      <c r="DMK2196" s="10"/>
      <c r="DML2196" s="10"/>
      <c r="DMM2196" s="10"/>
      <c r="DMN2196" s="10"/>
      <c r="DMO2196" s="10"/>
      <c r="DMP2196" s="10"/>
      <c r="DMQ2196" s="10"/>
      <c r="DMR2196" s="10"/>
      <c r="DMS2196" s="10"/>
      <c r="DMT2196" s="10"/>
      <c r="DMU2196" s="10"/>
      <c r="DMV2196" s="10"/>
      <c r="DMW2196" s="10"/>
      <c r="DMX2196" s="10"/>
      <c r="DMY2196" s="10"/>
      <c r="DMZ2196" s="10"/>
      <c r="DNA2196" s="10"/>
      <c r="DNB2196" s="10"/>
      <c r="DNC2196" s="10"/>
      <c r="DND2196" s="10"/>
      <c r="DNE2196" s="10"/>
      <c r="DNF2196" s="10"/>
      <c r="DNG2196" s="10"/>
      <c r="DNH2196" s="10"/>
      <c r="DNI2196" s="10"/>
      <c r="DNJ2196" s="10"/>
      <c r="DNK2196" s="10"/>
      <c r="DNL2196" s="10"/>
      <c r="DNM2196" s="10"/>
      <c r="DNN2196" s="10"/>
      <c r="DNO2196" s="10"/>
      <c r="DNP2196" s="10"/>
      <c r="DNQ2196" s="10"/>
      <c r="DNR2196" s="10"/>
      <c r="DNS2196" s="10"/>
      <c r="DNT2196" s="10"/>
      <c r="DNU2196" s="10"/>
      <c r="DNV2196" s="10"/>
      <c r="DNW2196" s="10"/>
      <c r="DNX2196" s="10"/>
      <c r="DNY2196" s="10"/>
      <c r="DNZ2196" s="10"/>
      <c r="DOA2196" s="10"/>
      <c r="DOB2196" s="10"/>
      <c r="DOC2196" s="10"/>
      <c r="DOD2196" s="10"/>
      <c r="DOE2196" s="10"/>
      <c r="DOF2196" s="10"/>
      <c r="DOG2196" s="10"/>
      <c r="DOH2196" s="10"/>
      <c r="DOI2196" s="10"/>
      <c r="DOJ2196" s="10"/>
      <c r="DOK2196" s="10"/>
      <c r="DOL2196" s="10"/>
      <c r="DOM2196" s="10"/>
      <c r="DON2196" s="10"/>
      <c r="DOO2196" s="10"/>
      <c r="DOP2196" s="10"/>
      <c r="DOQ2196" s="10"/>
      <c r="DOR2196" s="10"/>
      <c r="DOS2196" s="10"/>
      <c r="DOT2196" s="10"/>
      <c r="DOU2196" s="10"/>
      <c r="DOV2196" s="10"/>
      <c r="DOW2196" s="10"/>
      <c r="DOX2196" s="10"/>
      <c r="DOY2196" s="10"/>
      <c r="DOZ2196" s="10"/>
      <c r="DPA2196" s="10"/>
      <c r="DPB2196" s="10"/>
      <c r="DPC2196" s="10"/>
      <c r="DPD2196" s="10"/>
      <c r="DPE2196" s="10"/>
      <c r="DPF2196" s="10"/>
      <c r="DPG2196" s="10"/>
      <c r="DPH2196" s="10"/>
      <c r="DPI2196" s="10"/>
      <c r="DPJ2196" s="10"/>
      <c r="DPK2196" s="10"/>
      <c r="DPL2196" s="10"/>
      <c r="DPM2196" s="10"/>
      <c r="DPN2196" s="10"/>
      <c r="DPO2196" s="10"/>
      <c r="DPP2196" s="10"/>
      <c r="DPQ2196" s="10"/>
      <c r="DPR2196" s="10"/>
      <c r="DPS2196" s="10"/>
      <c r="DPT2196" s="10"/>
      <c r="DPU2196" s="10"/>
      <c r="DPV2196" s="10"/>
      <c r="DPW2196" s="10"/>
      <c r="DPX2196" s="10"/>
      <c r="DPY2196" s="10"/>
      <c r="DPZ2196" s="10"/>
      <c r="DQA2196" s="10"/>
      <c r="DQB2196" s="10"/>
      <c r="DQC2196" s="10"/>
      <c r="DQD2196" s="10"/>
      <c r="DQE2196" s="10"/>
      <c r="DQF2196" s="10"/>
      <c r="DQG2196" s="10"/>
      <c r="DQH2196" s="10"/>
      <c r="DQI2196" s="10"/>
      <c r="DQJ2196" s="10"/>
      <c r="DQK2196" s="10"/>
      <c r="DQL2196" s="10"/>
      <c r="DQM2196" s="10"/>
      <c r="DQN2196" s="10"/>
      <c r="DQO2196" s="10"/>
      <c r="DQP2196" s="10"/>
      <c r="DQQ2196" s="10"/>
      <c r="DQR2196" s="10"/>
      <c r="DQS2196" s="10"/>
      <c r="DQT2196" s="10"/>
      <c r="DQU2196" s="10"/>
      <c r="DQV2196" s="10"/>
      <c r="DQW2196" s="10"/>
      <c r="DQX2196" s="10"/>
      <c r="DQY2196" s="10"/>
      <c r="DQZ2196" s="10"/>
      <c r="DRA2196" s="10"/>
      <c r="DRB2196" s="10"/>
      <c r="DRC2196" s="10"/>
      <c r="DRD2196" s="10"/>
      <c r="DRE2196" s="10"/>
      <c r="DRF2196" s="10"/>
      <c r="DRG2196" s="10"/>
      <c r="DRH2196" s="10"/>
      <c r="DRI2196" s="10"/>
      <c r="DRJ2196" s="10"/>
      <c r="DRK2196" s="10"/>
      <c r="DRL2196" s="10"/>
      <c r="DRM2196" s="10"/>
      <c r="DRN2196" s="10"/>
      <c r="DRO2196" s="10"/>
      <c r="DRP2196" s="10"/>
      <c r="DRQ2196" s="10"/>
      <c r="DRR2196" s="10"/>
      <c r="DRS2196" s="10"/>
      <c r="DRT2196" s="10"/>
      <c r="DRU2196" s="10"/>
      <c r="DRV2196" s="10"/>
      <c r="DRW2196" s="10"/>
      <c r="DRX2196" s="10"/>
      <c r="DRY2196" s="10"/>
      <c r="DRZ2196" s="10"/>
      <c r="DSA2196" s="10"/>
      <c r="DSB2196" s="10"/>
      <c r="DSC2196" s="10"/>
      <c r="DSD2196" s="10"/>
      <c r="DSE2196" s="10"/>
      <c r="DSF2196" s="10"/>
      <c r="DSG2196" s="10"/>
      <c r="DSH2196" s="10"/>
      <c r="DSI2196" s="10"/>
      <c r="DSJ2196" s="10"/>
      <c r="DSK2196" s="10"/>
      <c r="DSL2196" s="10"/>
      <c r="DSM2196" s="10"/>
      <c r="DSN2196" s="10"/>
      <c r="DSO2196" s="10"/>
      <c r="DSP2196" s="10"/>
      <c r="DSQ2196" s="10"/>
      <c r="DSR2196" s="10"/>
      <c r="DSS2196" s="10"/>
      <c r="DST2196" s="10"/>
      <c r="DSU2196" s="10"/>
      <c r="DSV2196" s="10"/>
      <c r="DSW2196" s="10"/>
      <c r="DSX2196" s="10"/>
      <c r="DSY2196" s="10"/>
      <c r="DSZ2196" s="10"/>
      <c r="DTA2196" s="10"/>
      <c r="DTB2196" s="10"/>
      <c r="DTC2196" s="10"/>
      <c r="DTD2196" s="10"/>
      <c r="DTE2196" s="10"/>
      <c r="DTF2196" s="10"/>
      <c r="DTG2196" s="10"/>
      <c r="DTH2196" s="10"/>
      <c r="DTI2196" s="10"/>
      <c r="DTJ2196" s="10"/>
      <c r="DTK2196" s="10"/>
      <c r="DTL2196" s="10"/>
      <c r="DTM2196" s="10"/>
      <c r="DTN2196" s="10"/>
      <c r="DTO2196" s="10"/>
      <c r="DTP2196" s="10"/>
      <c r="DTQ2196" s="10"/>
      <c r="DTR2196" s="10"/>
      <c r="DTS2196" s="10"/>
      <c r="DTT2196" s="10"/>
      <c r="DTU2196" s="10"/>
      <c r="DTV2196" s="10"/>
      <c r="DTW2196" s="10"/>
      <c r="DTX2196" s="10"/>
      <c r="DTY2196" s="10"/>
      <c r="DTZ2196" s="10"/>
      <c r="DUA2196" s="10"/>
      <c r="DUB2196" s="10"/>
      <c r="DUC2196" s="10"/>
      <c r="DUD2196" s="10"/>
      <c r="DUE2196" s="10"/>
      <c r="DUF2196" s="10"/>
      <c r="DUG2196" s="10"/>
      <c r="DUH2196" s="10"/>
      <c r="DUI2196" s="10"/>
      <c r="DUJ2196" s="10"/>
      <c r="DUK2196" s="10"/>
      <c r="DUL2196" s="10"/>
      <c r="DUM2196" s="10"/>
      <c r="DUN2196" s="10"/>
      <c r="DUO2196" s="10"/>
      <c r="DUP2196" s="10"/>
      <c r="DUQ2196" s="10"/>
      <c r="DUR2196" s="10"/>
      <c r="DUS2196" s="10"/>
      <c r="DUT2196" s="10"/>
      <c r="DUU2196" s="10"/>
      <c r="DUV2196" s="10"/>
      <c r="DUW2196" s="10"/>
      <c r="DUX2196" s="10"/>
      <c r="DUY2196" s="10"/>
      <c r="DUZ2196" s="10"/>
      <c r="DVA2196" s="10"/>
      <c r="DVB2196" s="10"/>
      <c r="DVC2196" s="10"/>
      <c r="DVD2196" s="10"/>
      <c r="DVE2196" s="10"/>
      <c r="DVF2196" s="10"/>
      <c r="DVG2196" s="10"/>
      <c r="DVH2196" s="10"/>
      <c r="DVI2196" s="10"/>
      <c r="DVJ2196" s="10"/>
      <c r="DVK2196" s="10"/>
      <c r="DVL2196" s="10"/>
      <c r="DVM2196" s="10"/>
      <c r="DVN2196" s="10"/>
      <c r="DVO2196" s="10"/>
      <c r="DVP2196" s="10"/>
      <c r="DVQ2196" s="10"/>
      <c r="DVR2196" s="10"/>
      <c r="DVS2196" s="10"/>
      <c r="DVT2196" s="10"/>
      <c r="DVU2196" s="10"/>
      <c r="DVV2196" s="10"/>
      <c r="DVW2196" s="10"/>
      <c r="DVX2196" s="10"/>
      <c r="DVY2196" s="10"/>
      <c r="DVZ2196" s="10"/>
      <c r="DWA2196" s="10"/>
      <c r="DWB2196" s="10"/>
      <c r="DWC2196" s="10"/>
      <c r="DWD2196" s="10"/>
      <c r="DWE2196" s="10"/>
      <c r="DWF2196" s="10"/>
      <c r="DWG2196" s="10"/>
      <c r="DWH2196" s="10"/>
      <c r="DWI2196" s="10"/>
      <c r="DWJ2196" s="10"/>
      <c r="DWK2196" s="10"/>
      <c r="DWL2196" s="10"/>
      <c r="DWM2196" s="10"/>
      <c r="DWN2196" s="10"/>
      <c r="DWO2196" s="10"/>
      <c r="DWP2196" s="10"/>
      <c r="DWQ2196" s="10"/>
      <c r="DWR2196" s="10"/>
      <c r="DWS2196" s="10"/>
      <c r="DWT2196" s="10"/>
      <c r="DWU2196" s="10"/>
      <c r="DWV2196" s="10"/>
      <c r="DWW2196" s="10"/>
      <c r="DWX2196" s="10"/>
      <c r="DWY2196" s="10"/>
      <c r="DWZ2196" s="10"/>
      <c r="DXA2196" s="10"/>
      <c r="DXB2196" s="10"/>
      <c r="DXC2196" s="10"/>
      <c r="DXD2196" s="10"/>
      <c r="DXE2196" s="10"/>
      <c r="DXF2196" s="10"/>
      <c r="DXG2196" s="10"/>
      <c r="DXH2196" s="10"/>
      <c r="DXI2196" s="10"/>
      <c r="DXJ2196" s="10"/>
      <c r="DXK2196" s="10"/>
      <c r="DXL2196" s="10"/>
      <c r="DXM2196" s="10"/>
      <c r="DXN2196" s="10"/>
      <c r="DXO2196" s="10"/>
      <c r="DXP2196" s="10"/>
      <c r="DXQ2196" s="10"/>
      <c r="DXR2196" s="10"/>
      <c r="DXS2196" s="10"/>
      <c r="DXT2196" s="10"/>
      <c r="DXU2196" s="10"/>
      <c r="DXV2196" s="10"/>
      <c r="DXW2196" s="10"/>
      <c r="DXX2196" s="10"/>
      <c r="DXY2196" s="10"/>
      <c r="DXZ2196" s="10"/>
      <c r="DYA2196" s="10"/>
      <c r="DYB2196" s="10"/>
      <c r="DYC2196" s="10"/>
      <c r="DYD2196" s="10"/>
      <c r="DYE2196" s="10"/>
      <c r="DYF2196" s="10"/>
      <c r="DYG2196" s="10"/>
      <c r="DYH2196" s="10"/>
      <c r="DYI2196" s="10"/>
      <c r="DYJ2196" s="10"/>
      <c r="DYK2196" s="10"/>
      <c r="DYL2196" s="10"/>
      <c r="DYM2196" s="10"/>
      <c r="DYN2196" s="10"/>
      <c r="DYO2196" s="10"/>
      <c r="DYP2196" s="10"/>
      <c r="DYQ2196" s="10"/>
      <c r="DYR2196" s="10"/>
      <c r="DYS2196" s="10"/>
      <c r="DYT2196" s="10"/>
      <c r="DYU2196" s="10"/>
      <c r="DYV2196" s="10"/>
      <c r="DYW2196" s="10"/>
      <c r="DYX2196" s="10"/>
      <c r="DYY2196" s="10"/>
      <c r="DYZ2196" s="10"/>
      <c r="DZA2196" s="10"/>
      <c r="DZB2196" s="10"/>
      <c r="DZC2196" s="10"/>
      <c r="DZD2196" s="10"/>
      <c r="DZE2196" s="10"/>
      <c r="DZF2196" s="10"/>
      <c r="DZG2196" s="10"/>
      <c r="DZH2196" s="10"/>
      <c r="DZI2196" s="10"/>
      <c r="DZJ2196" s="10"/>
      <c r="DZK2196" s="10"/>
      <c r="DZL2196" s="10"/>
      <c r="DZM2196" s="10"/>
      <c r="DZN2196" s="10"/>
      <c r="DZO2196" s="10"/>
      <c r="DZP2196" s="10"/>
      <c r="DZQ2196" s="10"/>
      <c r="DZR2196" s="10"/>
      <c r="DZS2196" s="10"/>
      <c r="DZT2196" s="10"/>
      <c r="DZU2196" s="10"/>
      <c r="DZV2196" s="10"/>
      <c r="DZW2196" s="10"/>
      <c r="DZX2196" s="10"/>
      <c r="DZY2196" s="10"/>
      <c r="DZZ2196" s="10"/>
      <c r="EAA2196" s="10"/>
      <c r="EAB2196" s="10"/>
      <c r="EAC2196" s="10"/>
      <c r="EAD2196" s="10"/>
      <c r="EAE2196" s="10"/>
      <c r="EAF2196" s="10"/>
      <c r="EAG2196" s="10"/>
      <c r="EAH2196" s="10"/>
      <c r="EAI2196" s="10"/>
      <c r="EAJ2196" s="10"/>
      <c r="EAK2196" s="10"/>
      <c r="EAL2196" s="10"/>
      <c r="EAM2196" s="10"/>
      <c r="EAN2196" s="10"/>
      <c r="EAO2196" s="10"/>
      <c r="EAP2196" s="10"/>
      <c r="EAQ2196" s="10"/>
      <c r="EAR2196" s="10"/>
      <c r="EAS2196" s="10"/>
      <c r="EAT2196" s="10"/>
      <c r="EAU2196" s="10"/>
      <c r="EAV2196" s="10"/>
      <c r="EAW2196" s="10"/>
      <c r="EAX2196" s="10"/>
      <c r="EAY2196" s="10"/>
      <c r="EAZ2196" s="10"/>
      <c r="EBA2196" s="10"/>
      <c r="EBB2196" s="10"/>
      <c r="EBC2196" s="10"/>
      <c r="EBD2196" s="10"/>
      <c r="EBE2196" s="10"/>
      <c r="EBF2196" s="10"/>
      <c r="EBG2196" s="10"/>
      <c r="EBH2196" s="10"/>
      <c r="EBI2196" s="10"/>
      <c r="EBJ2196" s="10"/>
      <c r="EBK2196" s="10"/>
      <c r="EBL2196" s="10"/>
      <c r="EBM2196" s="10"/>
      <c r="EBN2196" s="10"/>
      <c r="EBO2196" s="10"/>
      <c r="EBP2196" s="10"/>
      <c r="EBQ2196" s="10"/>
      <c r="EBR2196" s="10"/>
      <c r="EBS2196" s="10"/>
      <c r="EBT2196" s="10"/>
      <c r="EBU2196" s="10"/>
      <c r="EBV2196" s="10"/>
      <c r="EBW2196" s="10"/>
      <c r="EBX2196" s="10"/>
      <c r="EBY2196" s="10"/>
      <c r="EBZ2196" s="10"/>
      <c r="ECA2196" s="10"/>
      <c r="ECB2196" s="10"/>
      <c r="ECC2196" s="10"/>
      <c r="ECD2196" s="10"/>
      <c r="ECE2196" s="10"/>
      <c r="ECF2196" s="10"/>
      <c r="ECG2196" s="10"/>
      <c r="ECH2196" s="10"/>
      <c r="ECI2196" s="10"/>
      <c r="ECJ2196" s="10"/>
      <c r="ECK2196" s="10"/>
      <c r="ECL2196" s="10"/>
      <c r="ECM2196" s="10"/>
      <c r="ECN2196" s="10"/>
      <c r="ECO2196" s="10"/>
      <c r="ECP2196" s="10"/>
      <c r="ECQ2196" s="10"/>
      <c r="ECR2196" s="10"/>
      <c r="ECS2196" s="10"/>
      <c r="ECT2196" s="10"/>
      <c r="ECU2196" s="10"/>
      <c r="ECV2196" s="10"/>
      <c r="ECW2196" s="10"/>
      <c r="ECX2196" s="10"/>
      <c r="ECY2196" s="10"/>
      <c r="ECZ2196" s="10"/>
      <c r="EDA2196" s="10"/>
      <c r="EDB2196" s="10"/>
      <c r="EDC2196" s="10"/>
      <c r="EDD2196" s="10"/>
      <c r="EDE2196" s="10"/>
      <c r="EDF2196" s="10"/>
      <c r="EDG2196" s="10"/>
      <c r="EDH2196" s="10"/>
      <c r="EDI2196" s="10"/>
      <c r="EDJ2196" s="10"/>
      <c r="EDK2196" s="10"/>
      <c r="EDL2196" s="10"/>
      <c r="EDM2196" s="10"/>
      <c r="EDN2196" s="10"/>
      <c r="EDO2196" s="10"/>
      <c r="EDP2196" s="10"/>
      <c r="EDQ2196" s="10"/>
      <c r="EDR2196" s="10"/>
      <c r="EDS2196" s="10"/>
      <c r="EDT2196" s="10"/>
      <c r="EDU2196" s="10"/>
      <c r="EDV2196" s="10"/>
      <c r="EDW2196" s="10"/>
      <c r="EDX2196" s="10"/>
      <c r="EDY2196" s="10"/>
      <c r="EDZ2196" s="10"/>
      <c r="EEA2196" s="10"/>
      <c r="EEB2196" s="10"/>
      <c r="EEC2196" s="10"/>
      <c r="EED2196" s="10"/>
      <c r="EEE2196" s="10"/>
      <c r="EEF2196" s="10"/>
      <c r="EEG2196" s="10"/>
      <c r="EEH2196" s="10"/>
      <c r="EEI2196" s="10"/>
      <c r="EEJ2196" s="10"/>
      <c r="EEK2196" s="10"/>
      <c r="EEL2196" s="10"/>
      <c r="EEM2196" s="10"/>
      <c r="EEN2196" s="10"/>
      <c r="EEO2196" s="10"/>
      <c r="EEP2196" s="10"/>
      <c r="EEQ2196" s="10"/>
      <c r="EER2196" s="10"/>
      <c r="EES2196" s="10"/>
      <c r="EET2196" s="10"/>
      <c r="EEU2196" s="10"/>
      <c r="EEV2196" s="10"/>
      <c r="EEW2196" s="10"/>
      <c r="EEX2196" s="10"/>
      <c r="EEY2196" s="10"/>
      <c r="EEZ2196" s="10"/>
      <c r="EFA2196" s="10"/>
      <c r="EFB2196" s="10"/>
      <c r="EFC2196" s="10"/>
      <c r="EFD2196" s="10"/>
      <c r="EFE2196" s="10"/>
      <c r="EFF2196" s="10"/>
      <c r="EFG2196" s="10"/>
      <c r="EFH2196" s="10"/>
      <c r="EFI2196" s="10"/>
      <c r="EFJ2196" s="10"/>
      <c r="EFK2196" s="10"/>
      <c r="EFL2196" s="10"/>
      <c r="EFM2196" s="10"/>
      <c r="EFN2196" s="10"/>
      <c r="EFO2196" s="10"/>
      <c r="EFP2196" s="10"/>
      <c r="EFQ2196" s="10"/>
      <c r="EFR2196" s="10"/>
      <c r="EFS2196" s="10"/>
      <c r="EFT2196" s="10"/>
      <c r="EFU2196" s="10"/>
      <c r="EFV2196" s="10"/>
      <c r="EFW2196" s="10"/>
      <c r="EFX2196" s="10"/>
      <c r="EFY2196" s="10"/>
      <c r="EFZ2196" s="10"/>
      <c r="EGA2196" s="10"/>
      <c r="EGB2196" s="10"/>
      <c r="EGC2196" s="10"/>
      <c r="EGD2196" s="10"/>
      <c r="EGE2196" s="10"/>
      <c r="EGF2196" s="10"/>
      <c r="EGG2196" s="10"/>
      <c r="EGH2196" s="10"/>
      <c r="EGI2196" s="10"/>
      <c r="EGJ2196" s="10"/>
      <c r="EGK2196" s="10"/>
      <c r="EGL2196" s="10"/>
      <c r="EGM2196" s="10"/>
      <c r="EGN2196" s="10"/>
      <c r="EGO2196" s="10"/>
      <c r="EGP2196" s="10"/>
      <c r="EGQ2196" s="10"/>
      <c r="EGR2196" s="10"/>
      <c r="EGS2196" s="10"/>
      <c r="EGT2196" s="10"/>
      <c r="EGU2196" s="10"/>
      <c r="EGV2196" s="10"/>
      <c r="EGW2196" s="10"/>
      <c r="EGX2196" s="10"/>
      <c r="EGY2196" s="10"/>
      <c r="EGZ2196" s="10"/>
      <c r="EHA2196" s="10"/>
      <c r="EHB2196" s="10"/>
      <c r="EHC2196" s="10"/>
      <c r="EHD2196" s="10"/>
      <c r="EHE2196" s="10"/>
      <c r="EHF2196" s="10"/>
      <c r="EHG2196" s="10"/>
      <c r="EHH2196" s="10"/>
      <c r="EHI2196" s="10"/>
      <c r="EHJ2196" s="10"/>
      <c r="EHK2196" s="10"/>
      <c r="EHL2196" s="10"/>
      <c r="EHM2196" s="10"/>
      <c r="EHN2196" s="10"/>
      <c r="EHO2196" s="10"/>
      <c r="EHP2196" s="10"/>
      <c r="EHQ2196" s="10"/>
      <c r="EHR2196" s="10"/>
      <c r="EHS2196" s="10"/>
      <c r="EHT2196" s="10"/>
      <c r="EHU2196" s="10"/>
      <c r="EHV2196" s="10"/>
      <c r="EHW2196" s="10"/>
      <c r="EHX2196" s="10"/>
      <c r="EHY2196" s="10"/>
      <c r="EHZ2196" s="10"/>
      <c r="EIA2196" s="10"/>
      <c r="EIB2196" s="10"/>
      <c r="EIC2196" s="10"/>
      <c r="EID2196" s="10"/>
      <c r="EIE2196" s="10"/>
      <c r="EIF2196" s="10"/>
      <c r="EIG2196" s="10"/>
      <c r="EIH2196" s="10"/>
      <c r="EII2196" s="10"/>
      <c r="EIJ2196" s="10"/>
      <c r="EIK2196" s="10"/>
      <c r="EIL2196" s="10"/>
      <c r="EIM2196" s="10"/>
      <c r="EIN2196" s="10"/>
      <c r="EIO2196" s="10"/>
      <c r="EIP2196" s="10"/>
      <c r="EIQ2196" s="10"/>
      <c r="EIR2196" s="10"/>
      <c r="EIS2196" s="10"/>
      <c r="EIT2196" s="10"/>
      <c r="EIU2196" s="10"/>
      <c r="EIV2196" s="10"/>
      <c r="EIW2196" s="10"/>
      <c r="EIX2196" s="10"/>
      <c r="EIY2196" s="10"/>
      <c r="EIZ2196" s="10"/>
      <c r="EJA2196" s="10"/>
      <c r="EJB2196" s="10"/>
      <c r="EJC2196" s="10"/>
      <c r="EJD2196" s="10"/>
      <c r="EJE2196" s="10"/>
      <c r="EJF2196" s="10"/>
      <c r="EJG2196" s="10"/>
      <c r="EJH2196" s="10"/>
      <c r="EJI2196" s="10"/>
      <c r="EJJ2196" s="10"/>
      <c r="EJK2196" s="10"/>
      <c r="EJL2196" s="10"/>
      <c r="EJM2196" s="10"/>
      <c r="EJN2196" s="10"/>
      <c r="EJO2196" s="10"/>
      <c r="EJP2196" s="10"/>
      <c r="EJQ2196" s="10"/>
      <c r="EJR2196" s="10"/>
      <c r="EJS2196" s="10"/>
      <c r="EJT2196" s="10"/>
      <c r="EJU2196" s="10"/>
      <c r="EJV2196" s="10"/>
      <c r="EJW2196" s="10"/>
      <c r="EJX2196" s="10"/>
      <c r="EJY2196" s="10"/>
      <c r="EJZ2196" s="10"/>
      <c r="EKA2196" s="10"/>
      <c r="EKB2196" s="10"/>
      <c r="EKC2196" s="10"/>
      <c r="EKD2196" s="10"/>
      <c r="EKE2196" s="10"/>
      <c r="EKF2196" s="10"/>
      <c r="EKG2196" s="10"/>
      <c r="EKH2196" s="10"/>
      <c r="EKI2196" s="10"/>
      <c r="EKJ2196" s="10"/>
      <c r="EKK2196" s="10"/>
      <c r="EKL2196" s="10"/>
      <c r="EKM2196" s="10"/>
      <c r="EKN2196" s="10"/>
      <c r="EKO2196" s="10"/>
      <c r="EKP2196" s="10"/>
      <c r="EKQ2196" s="10"/>
      <c r="EKR2196" s="10"/>
      <c r="EKS2196" s="10"/>
      <c r="EKT2196" s="10"/>
      <c r="EKU2196" s="10"/>
      <c r="EKV2196" s="10"/>
      <c r="EKW2196" s="10"/>
      <c r="EKX2196" s="10"/>
      <c r="EKY2196" s="10"/>
      <c r="EKZ2196" s="10"/>
      <c r="ELA2196" s="10"/>
      <c r="ELB2196" s="10"/>
      <c r="ELC2196" s="10"/>
      <c r="ELD2196" s="10"/>
      <c r="ELE2196" s="10"/>
      <c r="ELF2196" s="10"/>
      <c r="ELG2196" s="10"/>
      <c r="ELH2196" s="10"/>
      <c r="ELI2196" s="10"/>
      <c r="ELJ2196" s="10"/>
      <c r="ELK2196" s="10"/>
      <c r="ELL2196" s="10"/>
      <c r="ELM2196" s="10"/>
      <c r="ELN2196" s="10"/>
      <c r="ELO2196" s="10"/>
      <c r="ELP2196" s="10"/>
      <c r="ELQ2196" s="10"/>
      <c r="ELR2196" s="10"/>
      <c r="ELS2196" s="10"/>
      <c r="ELT2196" s="10"/>
      <c r="ELU2196" s="10"/>
      <c r="ELV2196" s="10"/>
      <c r="ELW2196" s="10"/>
      <c r="ELX2196" s="10"/>
      <c r="ELY2196" s="10"/>
      <c r="ELZ2196" s="10"/>
      <c r="EMA2196" s="10"/>
      <c r="EMB2196" s="10"/>
      <c r="EMC2196" s="10"/>
      <c r="EMD2196" s="10"/>
      <c r="EME2196" s="10"/>
      <c r="EMF2196" s="10"/>
      <c r="EMG2196" s="10"/>
      <c r="EMH2196" s="10"/>
      <c r="EMI2196" s="10"/>
      <c r="EMJ2196" s="10"/>
      <c r="EMK2196" s="10"/>
      <c r="EML2196" s="10"/>
      <c r="EMM2196" s="10"/>
      <c r="EMN2196" s="10"/>
      <c r="EMO2196" s="10"/>
      <c r="EMP2196" s="10"/>
      <c r="EMQ2196" s="10"/>
      <c r="EMR2196" s="10"/>
      <c r="EMS2196" s="10"/>
      <c r="EMT2196" s="10"/>
      <c r="EMU2196" s="10"/>
      <c r="EMV2196" s="10"/>
      <c r="EMW2196" s="10"/>
      <c r="EMX2196" s="10"/>
      <c r="EMY2196" s="10"/>
      <c r="EMZ2196" s="10"/>
      <c r="ENA2196" s="10"/>
      <c r="ENB2196" s="10"/>
      <c r="ENC2196" s="10"/>
      <c r="END2196" s="10"/>
      <c r="ENE2196" s="10"/>
      <c r="ENF2196" s="10"/>
      <c r="ENG2196" s="10"/>
      <c r="ENH2196" s="10"/>
      <c r="ENI2196" s="10"/>
      <c r="ENJ2196" s="10"/>
      <c r="ENK2196" s="10"/>
      <c r="ENL2196" s="10"/>
      <c r="ENM2196" s="10"/>
      <c r="ENN2196" s="10"/>
      <c r="ENO2196" s="10"/>
      <c r="ENP2196" s="10"/>
      <c r="ENQ2196" s="10"/>
      <c r="ENR2196" s="10"/>
      <c r="ENS2196" s="10"/>
      <c r="ENT2196" s="10"/>
      <c r="ENU2196" s="10"/>
      <c r="ENV2196" s="10"/>
      <c r="ENW2196" s="10"/>
      <c r="ENX2196" s="10"/>
      <c r="ENY2196" s="10"/>
      <c r="ENZ2196" s="10"/>
      <c r="EOA2196" s="10"/>
      <c r="EOB2196" s="10"/>
      <c r="EOC2196" s="10"/>
      <c r="EOD2196" s="10"/>
      <c r="EOE2196" s="10"/>
      <c r="EOF2196" s="10"/>
      <c r="EOG2196" s="10"/>
      <c r="EOH2196" s="10"/>
      <c r="EOI2196" s="10"/>
      <c r="EOJ2196" s="10"/>
      <c r="EOK2196" s="10"/>
      <c r="EOL2196" s="10"/>
      <c r="EOM2196" s="10"/>
      <c r="EON2196" s="10"/>
      <c r="EOO2196" s="10"/>
      <c r="EOP2196" s="10"/>
      <c r="EOQ2196" s="10"/>
      <c r="EOR2196" s="10"/>
      <c r="EOS2196" s="10"/>
      <c r="EOT2196" s="10"/>
      <c r="EOU2196" s="10"/>
      <c r="EOV2196" s="10"/>
      <c r="EOW2196" s="10"/>
      <c r="EOX2196" s="10"/>
      <c r="EOY2196" s="10"/>
      <c r="EOZ2196" s="10"/>
      <c r="EPA2196" s="10"/>
      <c r="EPB2196" s="10"/>
      <c r="EPC2196" s="10"/>
      <c r="EPD2196" s="10"/>
      <c r="EPE2196" s="10"/>
      <c r="EPF2196" s="10"/>
      <c r="EPG2196" s="10"/>
      <c r="EPH2196" s="10"/>
      <c r="EPI2196" s="10"/>
      <c r="EPJ2196" s="10"/>
      <c r="EPK2196" s="10"/>
      <c r="EPL2196" s="10"/>
      <c r="EPM2196" s="10"/>
      <c r="EPN2196" s="10"/>
      <c r="EPO2196" s="10"/>
      <c r="EPP2196" s="10"/>
      <c r="EPQ2196" s="10"/>
      <c r="EPR2196" s="10"/>
      <c r="EPS2196" s="10"/>
      <c r="EPT2196" s="10"/>
      <c r="EPU2196" s="10"/>
      <c r="EPV2196" s="10"/>
      <c r="EPW2196" s="10"/>
      <c r="EPX2196" s="10"/>
      <c r="EPY2196" s="10"/>
      <c r="EPZ2196" s="10"/>
      <c r="EQA2196" s="10"/>
      <c r="EQB2196" s="10"/>
      <c r="EQC2196" s="10"/>
      <c r="EQD2196" s="10"/>
      <c r="EQE2196" s="10"/>
      <c r="EQF2196" s="10"/>
      <c r="EQG2196" s="10"/>
      <c r="EQH2196" s="10"/>
      <c r="EQI2196" s="10"/>
      <c r="EQJ2196" s="10"/>
      <c r="EQK2196" s="10"/>
      <c r="EQL2196" s="10"/>
      <c r="EQM2196" s="10"/>
      <c r="EQN2196" s="10"/>
      <c r="EQO2196" s="10"/>
      <c r="EQP2196" s="10"/>
      <c r="EQQ2196" s="10"/>
      <c r="EQR2196" s="10"/>
      <c r="EQS2196" s="10"/>
      <c r="EQT2196" s="10"/>
      <c r="EQU2196" s="10"/>
      <c r="EQV2196" s="10"/>
      <c r="EQW2196" s="10"/>
      <c r="EQX2196" s="10"/>
      <c r="EQY2196" s="10"/>
      <c r="EQZ2196" s="10"/>
      <c r="ERA2196" s="10"/>
      <c r="ERB2196" s="10"/>
      <c r="ERC2196" s="10"/>
      <c r="ERD2196" s="10"/>
      <c r="ERE2196" s="10"/>
      <c r="ERF2196" s="10"/>
      <c r="ERG2196" s="10"/>
      <c r="ERH2196" s="10"/>
      <c r="ERI2196" s="10"/>
      <c r="ERJ2196" s="10"/>
      <c r="ERK2196" s="10"/>
      <c r="ERL2196" s="10"/>
      <c r="ERM2196" s="10"/>
      <c r="ERN2196" s="10"/>
      <c r="ERO2196" s="10"/>
      <c r="ERP2196" s="10"/>
      <c r="ERQ2196" s="10"/>
      <c r="ERR2196" s="10"/>
      <c r="ERS2196" s="10"/>
      <c r="ERT2196" s="10"/>
      <c r="ERU2196" s="10"/>
      <c r="ERV2196" s="10"/>
      <c r="ERW2196" s="10"/>
      <c r="ERX2196" s="10"/>
      <c r="ERY2196" s="10"/>
      <c r="ERZ2196" s="10"/>
      <c r="ESA2196" s="10"/>
      <c r="ESB2196" s="10"/>
      <c r="ESC2196" s="10"/>
      <c r="ESD2196" s="10"/>
      <c r="ESE2196" s="10"/>
      <c r="ESF2196" s="10"/>
      <c r="ESG2196" s="10"/>
      <c r="ESH2196" s="10"/>
      <c r="ESI2196" s="10"/>
      <c r="ESJ2196" s="10"/>
      <c r="ESK2196" s="10"/>
      <c r="ESL2196" s="10"/>
      <c r="ESM2196" s="10"/>
      <c r="ESN2196" s="10"/>
      <c r="ESO2196" s="10"/>
      <c r="ESP2196" s="10"/>
      <c r="ESQ2196" s="10"/>
      <c r="ESR2196" s="10"/>
      <c r="ESS2196" s="10"/>
      <c r="EST2196" s="10"/>
      <c r="ESU2196" s="10"/>
      <c r="ESV2196" s="10"/>
      <c r="ESW2196" s="10"/>
      <c r="ESX2196" s="10"/>
      <c r="ESY2196" s="10"/>
      <c r="ESZ2196" s="10"/>
      <c r="ETA2196" s="10"/>
      <c r="ETB2196" s="10"/>
      <c r="ETC2196" s="10"/>
      <c r="ETD2196" s="10"/>
      <c r="ETE2196" s="10"/>
      <c r="ETF2196" s="10"/>
      <c r="ETG2196" s="10"/>
      <c r="ETH2196" s="10"/>
      <c r="ETI2196" s="10"/>
      <c r="ETJ2196" s="10"/>
      <c r="ETK2196" s="10"/>
      <c r="ETL2196" s="10"/>
      <c r="ETM2196" s="10"/>
      <c r="ETN2196" s="10"/>
      <c r="ETO2196" s="10"/>
      <c r="ETP2196" s="10"/>
      <c r="ETQ2196" s="10"/>
      <c r="ETR2196" s="10"/>
      <c r="ETS2196" s="10"/>
      <c r="ETT2196" s="10"/>
      <c r="ETU2196" s="10"/>
      <c r="ETV2196" s="10"/>
      <c r="ETW2196" s="10"/>
      <c r="ETX2196" s="10"/>
      <c r="ETY2196" s="10"/>
      <c r="ETZ2196" s="10"/>
      <c r="EUA2196" s="10"/>
      <c r="EUB2196" s="10"/>
      <c r="EUC2196" s="10"/>
      <c r="EUD2196" s="10"/>
      <c r="EUE2196" s="10"/>
      <c r="EUF2196" s="10"/>
      <c r="EUG2196" s="10"/>
      <c r="EUH2196" s="10"/>
      <c r="EUI2196" s="10"/>
      <c r="EUJ2196" s="10"/>
      <c r="EUK2196" s="10"/>
      <c r="EUL2196" s="10"/>
      <c r="EUM2196" s="10"/>
      <c r="EUN2196" s="10"/>
      <c r="EUO2196" s="10"/>
      <c r="EUP2196" s="10"/>
      <c r="EUQ2196" s="10"/>
      <c r="EUR2196" s="10"/>
      <c r="EUS2196" s="10"/>
      <c r="EUT2196" s="10"/>
      <c r="EUU2196" s="10"/>
      <c r="EUV2196" s="10"/>
      <c r="EUW2196" s="10"/>
      <c r="EUX2196" s="10"/>
      <c r="EUY2196" s="10"/>
      <c r="EUZ2196" s="10"/>
      <c r="EVA2196" s="10"/>
      <c r="EVB2196" s="10"/>
      <c r="EVC2196" s="10"/>
      <c r="EVD2196" s="10"/>
      <c r="EVE2196" s="10"/>
      <c r="EVF2196" s="10"/>
      <c r="EVG2196" s="10"/>
      <c r="EVH2196" s="10"/>
      <c r="EVI2196" s="10"/>
      <c r="EVJ2196" s="10"/>
      <c r="EVK2196" s="10"/>
      <c r="EVL2196" s="10"/>
      <c r="EVM2196" s="10"/>
      <c r="EVN2196" s="10"/>
      <c r="EVO2196" s="10"/>
      <c r="EVP2196" s="10"/>
      <c r="EVQ2196" s="10"/>
      <c r="EVR2196" s="10"/>
      <c r="EVS2196" s="10"/>
      <c r="EVT2196" s="10"/>
      <c r="EVU2196" s="10"/>
      <c r="EVV2196" s="10"/>
      <c r="EVW2196" s="10"/>
      <c r="EVX2196" s="10"/>
      <c r="EVY2196" s="10"/>
      <c r="EVZ2196" s="10"/>
      <c r="EWA2196" s="10"/>
      <c r="EWB2196" s="10"/>
      <c r="EWC2196" s="10"/>
      <c r="EWD2196" s="10"/>
      <c r="EWE2196" s="10"/>
      <c r="EWF2196" s="10"/>
      <c r="EWG2196" s="10"/>
      <c r="EWH2196" s="10"/>
      <c r="EWI2196" s="10"/>
      <c r="EWJ2196" s="10"/>
      <c r="EWK2196" s="10"/>
      <c r="EWL2196" s="10"/>
      <c r="EWM2196" s="10"/>
      <c r="EWN2196" s="10"/>
      <c r="EWO2196" s="10"/>
      <c r="EWP2196" s="10"/>
      <c r="EWQ2196" s="10"/>
      <c r="EWR2196" s="10"/>
      <c r="EWS2196" s="10"/>
      <c r="EWT2196" s="10"/>
      <c r="EWU2196" s="10"/>
      <c r="EWV2196" s="10"/>
      <c r="EWW2196" s="10"/>
      <c r="EWX2196" s="10"/>
      <c r="EWY2196" s="10"/>
      <c r="EWZ2196" s="10"/>
      <c r="EXA2196" s="10"/>
      <c r="EXB2196" s="10"/>
      <c r="EXC2196" s="10"/>
      <c r="EXD2196" s="10"/>
      <c r="EXE2196" s="10"/>
      <c r="EXF2196" s="10"/>
      <c r="EXG2196" s="10"/>
      <c r="EXH2196" s="10"/>
      <c r="EXI2196" s="10"/>
      <c r="EXJ2196" s="10"/>
      <c r="EXK2196" s="10"/>
      <c r="EXL2196" s="10"/>
      <c r="EXM2196" s="10"/>
      <c r="EXN2196" s="10"/>
      <c r="EXO2196" s="10"/>
      <c r="EXP2196" s="10"/>
      <c r="EXQ2196" s="10"/>
      <c r="EXR2196" s="10"/>
      <c r="EXS2196" s="10"/>
      <c r="EXT2196" s="10"/>
      <c r="EXU2196" s="10"/>
      <c r="EXV2196" s="10"/>
      <c r="EXW2196" s="10"/>
      <c r="EXX2196" s="10"/>
      <c r="EXY2196" s="10"/>
      <c r="EXZ2196" s="10"/>
      <c r="EYA2196" s="10"/>
      <c r="EYB2196" s="10"/>
      <c r="EYC2196" s="10"/>
      <c r="EYD2196" s="10"/>
      <c r="EYE2196" s="10"/>
      <c r="EYF2196" s="10"/>
      <c r="EYG2196" s="10"/>
      <c r="EYH2196" s="10"/>
      <c r="EYI2196" s="10"/>
      <c r="EYJ2196" s="10"/>
      <c r="EYK2196" s="10"/>
      <c r="EYL2196" s="10"/>
      <c r="EYM2196" s="10"/>
      <c r="EYN2196" s="10"/>
      <c r="EYO2196" s="10"/>
      <c r="EYP2196" s="10"/>
      <c r="EYQ2196" s="10"/>
      <c r="EYR2196" s="10"/>
      <c r="EYS2196" s="10"/>
      <c r="EYT2196" s="10"/>
      <c r="EYU2196" s="10"/>
      <c r="EYV2196" s="10"/>
      <c r="EYW2196" s="10"/>
      <c r="EYX2196" s="10"/>
      <c r="EYY2196" s="10"/>
      <c r="EYZ2196" s="10"/>
      <c r="EZA2196" s="10"/>
      <c r="EZB2196" s="10"/>
      <c r="EZC2196" s="10"/>
      <c r="EZD2196" s="10"/>
      <c r="EZE2196" s="10"/>
      <c r="EZF2196" s="10"/>
      <c r="EZG2196" s="10"/>
      <c r="EZH2196" s="10"/>
      <c r="EZI2196" s="10"/>
      <c r="EZJ2196" s="10"/>
      <c r="EZK2196" s="10"/>
      <c r="EZL2196" s="10"/>
      <c r="EZM2196" s="10"/>
      <c r="EZN2196" s="10"/>
      <c r="EZO2196" s="10"/>
      <c r="EZP2196" s="10"/>
      <c r="EZQ2196" s="10"/>
      <c r="EZR2196" s="10"/>
      <c r="EZS2196" s="10"/>
      <c r="EZT2196" s="10"/>
      <c r="EZU2196" s="10"/>
      <c r="EZV2196" s="10"/>
      <c r="EZW2196" s="10"/>
      <c r="EZX2196" s="10"/>
      <c r="EZY2196" s="10"/>
      <c r="EZZ2196" s="10"/>
      <c r="FAA2196" s="10"/>
      <c r="FAB2196" s="10"/>
      <c r="FAC2196" s="10"/>
      <c r="FAD2196" s="10"/>
      <c r="FAE2196" s="10"/>
      <c r="FAF2196" s="10"/>
      <c r="FAG2196" s="10"/>
      <c r="FAH2196" s="10"/>
      <c r="FAI2196" s="10"/>
      <c r="FAJ2196" s="10"/>
      <c r="FAK2196" s="10"/>
      <c r="FAL2196" s="10"/>
      <c r="FAM2196" s="10"/>
      <c r="FAN2196" s="10"/>
      <c r="FAO2196" s="10"/>
      <c r="FAP2196" s="10"/>
      <c r="FAQ2196" s="10"/>
      <c r="FAR2196" s="10"/>
      <c r="FAS2196" s="10"/>
      <c r="FAT2196" s="10"/>
      <c r="FAU2196" s="10"/>
      <c r="FAV2196" s="10"/>
      <c r="FAW2196" s="10"/>
      <c r="FAX2196" s="10"/>
      <c r="FAY2196" s="10"/>
      <c r="FAZ2196" s="10"/>
      <c r="FBA2196" s="10"/>
      <c r="FBB2196" s="10"/>
      <c r="FBC2196" s="10"/>
      <c r="FBD2196" s="10"/>
      <c r="FBE2196" s="10"/>
      <c r="FBF2196" s="10"/>
      <c r="FBG2196" s="10"/>
      <c r="FBH2196" s="10"/>
      <c r="FBI2196" s="10"/>
      <c r="FBJ2196" s="10"/>
      <c r="FBK2196" s="10"/>
      <c r="FBL2196" s="10"/>
      <c r="FBM2196" s="10"/>
      <c r="FBN2196" s="10"/>
      <c r="FBO2196" s="10"/>
      <c r="FBP2196" s="10"/>
      <c r="FBQ2196" s="10"/>
      <c r="FBR2196" s="10"/>
      <c r="FBS2196" s="10"/>
      <c r="FBT2196" s="10"/>
      <c r="FBU2196" s="10"/>
      <c r="FBV2196" s="10"/>
      <c r="FBW2196" s="10"/>
      <c r="FBX2196" s="10"/>
      <c r="FBY2196" s="10"/>
      <c r="FBZ2196" s="10"/>
      <c r="FCA2196" s="10"/>
      <c r="FCB2196" s="10"/>
      <c r="FCC2196" s="10"/>
      <c r="FCD2196" s="10"/>
      <c r="FCE2196" s="10"/>
      <c r="FCF2196" s="10"/>
      <c r="FCG2196" s="10"/>
      <c r="FCH2196" s="10"/>
      <c r="FCI2196" s="10"/>
      <c r="FCJ2196" s="10"/>
      <c r="FCK2196" s="10"/>
      <c r="FCL2196" s="10"/>
      <c r="FCM2196" s="10"/>
      <c r="FCN2196" s="10"/>
      <c r="FCO2196" s="10"/>
      <c r="FCP2196" s="10"/>
      <c r="FCQ2196" s="10"/>
      <c r="FCR2196" s="10"/>
      <c r="FCS2196" s="10"/>
      <c r="FCT2196" s="10"/>
      <c r="FCU2196" s="10"/>
      <c r="FCV2196" s="10"/>
      <c r="FCW2196" s="10"/>
      <c r="FCX2196" s="10"/>
      <c r="FCY2196" s="10"/>
      <c r="FCZ2196" s="10"/>
      <c r="FDA2196" s="10"/>
      <c r="FDB2196" s="10"/>
      <c r="FDC2196" s="10"/>
      <c r="FDD2196" s="10"/>
      <c r="FDE2196" s="10"/>
      <c r="FDF2196" s="10"/>
      <c r="FDG2196" s="10"/>
      <c r="FDH2196" s="10"/>
      <c r="FDI2196" s="10"/>
      <c r="FDJ2196" s="10"/>
      <c r="FDK2196" s="10"/>
      <c r="FDL2196" s="10"/>
      <c r="FDM2196" s="10"/>
      <c r="FDN2196" s="10"/>
      <c r="FDO2196" s="10"/>
      <c r="FDP2196" s="10"/>
      <c r="FDQ2196" s="10"/>
      <c r="FDR2196" s="10"/>
      <c r="FDS2196" s="10"/>
      <c r="FDT2196" s="10"/>
      <c r="FDU2196" s="10"/>
      <c r="FDV2196" s="10"/>
      <c r="FDW2196" s="10"/>
      <c r="FDX2196" s="10"/>
      <c r="FDY2196" s="10"/>
      <c r="FDZ2196" s="10"/>
      <c r="FEA2196" s="10"/>
      <c r="FEB2196" s="10"/>
      <c r="FEC2196" s="10"/>
      <c r="FED2196" s="10"/>
      <c r="FEE2196" s="10"/>
      <c r="FEF2196" s="10"/>
      <c r="FEG2196" s="10"/>
      <c r="FEH2196" s="10"/>
      <c r="FEI2196" s="10"/>
      <c r="FEJ2196" s="10"/>
      <c r="FEK2196" s="10"/>
      <c r="FEL2196" s="10"/>
      <c r="FEM2196" s="10"/>
      <c r="FEN2196" s="10"/>
      <c r="FEO2196" s="10"/>
      <c r="FEP2196" s="10"/>
      <c r="FEQ2196" s="10"/>
      <c r="FER2196" s="10"/>
      <c r="FES2196" s="10"/>
      <c r="FET2196" s="10"/>
      <c r="FEU2196" s="10"/>
      <c r="FEV2196" s="10"/>
      <c r="FEW2196" s="10"/>
      <c r="FEX2196" s="10"/>
      <c r="FEY2196" s="10"/>
      <c r="FEZ2196" s="10"/>
      <c r="FFA2196" s="10"/>
      <c r="FFB2196" s="10"/>
      <c r="FFC2196" s="10"/>
      <c r="FFD2196" s="10"/>
      <c r="FFE2196" s="10"/>
      <c r="FFF2196" s="10"/>
      <c r="FFG2196" s="10"/>
      <c r="FFH2196" s="10"/>
      <c r="FFI2196" s="10"/>
      <c r="FFJ2196" s="10"/>
      <c r="FFK2196" s="10"/>
      <c r="FFL2196" s="10"/>
      <c r="FFM2196" s="10"/>
      <c r="FFN2196" s="10"/>
      <c r="FFO2196" s="10"/>
      <c r="FFP2196" s="10"/>
      <c r="FFQ2196" s="10"/>
      <c r="FFR2196" s="10"/>
      <c r="FFS2196" s="10"/>
      <c r="FFT2196" s="10"/>
      <c r="FFU2196" s="10"/>
      <c r="FFV2196" s="10"/>
      <c r="FFW2196" s="10"/>
      <c r="FFX2196" s="10"/>
      <c r="FFY2196" s="10"/>
      <c r="FFZ2196" s="10"/>
      <c r="FGA2196" s="10"/>
      <c r="FGB2196" s="10"/>
      <c r="FGC2196" s="10"/>
      <c r="FGD2196" s="10"/>
      <c r="FGE2196" s="10"/>
      <c r="FGF2196" s="10"/>
      <c r="FGG2196" s="10"/>
      <c r="FGH2196" s="10"/>
      <c r="FGI2196" s="10"/>
      <c r="FGJ2196" s="10"/>
      <c r="FGK2196" s="10"/>
      <c r="FGL2196" s="10"/>
      <c r="FGM2196" s="10"/>
      <c r="FGN2196" s="10"/>
      <c r="FGO2196" s="10"/>
      <c r="FGP2196" s="10"/>
      <c r="FGQ2196" s="10"/>
      <c r="FGR2196" s="10"/>
      <c r="FGS2196" s="10"/>
      <c r="FGT2196" s="10"/>
      <c r="FGU2196" s="10"/>
      <c r="FGV2196" s="10"/>
      <c r="FGW2196" s="10"/>
      <c r="FGX2196" s="10"/>
      <c r="FGY2196" s="10"/>
      <c r="FGZ2196" s="10"/>
      <c r="FHA2196" s="10"/>
      <c r="FHB2196" s="10"/>
      <c r="FHC2196" s="10"/>
      <c r="FHD2196" s="10"/>
      <c r="FHE2196" s="10"/>
      <c r="FHF2196" s="10"/>
      <c r="FHG2196" s="10"/>
      <c r="FHH2196" s="10"/>
      <c r="FHI2196" s="10"/>
      <c r="FHJ2196" s="10"/>
      <c r="FHK2196" s="10"/>
      <c r="FHL2196" s="10"/>
      <c r="FHM2196" s="10"/>
      <c r="FHN2196" s="10"/>
      <c r="FHO2196" s="10"/>
      <c r="FHP2196" s="10"/>
      <c r="FHQ2196" s="10"/>
      <c r="FHR2196" s="10"/>
      <c r="FHS2196" s="10"/>
      <c r="FHT2196" s="10"/>
      <c r="FHU2196" s="10"/>
      <c r="FHV2196" s="10"/>
      <c r="FHW2196" s="10"/>
      <c r="FHX2196" s="10"/>
      <c r="FHY2196" s="10"/>
      <c r="FHZ2196" s="10"/>
      <c r="FIA2196" s="10"/>
      <c r="FIB2196" s="10"/>
      <c r="FIC2196" s="10"/>
      <c r="FID2196" s="10"/>
      <c r="FIE2196" s="10"/>
      <c r="FIF2196" s="10"/>
      <c r="FIG2196" s="10"/>
      <c r="FIH2196" s="10"/>
      <c r="FII2196" s="10"/>
      <c r="FIJ2196" s="10"/>
      <c r="FIK2196" s="10"/>
      <c r="FIL2196" s="10"/>
      <c r="FIM2196" s="10"/>
      <c r="FIN2196" s="10"/>
      <c r="FIO2196" s="10"/>
      <c r="FIP2196" s="10"/>
      <c r="FIQ2196" s="10"/>
      <c r="FIR2196" s="10"/>
      <c r="FIS2196" s="10"/>
      <c r="FIT2196" s="10"/>
      <c r="FIU2196" s="10"/>
      <c r="FIV2196" s="10"/>
      <c r="FIW2196" s="10"/>
      <c r="FIX2196" s="10"/>
      <c r="FIY2196" s="10"/>
      <c r="FIZ2196" s="10"/>
      <c r="FJA2196" s="10"/>
      <c r="FJB2196" s="10"/>
      <c r="FJC2196" s="10"/>
      <c r="FJD2196" s="10"/>
      <c r="FJE2196" s="10"/>
      <c r="FJF2196" s="10"/>
      <c r="FJG2196" s="10"/>
      <c r="FJH2196" s="10"/>
      <c r="FJI2196" s="10"/>
      <c r="FJJ2196" s="10"/>
      <c r="FJK2196" s="10"/>
      <c r="FJL2196" s="10"/>
      <c r="FJM2196" s="10"/>
      <c r="FJN2196" s="10"/>
      <c r="FJO2196" s="10"/>
      <c r="FJP2196" s="10"/>
      <c r="FJQ2196" s="10"/>
      <c r="FJR2196" s="10"/>
      <c r="FJS2196" s="10"/>
      <c r="FJT2196" s="10"/>
      <c r="FJU2196" s="10"/>
      <c r="FJV2196" s="10"/>
      <c r="FJW2196" s="10"/>
      <c r="FJX2196" s="10"/>
      <c r="FJY2196" s="10"/>
      <c r="FJZ2196" s="10"/>
      <c r="FKA2196" s="10"/>
      <c r="FKB2196" s="10"/>
      <c r="FKC2196" s="10"/>
      <c r="FKD2196" s="10"/>
      <c r="FKE2196" s="10"/>
      <c r="FKF2196" s="10"/>
      <c r="FKG2196" s="10"/>
      <c r="FKH2196" s="10"/>
      <c r="FKI2196" s="10"/>
      <c r="FKJ2196" s="10"/>
      <c r="FKK2196" s="10"/>
      <c r="FKL2196" s="10"/>
      <c r="FKM2196" s="10"/>
      <c r="FKN2196" s="10"/>
      <c r="FKO2196" s="10"/>
      <c r="FKP2196" s="10"/>
      <c r="FKQ2196" s="10"/>
      <c r="FKR2196" s="10"/>
      <c r="FKS2196" s="10"/>
      <c r="FKT2196" s="10"/>
      <c r="FKU2196" s="10"/>
      <c r="FKV2196" s="10"/>
      <c r="FKW2196" s="10"/>
      <c r="FKX2196" s="10"/>
      <c r="FKY2196" s="10"/>
      <c r="FKZ2196" s="10"/>
      <c r="FLA2196" s="10"/>
      <c r="FLB2196" s="10"/>
      <c r="FLC2196" s="10"/>
      <c r="FLD2196" s="10"/>
      <c r="FLE2196" s="10"/>
      <c r="FLF2196" s="10"/>
      <c r="FLG2196" s="10"/>
      <c r="FLH2196" s="10"/>
      <c r="FLI2196" s="10"/>
      <c r="FLJ2196" s="10"/>
      <c r="FLK2196" s="10"/>
      <c r="FLL2196" s="10"/>
      <c r="FLM2196" s="10"/>
      <c r="FLN2196" s="10"/>
      <c r="FLO2196" s="10"/>
      <c r="FLP2196" s="10"/>
      <c r="FLQ2196" s="10"/>
      <c r="FLR2196" s="10"/>
      <c r="FLS2196" s="10"/>
      <c r="FLT2196" s="10"/>
      <c r="FLU2196" s="10"/>
      <c r="FLV2196" s="10"/>
      <c r="FLW2196" s="10"/>
      <c r="FLX2196" s="10"/>
      <c r="FLY2196" s="10"/>
      <c r="FLZ2196" s="10"/>
      <c r="FMA2196" s="10"/>
      <c r="FMB2196" s="10"/>
      <c r="FMC2196" s="10"/>
      <c r="FMD2196" s="10"/>
      <c r="FME2196" s="10"/>
      <c r="FMF2196" s="10"/>
      <c r="FMG2196" s="10"/>
      <c r="FMH2196" s="10"/>
      <c r="FMI2196" s="10"/>
      <c r="FMJ2196" s="10"/>
      <c r="FMK2196" s="10"/>
      <c r="FML2196" s="10"/>
      <c r="FMM2196" s="10"/>
      <c r="FMN2196" s="10"/>
      <c r="FMO2196" s="10"/>
      <c r="FMP2196" s="10"/>
      <c r="FMQ2196" s="10"/>
      <c r="FMR2196" s="10"/>
      <c r="FMS2196" s="10"/>
      <c r="FMT2196" s="10"/>
      <c r="FMU2196" s="10"/>
      <c r="FMV2196" s="10"/>
      <c r="FMW2196" s="10"/>
      <c r="FMX2196" s="10"/>
      <c r="FMY2196" s="10"/>
      <c r="FMZ2196" s="10"/>
      <c r="FNA2196" s="10"/>
      <c r="FNB2196" s="10"/>
      <c r="FNC2196" s="10"/>
      <c r="FND2196" s="10"/>
      <c r="FNE2196" s="10"/>
      <c r="FNF2196" s="10"/>
      <c r="FNG2196" s="10"/>
      <c r="FNH2196" s="10"/>
      <c r="FNI2196" s="10"/>
      <c r="FNJ2196" s="10"/>
      <c r="FNK2196" s="10"/>
      <c r="FNL2196" s="10"/>
      <c r="FNM2196" s="10"/>
      <c r="FNN2196" s="10"/>
      <c r="FNO2196" s="10"/>
      <c r="FNP2196" s="10"/>
      <c r="FNQ2196" s="10"/>
      <c r="FNR2196" s="10"/>
      <c r="FNS2196" s="10"/>
      <c r="FNT2196" s="10"/>
      <c r="FNU2196" s="10"/>
      <c r="FNV2196" s="10"/>
      <c r="FNW2196" s="10"/>
      <c r="FNX2196" s="10"/>
      <c r="FNY2196" s="10"/>
      <c r="FNZ2196" s="10"/>
      <c r="FOA2196" s="10"/>
      <c r="FOB2196" s="10"/>
      <c r="FOC2196" s="10"/>
      <c r="FOD2196" s="10"/>
      <c r="FOE2196" s="10"/>
      <c r="FOF2196" s="10"/>
      <c r="FOG2196" s="10"/>
      <c r="FOH2196" s="10"/>
      <c r="FOI2196" s="10"/>
      <c r="FOJ2196" s="10"/>
      <c r="FOK2196" s="10"/>
      <c r="FOL2196" s="10"/>
      <c r="FOM2196" s="10"/>
      <c r="FON2196" s="10"/>
      <c r="FOO2196" s="10"/>
      <c r="FOP2196" s="10"/>
      <c r="FOQ2196" s="10"/>
      <c r="FOR2196" s="10"/>
      <c r="FOS2196" s="10"/>
      <c r="FOT2196" s="10"/>
      <c r="FOU2196" s="10"/>
      <c r="FOV2196" s="10"/>
      <c r="FOW2196" s="10"/>
      <c r="FOX2196" s="10"/>
      <c r="FOY2196" s="10"/>
      <c r="FOZ2196" s="10"/>
      <c r="FPA2196" s="10"/>
      <c r="FPB2196" s="10"/>
      <c r="FPC2196" s="10"/>
      <c r="FPD2196" s="10"/>
      <c r="FPE2196" s="10"/>
      <c r="FPF2196" s="10"/>
      <c r="FPG2196" s="10"/>
      <c r="FPH2196" s="10"/>
      <c r="FPI2196" s="10"/>
      <c r="FPJ2196" s="10"/>
      <c r="FPK2196" s="10"/>
      <c r="FPL2196" s="10"/>
      <c r="FPM2196" s="10"/>
      <c r="FPN2196" s="10"/>
      <c r="FPO2196" s="10"/>
      <c r="FPP2196" s="10"/>
      <c r="FPQ2196" s="10"/>
      <c r="FPR2196" s="10"/>
      <c r="FPS2196" s="10"/>
      <c r="FPT2196" s="10"/>
      <c r="FPU2196" s="10"/>
      <c r="FPV2196" s="10"/>
      <c r="FPW2196" s="10"/>
      <c r="FPX2196" s="10"/>
      <c r="FPY2196" s="10"/>
      <c r="FPZ2196" s="10"/>
      <c r="FQA2196" s="10"/>
      <c r="FQB2196" s="10"/>
      <c r="FQC2196" s="10"/>
      <c r="FQD2196" s="10"/>
      <c r="FQE2196" s="10"/>
      <c r="FQF2196" s="10"/>
      <c r="FQG2196" s="10"/>
      <c r="FQH2196" s="10"/>
      <c r="FQI2196" s="10"/>
      <c r="FQJ2196" s="10"/>
      <c r="FQK2196" s="10"/>
      <c r="FQL2196" s="10"/>
      <c r="FQM2196" s="10"/>
      <c r="FQN2196" s="10"/>
      <c r="FQO2196" s="10"/>
      <c r="FQP2196" s="10"/>
      <c r="FQQ2196" s="10"/>
      <c r="FQR2196" s="10"/>
      <c r="FQS2196" s="10"/>
      <c r="FQT2196" s="10"/>
      <c r="FQU2196" s="10"/>
      <c r="FQV2196" s="10"/>
      <c r="FQW2196" s="10"/>
      <c r="FQX2196" s="10"/>
      <c r="FQY2196" s="10"/>
      <c r="FQZ2196" s="10"/>
      <c r="FRA2196" s="10"/>
      <c r="FRB2196" s="10"/>
      <c r="FRC2196" s="10"/>
      <c r="FRD2196" s="10"/>
      <c r="FRE2196" s="10"/>
      <c r="FRF2196" s="10"/>
      <c r="FRG2196" s="10"/>
      <c r="FRH2196" s="10"/>
      <c r="FRI2196" s="10"/>
      <c r="FRJ2196" s="10"/>
      <c r="FRK2196" s="10"/>
      <c r="FRL2196" s="10"/>
      <c r="FRM2196" s="10"/>
      <c r="FRN2196" s="10"/>
      <c r="FRO2196" s="10"/>
      <c r="FRP2196" s="10"/>
      <c r="FRQ2196" s="10"/>
      <c r="FRR2196" s="10"/>
      <c r="FRS2196" s="10"/>
      <c r="FRT2196" s="10"/>
      <c r="FRU2196" s="10"/>
      <c r="FRV2196" s="10"/>
      <c r="FRW2196" s="10"/>
      <c r="FRX2196" s="10"/>
      <c r="FRY2196" s="10"/>
      <c r="FRZ2196" s="10"/>
      <c r="FSA2196" s="10"/>
      <c r="FSB2196" s="10"/>
      <c r="FSC2196" s="10"/>
      <c r="FSD2196" s="10"/>
      <c r="FSE2196" s="10"/>
      <c r="FSF2196" s="10"/>
      <c r="FSG2196" s="10"/>
      <c r="FSH2196" s="10"/>
      <c r="FSI2196" s="10"/>
      <c r="FSJ2196" s="10"/>
      <c r="FSK2196" s="10"/>
      <c r="FSL2196" s="10"/>
      <c r="FSM2196" s="10"/>
      <c r="FSN2196" s="10"/>
      <c r="FSO2196" s="10"/>
      <c r="FSP2196" s="10"/>
      <c r="FSQ2196" s="10"/>
      <c r="FSR2196" s="10"/>
      <c r="FSS2196" s="10"/>
      <c r="FST2196" s="10"/>
      <c r="FSU2196" s="10"/>
      <c r="FSV2196" s="10"/>
      <c r="FSW2196" s="10"/>
      <c r="FSX2196" s="10"/>
      <c r="FSY2196" s="10"/>
      <c r="FSZ2196" s="10"/>
      <c r="FTA2196" s="10"/>
      <c r="FTB2196" s="10"/>
      <c r="FTC2196" s="10"/>
      <c r="FTD2196" s="10"/>
      <c r="FTE2196" s="10"/>
      <c r="FTF2196" s="10"/>
      <c r="FTG2196" s="10"/>
      <c r="FTH2196" s="10"/>
      <c r="FTI2196" s="10"/>
      <c r="FTJ2196" s="10"/>
      <c r="FTK2196" s="10"/>
      <c r="FTL2196" s="10"/>
      <c r="FTM2196" s="10"/>
      <c r="FTN2196" s="10"/>
      <c r="FTO2196" s="10"/>
      <c r="FTP2196" s="10"/>
      <c r="FTQ2196" s="10"/>
      <c r="FTR2196" s="10"/>
      <c r="FTS2196" s="10"/>
      <c r="FTT2196" s="10"/>
      <c r="FTU2196" s="10"/>
      <c r="FTV2196" s="10"/>
      <c r="FTW2196" s="10"/>
      <c r="FTX2196" s="10"/>
      <c r="FTY2196" s="10"/>
      <c r="FTZ2196" s="10"/>
      <c r="FUA2196" s="10"/>
      <c r="FUB2196" s="10"/>
      <c r="FUC2196" s="10"/>
      <c r="FUD2196" s="10"/>
      <c r="FUE2196" s="10"/>
      <c r="FUF2196" s="10"/>
      <c r="FUG2196" s="10"/>
      <c r="FUH2196" s="10"/>
      <c r="FUI2196" s="10"/>
      <c r="FUJ2196" s="10"/>
      <c r="FUK2196" s="10"/>
      <c r="FUL2196" s="10"/>
      <c r="FUM2196" s="10"/>
      <c r="FUN2196" s="10"/>
      <c r="FUO2196" s="10"/>
      <c r="FUP2196" s="10"/>
      <c r="FUQ2196" s="10"/>
      <c r="FUR2196" s="10"/>
      <c r="FUS2196" s="10"/>
      <c r="FUT2196" s="10"/>
      <c r="FUU2196" s="10"/>
      <c r="FUV2196" s="10"/>
      <c r="FUW2196" s="10"/>
      <c r="FUX2196" s="10"/>
      <c r="FUY2196" s="10"/>
      <c r="FUZ2196" s="10"/>
      <c r="FVA2196" s="10"/>
      <c r="FVB2196" s="10"/>
      <c r="FVC2196" s="10"/>
      <c r="FVD2196" s="10"/>
      <c r="FVE2196" s="10"/>
      <c r="FVF2196" s="10"/>
      <c r="FVG2196" s="10"/>
      <c r="FVH2196" s="10"/>
      <c r="FVI2196" s="10"/>
      <c r="FVJ2196" s="10"/>
      <c r="FVK2196" s="10"/>
      <c r="FVL2196" s="10"/>
      <c r="FVM2196" s="10"/>
      <c r="FVN2196" s="10"/>
      <c r="FVO2196" s="10"/>
      <c r="FVP2196" s="10"/>
      <c r="FVQ2196" s="10"/>
      <c r="FVR2196" s="10"/>
      <c r="FVS2196" s="10"/>
      <c r="FVT2196" s="10"/>
      <c r="FVU2196" s="10"/>
      <c r="FVV2196" s="10"/>
      <c r="FVW2196" s="10"/>
      <c r="FVX2196" s="10"/>
      <c r="FVY2196" s="10"/>
      <c r="FVZ2196" s="10"/>
      <c r="FWA2196" s="10"/>
      <c r="FWB2196" s="10"/>
      <c r="FWC2196" s="10"/>
      <c r="FWD2196" s="10"/>
      <c r="FWE2196" s="10"/>
      <c r="FWF2196" s="10"/>
      <c r="FWG2196" s="10"/>
      <c r="FWH2196" s="10"/>
      <c r="FWI2196" s="10"/>
      <c r="FWJ2196" s="10"/>
      <c r="FWK2196" s="10"/>
      <c r="FWL2196" s="10"/>
      <c r="FWM2196" s="10"/>
      <c r="FWN2196" s="10"/>
      <c r="FWO2196" s="10"/>
      <c r="FWP2196" s="10"/>
      <c r="FWQ2196" s="10"/>
      <c r="FWR2196" s="10"/>
      <c r="FWS2196" s="10"/>
      <c r="FWT2196" s="10"/>
      <c r="FWU2196" s="10"/>
      <c r="FWV2196" s="10"/>
      <c r="FWW2196" s="10"/>
      <c r="FWX2196" s="10"/>
      <c r="FWY2196" s="10"/>
      <c r="FWZ2196" s="10"/>
      <c r="FXA2196" s="10"/>
      <c r="FXB2196" s="10"/>
      <c r="FXC2196" s="10"/>
      <c r="FXD2196" s="10"/>
      <c r="FXE2196" s="10"/>
      <c r="FXF2196" s="10"/>
      <c r="FXG2196" s="10"/>
      <c r="FXH2196" s="10"/>
      <c r="FXI2196" s="10"/>
      <c r="FXJ2196" s="10"/>
      <c r="FXK2196" s="10"/>
      <c r="FXL2196" s="10"/>
      <c r="FXM2196" s="10"/>
      <c r="FXN2196" s="10"/>
      <c r="FXO2196" s="10"/>
      <c r="FXP2196" s="10"/>
      <c r="FXQ2196" s="10"/>
      <c r="FXR2196" s="10"/>
      <c r="FXS2196" s="10"/>
      <c r="FXT2196" s="10"/>
      <c r="FXU2196" s="10"/>
      <c r="FXV2196" s="10"/>
      <c r="FXW2196" s="10"/>
      <c r="FXX2196" s="10"/>
      <c r="FXY2196" s="10"/>
      <c r="FXZ2196" s="10"/>
      <c r="FYA2196" s="10"/>
      <c r="FYB2196" s="10"/>
      <c r="FYC2196" s="10"/>
      <c r="FYD2196" s="10"/>
      <c r="FYE2196" s="10"/>
      <c r="FYF2196" s="10"/>
      <c r="FYG2196" s="10"/>
      <c r="FYH2196" s="10"/>
      <c r="FYI2196" s="10"/>
      <c r="FYJ2196" s="10"/>
      <c r="FYK2196" s="10"/>
      <c r="FYL2196" s="10"/>
      <c r="FYM2196" s="10"/>
      <c r="FYN2196" s="10"/>
      <c r="FYO2196" s="10"/>
      <c r="FYP2196" s="10"/>
      <c r="FYQ2196" s="10"/>
      <c r="FYR2196" s="10"/>
      <c r="FYS2196" s="10"/>
      <c r="FYT2196" s="10"/>
      <c r="FYU2196" s="10"/>
      <c r="FYV2196" s="10"/>
      <c r="FYW2196" s="10"/>
      <c r="FYX2196" s="10"/>
      <c r="FYY2196" s="10"/>
      <c r="FYZ2196" s="10"/>
      <c r="FZA2196" s="10"/>
      <c r="FZB2196" s="10"/>
      <c r="FZC2196" s="10"/>
      <c r="FZD2196" s="10"/>
      <c r="FZE2196" s="10"/>
      <c r="FZF2196" s="10"/>
      <c r="FZG2196" s="10"/>
      <c r="FZH2196" s="10"/>
      <c r="FZI2196" s="10"/>
      <c r="FZJ2196" s="10"/>
      <c r="FZK2196" s="10"/>
      <c r="FZL2196" s="10"/>
      <c r="FZM2196" s="10"/>
      <c r="FZN2196" s="10"/>
      <c r="FZO2196" s="10"/>
      <c r="FZP2196" s="10"/>
      <c r="FZQ2196" s="10"/>
      <c r="FZR2196" s="10"/>
      <c r="FZS2196" s="10"/>
      <c r="FZT2196" s="10"/>
      <c r="FZU2196" s="10"/>
      <c r="FZV2196" s="10"/>
      <c r="FZW2196" s="10"/>
      <c r="FZX2196" s="10"/>
      <c r="FZY2196" s="10"/>
      <c r="FZZ2196" s="10"/>
      <c r="GAA2196" s="10"/>
      <c r="GAB2196" s="10"/>
      <c r="GAC2196" s="10"/>
      <c r="GAD2196" s="10"/>
      <c r="GAE2196" s="10"/>
      <c r="GAF2196" s="10"/>
      <c r="GAG2196" s="10"/>
      <c r="GAH2196" s="10"/>
      <c r="GAI2196" s="10"/>
      <c r="GAJ2196" s="10"/>
      <c r="GAK2196" s="10"/>
      <c r="GAL2196" s="10"/>
      <c r="GAM2196" s="10"/>
      <c r="GAN2196" s="10"/>
      <c r="GAO2196" s="10"/>
      <c r="GAP2196" s="10"/>
      <c r="GAQ2196" s="10"/>
      <c r="GAR2196" s="10"/>
      <c r="GAS2196" s="10"/>
      <c r="GAT2196" s="10"/>
      <c r="GAU2196" s="10"/>
      <c r="GAV2196" s="10"/>
      <c r="GAW2196" s="10"/>
      <c r="GAX2196" s="10"/>
      <c r="GAY2196" s="10"/>
      <c r="GAZ2196" s="10"/>
      <c r="GBA2196" s="10"/>
      <c r="GBB2196" s="10"/>
      <c r="GBC2196" s="10"/>
      <c r="GBD2196" s="10"/>
      <c r="GBE2196" s="10"/>
      <c r="GBF2196" s="10"/>
      <c r="GBG2196" s="10"/>
      <c r="GBH2196" s="10"/>
      <c r="GBI2196" s="10"/>
      <c r="GBJ2196" s="10"/>
      <c r="GBK2196" s="10"/>
      <c r="GBL2196" s="10"/>
      <c r="GBM2196" s="10"/>
      <c r="GBN2196" s="10"/>
      <c r="GBO2196" s="10"/>
      <c r="GBP2196" s="10"/>
      <c r="GBQ2196" s="10"/>
      <c r="GBR2196" s="10"/>
      <c r="GBS2196" s="10"/>
      <c r="GBT2196" s="10"/>
      <c r="GBU2196" s="10"/>
      <c r="GBV2196" s="10"/>
      <c r="GBW2196" s="10"/>
      <c r="GBX2196" s="10"/>
      <c r="GBY2196" s="10"/>
      <c r="GBZ2196" s="10"/>
      <c r="GCA2196" s="10"/>
      <c r="GCB2196" s="10"/>
      <c r="GCC2196" s="10"/>
      <c r="GCD2196" s="10"/>
      <c r="GCE2196" s="10"/>
      <c r="GCF2196" s="10"/>
      <c r="GCG2196" s="10"/>
      <c r="GCH2196" s="10"/>
      <c r="GCI2196" s="10"/>
      <c r="GCJ2196" s="10"/>
      <c r="GCK2196" s="10"/>
      <c r="GCL2196" s="10"/>
      <c r="GCM2196" s="10"/>
      <c r="GCN2196" s="10"/>
      <c r="GCO2196" s="10"/>
      <c r="GCP2196" s="10"/>
      <c r="GCQ2196" s="10"/>
      <c r="GCR2196" s="10"/>
      <c r="GCS2196" s="10"/>
      <c r="GCT2196" s="10"/>
      <c r="GCU2196" s="10"/>
      <c r="GCV2196" s="10"/>
      <c r="GCW2196" s="10"/>
      <c r="GCX2196" s="10"/>
      <c r="GCY2196" s="10"/>
      <c r="GCZ2196" s="10"/>
      <c r="GDA2196" s="10"/>
      <c r="GDB2196" s="10"/>
      <c r="GDC2196" s="10"/>
      <c r="GDD2196" s="10"/>
      <c r="GDE2196" s="10"/>
      <c r="GDF2196" s="10"/>
      <c r="GDG2196" s="10"/>
      <c r="GDH2196" s="10"/>
      <c r="GDI2196" s="10"/>
      <c r="GDJ2196" s="10"/>
      <c r="GDK2196" s="10"/>
      <c r="GDL2196" s="10"/>
      <c r="GDM2196" s="10"/>
      <c r="GDN2196" s="10"/>
      <c r="GDO2196" s="10"/>
      <c r="GDP2196" s="10"/>
      <c r="GDQ2196" s="10"/>
      <c r="GDR2196" s="10"/>
      <c r="GDS2196" s="10"/>
      <c r="GDT2196" s="10"/>
      <c r="GDU2196" s="10"/>
      <c r="GDV2196" s="10"/>
      <c r="GDW2196" s="10"/>
      <c r="GDX2196" s="10"/>
      <c r="GDY2196" s="10"/>
      <c r="GDZ2196" s="10"/>
      <c r="GEA2196" s="10"/>
      <c r="GEB2196" s="10"/>
      <c r="GEC2196" s="10"/>
      <c r="GED2196" s="10"/>
      <c r="GEE2196" s="10"/>
      <c r="GEF2196" s="10"/>
      <c r="GEG2196" s="10"/>
      <c r="GEH2196" s="10"/>
      <c r="GEI2196" s="10"/>
      <c r="GEJ2196" s="10"/>
      <c r="GEK2196" s="10"/>
      <c r="GEL2196" s="10"/>
      <c r="GEM2196" s="10"/>
      <c r="GEN2196" s="10"/>
      <c r="GEO2196" s="10"/>
      <c r="GEP2196" s="10"/>
      <c r="GEQ2196" s="10"/>
      <c r="GER2196" s="10"/>
      <c r="GES2196" s="10"/>
      <c r="GET2196" s="10"/>
      <c r="GEU2196" s="10"/>
      <c r="GEV2196" s="10"/>
      <c r="GEW2196" s="10"/>
      <c r="GEX2196" s="10"/>
      <c r="GEY2196" s="10"/>
      <c r="GEZ2196" s="10"/>
      <c r="GFA2196" s="10"/>
      <c r="GFB2196" s="10"/>
      <c r="GFC2196" s="10"/>
      <c r="GFD2196" s="10"/>
      <c r="GFE2196" s="10"/>
      <c r="GFF2196" s="10"/>
      <c r="GFG2196" s="10"/>
      <c r="GFH2196" s="10"/>
      <c r="GFI2196" s="10"/>
      <c r="GFJ2196" s="10"/>
      <c r="GFK2196" s="10"/>
      <c r="GFL2196" s="10"/>
      <c r="GFM2196" s="10"/>
      <c r="GFN2196" s="10"/>
      <c r="GFO2196" s="10"/>
      <c r="GFP2196" s="10"/>
      <c r="GFQ2196" s="10"/>
      <c r="GFR2196" s="10"/>
      <c r="GFS2196" s="10"/>
      <c r="GFT2196" s="10"/>
      <c r="GFU2196" s="10"/>
      <c r="GFV2196" s="10"/>
      <c r="GFW2196" s="10"/>
      <c r="GFX2196" s="10"/>
      <c r="GFY2196" s="10"/>
      <c r="GFZ2196" s="10"/>
      <c r="GGA2196" s="10"/>
      <c r="GGB2196" s="10"/>
      <c r="GGC2196" s="10"/>
      <c r="GGD2196" s="10"/>
      <c r="GGE2196" s="10"/>
      <c r="GGF2196" s="10"/>
      <c r="GGG2196" s="10"/>
      <c r="GGH2196" s="10"/>
      <c r="GGI2196" s="10"/>
      <c r="GGJ2196" s="10"/>
      <c r="GGK2196" s="10"/>
      <c r="GGL2196" s="10"/>
      <c r="GGM2196" s="10"/>
      <c r="GGN2196" s="10"/>
      <c r="GGO2196" s="10"/>
      <c r="GGP2196" s="10"/>
      <c r="GGQ2196" s="10"/>
      <c r="GGR2196" s="10"/>
      <c r="GGS2196" s="10"/>
      <c r="GGT2196" s="10"/>
      <c r="GGU2196" s="10"/>
      <c r="GGV2196" s="10"/>
      <c r="GGW2196" s="10"/>
      <c r="GGX2196" s="10"/>
      <c r="GGY2196" s="10"/>
      <c r="GGZ2196" s="10"/>
      <c r="GHA2196" s="10"/>
      <c r="GHB2196" s="10"/>
      <c r="GHC2196" s="10"/>
      <c r="GHD2196" s="10"/>
      <c r="GHE2196" s="10"/>
      <c r="GHF2196" s="10"/>
      <c r="GHG2196" s="10"/>
      <c r="GHH2196" s="10"/>
      <c r="GHI2196" s="10"/>
      <c r="GHJ2196" s="10"/>
      <c r="GHK2196" s="10"/>
      <c r="GHL2196" s="10"/>
      <c r="GHM2196" s="10"/>
      <c r="GHN2196" s="10"/>
      <c r="GHO2196" s="10"/>
      <c r="GHP2196" s="10"/>
      <c r="GHQ2196" s="10"/>
      <c r="GHR2196" s="10"/>
      <c r="GHS2196" s="10"/>
      <c r="GHT2196" s="10"/>
      <c r="GHU2196" s="10"/>
      <c r="GHV2196" s="10"/>
      <c r="GHW2196" s="10"/>
      <c r="GHX2196" s="10"/>
      <c r="GHY2196" s="10"/>
      <c r="GHZ2196" s="10"/>
      <c r="GIA2196" s="10"/>
      <c r="GIB2196" s="10"/>
      <c r="GIC2196" s="10"/>
      <c r="GID2196" s="10"/>
      <c r="GIE2196" s="10"/>
      <c r="GIF2196" s="10"/>
      <c r="GIG2196" s="10"/>
      <c r="GIH2196" s="10"/>
      <c r="GII2196" s="10"/>
      <c r="GIJ2196" s="10"/>
      <c r="GIK2196" s="10"/>
      <c r="GIL2196" s="10"/>
      <c r="GIM2196" s="10"/>
      <c r="GIN2196" s="10"/>
      <c r="GIO2196" s="10"/>
      <c r="GIP2196" s="10"/>
      <c r="GIQ2196" s="10"/>
      <c r="GIR2196" s="10"/>
      <c r="GIS2196" s="10"/>
      <c r="GIT2196" s="10"/>
      <c r="GIU2196" s="10"/>
      <c r="GIV2196" s="10"/>
      <c r="GIW2196" s="10"/>
      <c r="GIX2196" s="10"/>
      <c r="GIY2196" s="10"/>
      <c r="GIZ2196" s="10"/>
      <c r="GJA2196" s="10"/>
      <c r="GJB2196" s="10"/>
      <c r="GJC2196" s="10"/>
      <c r="GJD2196" s="10"/>
      <c r="GJE2196" s="10"/>
      <c r="GJF2196" s="10"/>
      <c r="GJG2196" s="10"/>
      <c r="GJH2196" s="10"/>
      <c r="GJI2196" s="10"/>
      <c r="GJJ2196" s="10"/>
      <c r="GJK2196" s="10"/>
      <c r="GJL2196" s="10"/>
      <c r="GJM2196" s="10"/>
      <c r="GJN2196" s="10"/>
      <c r="GJO2196" s="10"/>
      <c r="GJP2196" s="10"/>
      <c r="GJQ2196" s="10"/>
      <c r="GJR2196" s="10"/>
      <c r="GJS2196" s="10"/>
      <c r="GJT2196" s="10"/>
      <c r="GJU2196" s="10"/>
      <c r="GJV2196" s="10"/>
      <c r="GJW2196" s="10"/>
      <c r="GJX2196" s="10"/>
      <c r="GJY2196" s="10"/>
      <c r="GJZ2196" s="10"/>
      <c r="GKA2196" s="10"/>
      <c r="GKB2196" s="10"/>
      <c r="GKC2196" s="10"/>
      <c r="GKD2196" s="10"/>
      <c r="GKE2196" s="10"/>
      <c r="GKF2196" s="10"/>
      <c r="GKG2196" s="10"/>
      <c r="GKH2196" s="10"/>
      <c r="GKI2196" s="10"/>
      <c r="GKJ2196" s="10"/>
      <c r="GKK2196" s="10"/>
      <c r="GKL2196" s="10"/>
      <c r="GKM2196" s="10"/>
      <c r="GKN2196" s="10"/>
      <c r="GKO2196" s="10"/>
      <c r="GKP2196" s="10"/>
      <c r="GKQ2196" s="10"/>
      <c r="GKR2196" s="10"/>
      <c r="GKS2196" s="10"/>
      <c r="GKT2196" s="10"/>
      <c r="GKU2196" s="10"/>
      <c r="GKV2196" s="10"/>
      <c r="GKW2196" s="10"/>
      <c r="GKX2196" s="10"/>
      <c r="GKY2196" s="10"/>
      <c r="GKZ2196" s="10"/>
      <c r="GLA2196" s="10"/>
      <c r="GLB2196" s="10"/>
      <c r="GLC2196" s="10"/>
      <c r="GLD2196" s="10"/>
      <c r="GLE2196" s="10"/>
      <c r="GLF2196" s="10"/>
      <c r="GLG2196" s="10"/>
      <c r="GLH2196" s="10"/>
      <c r="GLI2196" s="10"/>
      <c r="GLJ2196" s="10"/>
      <c r="GLK2196" s="10"/>
      <c r="GLL2196" s="10"/>
      <c r="GLM2196" s="10"/>
      <c r="GLN2196" s="10"/>
      <c r="GLO2196" s="10"/>
      <c r="GLP2196" s="10"/>
      <c r="GLQ2196" s="10"/>
      <c r="GLR2196" s="10"/>
      <c r="GLS2196" s="10"/>
      <c r="GLT2196" s="10"/>
      <c r="GLU2196" s="10"/>
      <c r="GLV2196" s="10"/>
      <c r="GLW2196" s="10"/>
      <c r="GLX2196" s="10"/>
      <c r="GLY2196" s="10"/>
      <c r="GLZ2196" s="10"/>
      <c r="GMA2196" s="10"/>
      <c r="GMB2196" s="10"/>
      <c r="GMC2196" s="10"/>
      <c r="GMD2196" s="10"/>
      <c r="GME2196" s="10"/>
      <c r="GMF2196" s="10"/>
      <c r="GMG2196" s="10"/>
      <c r="GMH2196" s="10"/>
      <c r="GMI2196" s="10"/>
      <c r="GMJ2196" s="10"/>
      <c r="GMK2196" s="10"/>
      <c r="GML2196" s="10"/>
      <c r="GMM2196" s="10"/>
      <c r="GMN2196" s="10"/>
      <c r="GMO2196" s="10"/>
      <c r="GMP2196" s="10"/>
      <c r="GMQ2196" s="10"/>
      <c r="GMR2196" s="10"/>
      <c r="GMS2196" s="10"/>
      <c r="GMT2196" s="10"/>
      <c r="GMU2196" s="10"/>
      <c r="GMV2196" s="10"/>
      <c r="GMW2196" s="10"/>
      <c r="GMX2196" s="10"/>
      <c r="GMY2196" s="10"/>
      <c r="GMZ2196" s="10"/>
      <c r="GNA2196" s="10"/>
      <c r="GNB2196" s="10"/>
      <c r="GNC2196" s="10"/>
      <c r="GND2196" s="10"/>
      <c r="GNE2196" s="10"/>
      <c r="GNF2196" s="10"/>
      <c r="GNG2196" s="10"/>
      <c r="GNH2196" s="10"/>
      <c r="GNI2196" s="10"/>
      <c r="GNJ2196" s="10"/>
      <c r="GNK2196" s="10"/>
      <c r="GNL2196" s="10"/>
      <c r="GNM2196" s="10"/>
      <c r="GNN2196" s="10"/>
      <c r="GNO2196" s="10"/>
      <c r="GNP2196" s="10"/>
      <c r="GNQ2196" s="10"/>
      <c r="GNR2196" s="10"/>
      <c r="GNS2196" s="10"/>
      <c r="GNT2196" s="10"/>
      <c r="GNU2196" s="10"/>
      <c r="GNV2196" s="10"/>
      <c r="GNW2196" s="10"/>
      <c r="GNX2196" s="10"/>
      <c r="GNY2196" s="10"/>
      <c r="GNZ2196" s="10"/>
      <c r="GOA2196" s="10"/>
      <c r="GOB2196" s="10"/>
      <c r="GOC2196" s="10"/>
      <c r="GOD2196" s="10"/>
      <c r="GOE2196" s="10"/>
      <c r="GOF2196" s="10"/>
      <c r="GOG2196" s="10"/>
      <c r="GOH2196" s="10"/>
      <c r="GOI2196" s="10"/>
      <c r="GOJ2196" s="10"/>
      <c r="GOK2196" s="10"/>
      <c r="GOL2196" s="10"/>
      <c r="GOM2196" s="10"/>
      <c r="GON2196" s="10"/>
      <c r="GOO2196" s="10"/>
      <c r="GOP2196" s="10"/>
      <c r="GOQ2196" s="10"/>
      <c r="GOR2196" s="10"/>
      <c r="GOS2196" s="10"/>
      <c r="GOT2196" s="10"/>
      <c r="GOU2196" s="10"/>
      <c r="GOV2196" s="10"/>
      <c r="GOW2196" s="10"/>
      <c r="GOX2196" s="10"/>
      <c r="GOY2196" s="10"/>
      <c r="GOZ2196" s="10"/>
      <c r="GPA2196" s="10"/>
      <c r="GPB2196" s="10"/>
      <c r="GPC2196" s="10"/>
      <c r="GPD2196" s="10"/>
      <c r="GPE2196" s="10"/>
      <c r="GPF2196" s="10"/>
      <c r="GPG2196" s="10"/>
      <c r="GPH2196" s="10"/>
      <c r="GPI2196" s="10"/>
      <c r="GPJ2196" s="10"/>
      <c r="GPK2196" s="10"/>
      <c r="GPL2196" s="10"/>
      <c r="GPM2196" s="10"/>
      <c r="GPN2196" s="10"/>
      <c r="GPO2196" s="10"/>
      <c r="GPP2196" s="10"/>
      <c r="GPQ2196" s="10"/>
      <c r="GPR2196" s="10"/>
      <c r="GPS2196" s="10"/>
      <c r="GPT2196" s="10"/>
      <c r="GPU2196" s="10"/>
      <c r="GPV2196" s="10"/>
      <c r="GPW2196" s="10"/>
      <c r="GPX2196" s="10"/>
      <c r="GPY2196" s="10"/>
      <c r="GPZ2196" s="10"/>
      <c r="GQA2196" s="10"/>
      <c r="GQB2196" s="10"/>
      <c r="GQC2196" s="10"/>
      <c r="GQD2196" s="10"/>
      <c r="GQE2196" s="10"/>
      <c r="GQF2196" s="10"/>
      <c r="GQG2196" s="10"/>
      <c r="GQH2196" s="10"/>
      <c r="GQI2196" s="10"/>
      <c r="GQJ2196" s="10"/>
      <c r="GQK2196" s="10"/>
      <c r="GQL2196" s="10"/>
      <c r="GQM2196" s="10"/>
      <c r="GQN2196" s="10"/>
      <c r="GQO2196" s="10"/>
      <c r="GQP2196" s="10"/>
      <c r="GQQ2196" s="10"/>
      <c r="GQR2196" s="10"/>
      <c r="GQS2196" s="10"/>
      <c r="GQT2196" s="10"/>
      <c r="GQU2196" s="10"/>
      <c r="GQV2196" s="10"/>
      <c r="GQW2196" s="10"/>
      <c r="GQX2196" s="10"/>
      <c r="GQY2196" s="10"/>
      <c r="GQZ2196" s="10"/>
      <c r="GRA2196" s="10"/>
      <c r="GRB2196" s="10"/>
      <c r="GRC2196" s="10"/>
      <c r="GRD2196" s="10"/>
      <c r="GRE2196" s="10"/>
      <c r="GRF2196" s="10"/>
      <c r="GRG2196" s="10"/>
      <c r="GRH2196" s="10"/>
      <c r="GRI2196" s="10"/>
      <c r="GRJ2196" s="10"/>
      <c r="GRK2196" s="10"/>
      <c r="GRL2196" s="10"/>
      <c r="GRM2196" s="10"/>
      <c r="GRN2196" s="10"/>
      <c r="GRO2196" s="10"/>
      <c r="GRP2196" s="10"/>
      <c r="GRQ2196" s="10"/>
      <c r="GRR2196" s="10"/>
      <c r="GRS2196" s="10"/>
      <c r="GRT2196" s="10"/>
      <c r="GRU2196" s="10"/>
      <c r="GRV2196" s="10"/>
      <c r="GRW2196" s="10"/>
      <c r="GRX2196" s="10"/>
      <c r="GRY2196" s="10"/>
      <c r="GRZ2196" s="10"/>
      <c r="GSA2196" s="10"/>
      <c r="GSB2196" s="10"/>
      <c r="GSC2196" s="10"/>
      <c r="GSD2196" s="10"/>
      <c r="GSE2196" s="10"/>
      <c r="GSF2196" s="10"/>
      <c r="GSG2196" s="10"/>
      <c r="GSH2196" s="10"/>
      <c r="GSI2196" s="10"/>
      <c r="GSJ2196" s="10"/>
      <c r="GSK2196" s="10"/>
      <c r="GSL2196" s="10"/>
      <c r="GSM2196" s="10"/>
      <c r="GSN2196" s="10"/>
      <c r="GSO2196" s="10"/>
      <c r="GSP2196" s="10"/>
      <c r="GSQ2196" s="10"/>
      <c r="GSR2196" s="10"/>
      <c r="GSS2196" s="10"/>
      <c r="GST2196" s="10"/>
      <c r="GSU2196" s="10"/>
      <c r="GSV2196" s="10"/>
      <c r="GSW2196" s="10"/>
      <c r="GSX2196" s="10"/>
      <c r="GSY2196" s="10"/>
      <c r="GSZ2196" s="10"/>
      <c r="GTA2196" s="10"/>
      <c r="GTB2196" s="10"/>
      <c r="GTC2196" s="10"/>
      <c r="GTD2196" s="10"/>
      <c r="GTE2196" s="10"/>
      <c r="GTF2196" s="10"/>
      <c r="GTG2196" s="10"/>
      <c r="GTH2196" s="10"/>
      <c r="GTI2196" s="10"/>
      <c r="GTJ2196" s="10"/>
      <c r="GTK2196" s="10"/>
      <c r="GTL2196" s="10"/>
      <c r="GTM2196" s="10"/>
      <c r="GTN2196" s="10"/>
      <c r="GTO2196" s="10"/>
      <c r="GTP2196" s="10"/>
      <c r="GTQ2196" s="10"/>
      <c r="GTR2196" s="10"/>
      <c r="GTS2196" s="10"/>
      <c r="GTT2196" s="10"/>
      <c r="GTU2196" s="10"/>
      <c r="GTV2196" s="10"/>
      <c r="GTW2196" s="10"/>
      <c r="GTX2196" s="10"/>
      <c r="GTY2196" s="10"/>
      <c r="GTZ2196" s="10"/>
      <c r="GUA2196" s="10"/>
      <c r="GUB2196" s="10"/>
      <c r="GUC2196" s="10"/>
      <c r="GUD2196" s="10"/>
      <c r="GUE2196" s="10"/>
      <c r="GUF2196" s="10"/>
      <c r="GUG2196" s="10"/>
      <c r="GUH2196" s="10"/>
      <c r="GUI2196" s="10"/>
      <c r="GUJ2196" s="10"/>
      <c r="GUK2196" s="10"/>
      <c r="GUL2196" s="10"/>
      <c r="GUM2196" s="10"/>
      <c r="GUN2196" s="10"/>
      <c r="GUO2196" s="10"/>
      <c r="GUP2196" s="10"/>
      <c r="GUQ2196" s="10"/>
      <c r="GUR2196" s="10"/>
      <c r="GUS2196" s="10"/>
      <c r="GUT2196" s="10"/>
      <c r="GUU2196" s="10"/>
      <c r="GUV2196" s="10"/>
      <c r="GUW2196" s="10"/>
      <c r="GUX2196" s="10"/>
      <c r="GUY2196" s="10"/>
      <c r="GUZ2196" s="10"/>
      <c r="GVA2196" s="10"/>
      <c r="GVB2196" s="10"/>
      <c r="GVC2196" s="10"/>
      <c r="GVD2196" s="10"/>
      <c r="GVE2196" s="10"/>
      <c r="GVF2196" s="10"/>
      <c r="GVG2196" s="10"/>
      <c r="GVH2196" s="10"/>
      <c r="GVI2196" s="10"/>
      <c r="GVJ2196" s="10"/>
      <c r="GVK2196" s="10"/>
      <c r="GVL2196" s="10"/>
      <c r="GVM2196" s="10"/>
      <c r="GVN2196" s="10"/>
      <c r="GVO2196" s="10"/>
      <c r="GVP2196" s="10"/>
      <c r="GVQ2196" s="10"/>
      <c r="GVR2196" s="10"/>
      <c r="GVS2196" s="10"/>
      <c r="GVT2196" s="10"/>
      <c r="GVU2196" s="10"/>
      <c r="GVV2196" s="10"/>
      <c r="GVW2196" s="10"/>
      <c r="GVX2196" s="10"/>
      <c r="GVY2196" s="10"/>
      <c r="GVZ2196" s="10"/>
      <c r="GWA2196" s="10"/>
      <c r="GWB2196" s="10"/>
      <c r="GWC2196" s="10"/>
      <c r="GWD2196" s="10"/>
      <c r="GWE2196" s="10"/>
      <c r="GWF2196" s="10"/>
      <c r="GWG2196" s="10"/>
      <c r="GWH2196" s="10"/>
      <c r="GWI2196" s="10"/>
      <c r="GWJ2196" s="10"/>
      <c r="GWK2196" s="10"/>
      <c r="GWL2196" s="10"/>
      <c r="GWM2196" s="10"/>
      <c r="GWN2196" s="10"/>
      <c r="GWO2196" s="10"/>
      <c r="GWP2196" s="10"/>
      <c r="GWQ2196" s="10"/>
      <c r="GWR2196" s="10"/>
      <c r="GWS2196" s="10"/>
      <c r="GWT2196" s="10"/>
      <c r="GWU2196" s="10"/>
      <c r="GWV2196" s="10"/>
      <c r="GWW2196" s="10"/>
      <c r="GWX2196" s="10"/>
      <c r="GWY2196" s="10"/>
      <c r="GWZ2196" s="10"/>
      <c r="GXA2196" s="10"/>
      <c r="GXB2196" s="10"/>
      <c r="GXC2196" s="10"/>
      <c r="GXD2196" s="10"/>
      <c r="GXE2196" s="10"/>
      <c r="GXF2196" s="10"/>
      <c r="GXG2196" s="10"/>
      <c r="GXH2196" s="10"/>
      <c r="GXI2196" s="10"/>
      <c r="GXJ2196" s="10"/>
      <c r="GXK2196" s="10"/>
      <c r="GXL2196" s="10"/>
      <c r="GXM2196" s="10"/>
      <c r="GXN2196" s="10"/>
      <c r="GXO2196" s="10"/>
      <c r="GXP2196" s="10"/>
      <c r="GXQ2196" s="10"/>
      <c r="GXR2196" s="10"/>
      <c r="GXS2196" s="10"/>
      <c r="GXT2196" s="10"/>
      <c r="GXU2196" s="10"/>
      <c r="GXV2196" s="10"/>
      <c r="GXW2196" s="10"/>
      <c r="GXX2196" s="10"/>
      <c r="GXY2196" s="10"/>
      <c r="GXZ2196" s="10"/>
      <c r="GYA2196" s="10"/>
      <c r="GYB2196" s="10"/>
      <c r="GYC2196" s="10"/>
      <c r="GYD2196" s="10"/>
      <c r="GYE2196" s="10"/>
      <c r="GYF2196" s="10"/>
      <c r="GYG2196" s="10"/>
      <c r="GYH2196" s="10"/>
      <c r="GYI2196" s="10"/>
      <c r="GYJ2196" s="10"/>
      <c r="GYK2196" s="10"/>
      <c r="GYL2196" s="10"/>
      <c r="GYM2196" s="10"/>
      <c r="GYN2196" s="10"/>
      <c r="GYO2196" s="10"/>
      <c r="GYP2196" s="10"/>
      <c r="GYQ2196" s="10"/>
      <c r="GYR2196" s="10"/>
      <c r="GYS2196" s="10"/>
      <c r="GYT2196" s="10"/>
      <c r="GYU2196" s="10"/>
      <c r="GYV2196" s="10"/>
      <c r="GYW2196" s="10"/>
      <c r="GYX2196" s="10"/>
      <c r="GYY2196" s="10"/>
      <c r="GYZ2196" s="10"/>
      <c r="GZA2196" s="10"/>
      <c r="GZB2196" s="10"/>
      <c r="GZC2196" s="10"/>
      <c r="GZD2196" s="10"/>
      <c r="GZE2196" s="10"/>
      <c r="GZF2196" s="10"/>
      <c r="GZG2196" s="10"/>
      <c r="GZH2196" s="10"/>
      <c r="GZI2196" s="10"/>
      <c r="GZJ2196" s="10"/>
      <c r="GZK2196" s="10"/>
      <c r="GZL2196" s="10"/>
      <c r="GZM2196" s="10"/>
      <c r="GZN2196" s="10"/>
      <c r="GZO2196" s="10"/>
      <c r="GZP2196" s="10"/>
      <c r="GZQ2196" s="10"/>
      <c r="GZR2196" s="10"/>
      <c r="GZS2196" s="10"/>
      <c r="GZT2196" s="10"/>
      <c r="GZU2196" s="10"/>
      <c r="GZV2196" s="10"/>
      <c r="GZW2196" s="10"/>
      <c r="GZX2196" s="10"/>
      <c r="GZY2196" s="10"/>
      <c r="GZZ2196" s="10"/>
      <c r="HAA2196" s="10"/>
      <c r="HAB2196" s="10"/>
      <c r="HAC2196" s="10"/>
      <c r="HAD2196" s="10"/>
      <c r="HAE2196" s="10"/>
      <c r="HAF2196" s="10"/>
      <c r="HAG2196" s="10"/>
      <c r="HAH2196" s="10"/>
      <c r="HAI2196" s="10"/>
      <c r="HAJ2196" s="10"/>
      <c r="HAK2196" s="10"/>
      <c r="HAL2196" s="10"/>
      <c r="HAM2196" s="10"/>
      <c r="HAN2196" s="10"/>
      <c r="HAO2196" s="10"/>
      <c r="HAP2196" s="10"/>
      <c r="HAQ2196" s="10"/>
      <c r="HAR2196" s="10"/>
      <c r="HAS2196" s="10"/>
      <c r="HAT2196" s="10"/>
      <c r="HAU2196" s="10"/>
      <c r="HAV2196" s="10"/>
      <c r="HAW2196" s="10"/>
      <c r="HAX2196" s="10"/>
      <c r="HAY2196" s="10"/>
      <c r="HAZ2196" s="10"/>
      <c r="HBA2196" s="10"/>
      <c r="HBB2196" s="10"/>
      <c r="HBC2196" s="10"/>
      <c r="HBD2196" s="10"/>
      <c r="HBE2196" s="10"/>
      <c r="HBF2196" s="10"/>
      <c r="HBG2196" s="10"/>
      <c r="HBH2196" s="10"/>
      <c r="HBI2196" s="10"/>
      <c r="HBJ2196" s="10"/>
      <c r="HBK2196" s="10"/>
      <c r="HBL2196" s="10"/>
      <c r="HBM2196" s="10"/>
      <c r="HBN2196" s="10"/>
      <c r="HBO2196" s="10"/>
      <c r="HBP2196" s="10"/>
      <c r="HBQ2196" s="10"/>
      <c r="HBR2196" s="10"/>
      <c r="HBS2196" s="10"/>
      <c r="HBT2196" s="10"/>
      <c r="HBU2196" s="10"/>
      <c r="HBV2196" s="10"/>
      <c r="HBW2196" s="10"/>
      <c r="HBX2196" s="10"/>
      <c r="HBY2196" s="10"/>
      <c r="HBZ2196" s="10"/>
      <c r="HCA2196" s="10"/>
      <c r="HCB2196" s="10"/>
      <c r="HCC2196" s="10"/>
      <c r="HCD2196" s="10"/>
      <c r="HCE2196" s="10"/>
      <c r="HCF2196" s="10"/>
      <c r="HCG2196" s="10"/>
      <c r="HCH2196" s="10"/>
      <c r="HCI2196" s="10"/>
      <c r="HCJ2196" s="10"/>
      <c r="HCK2196" s="10"/>
      <c r="HCL2196" s="10"/>
      <c r="HCM2196" s="10"/>
      <c r="HCN2196" s="10"/>
      <c r="HCO2196" s="10"/>
      <c r="HCP2196" s="10"/>
      <c r="HCQ2196" s="10"/>
      <c r="HCR2196" s="10"/>
      <c r="HCS2196" s="10"/>
      <c r="HCT2196" s="10"/>
      <c r="HCU2196" s="10"/>
      <c r="HCV2196" s="10"/>
      <c r="HCW2196" s="10"/>
      <c r="HCX2196" s="10"/>
      <c r="HCY2196" s="10"/>
      <c r="HCZ2196" s="10"/>
      <c r="HDA2196" s="10"/>
      <c r="HDB2196" s="10"/>
      <c r="HDC2196" s="10"/>
      <c r="HDD2196" s="10"/>
      <c r="HDE2196" s="10"/>
      <c r="HDF2196" s="10"/>
      <c r="HDG2196" s="10"/>
      <c r="HDH2196" s="10"/>
      <c r="HDI2196" s="10"/>
      <c r="HDJ2196" s="10"/>
      <c r="HDK2196" s="10"/>
      <c r="HDL2196" s="10"/>
      <c r="HDM2196" s="10"/>
      <c r="HDN2196" s="10"/>
      <c r="HDO2196" s="10"/>
      <c r="HDP2196" s="10"/>
      <c r="HDQ2196" s="10"/>
      <c r="HDR2196" s="10"/>
      <c r="HDS2196" s="10"/>
      <c r="HDT2196" s="10"/>
      <c r="HDU2196" s="10"/>
      <c r="HDV2196" s="10"/>
      <c r="HDW2196" s="10"/>
      <c r="HDX2196" s="10"/>
      <c r="HDY2196" s="10"/>
      <c r="HDZ2196" s="10"/>
      <c r="HEA2196" s="10"/>
      <c r="HEB2196" s="10"/>
      <c r="HEC2196" s="10"/>
      <c r="HED2196" s="10"/>
      <c r="HEE2196" s="10"/>
      <c r="HEF2196" s="10"/>
      <c r="HEG2196" s="10"/>
      <c r="HEH2196" s="10"/>
      <c r="HEI2196" s="10"/>
      <c r="HEJ2196" s="10"/>
      <c r="HEK2196" s="10"/>
      <c r="HEL2196" s="10"/>
      <c r="HEM2196" s="10"/>
      <c r="HEN2196" s="10"/>
      <c r="HEO2196" s="10"/>
      <c r="HEP2196" s="10"/>
      <c r="HEQ2196" s="10"/>
      <c r="HER2196" s="10"/>
      <c r="HES2196" s="10"/>
      <c r="HET2196" s="10"/>
      <c r="HEU2196" s="10"/>
      <c r="HEV2196" s="10"/>
      <c r="HEW2196" s="10"/>
      <c r="HEX2196" s="10"/>
      <c r="HEY2196" s="10"/>
      <c r="HEZ2196" s="10"/>
      <c r="HFA2196" s="10"/>
      <c r="HFB2196" s="10"/>
      <c r="HFC2196" s="10"/>
      <c r="HFD2196" s="10"/>
      <c r="HFE2196" s="10"/>
      <c r="HFF2196" s="10"/>
      <c r="HFG2196" s="10"/>
      <c r="HFH2196" s="10"/>
      <c r="HFI2196" s="10"/>
      <c r="HFJ2196" s="10"/>
      <c r="HFK2196" s="10"/>
      <c r="HFL2196" s="10"/>
      <c r="HFM2196" s="10"/>
      <c r="HFN2196" s="10"/>
      <c r="HFO2196" s="10"/>
      <c r="HFP2196" s="10"/>
      <c r="HFQ2196" s="10"/>
      <c r="HFR2196" s="10"/>
      <c r="HFS2196" s="10"/>
      <c r="HFT2196" s="10"/>
      <c r="HFU2196" s="10"/>
      <c r="HFV2196" s="10"/>
      <c r="HFW2196" s="10"/>
      <c r="HFX2196" s="10"/>
      <c r="HFY2196" s="10"/>
      <c r="HFZ2196" s="10"/>
      <c r="HGA2196" s="10"/>
      <c r="HGB2196" s="10"/>
      <c r="HGC2196" s="10"/>
      <c r="HGD2196" s="10"/>
      <c r="HGE2196" s="10"/>
      <c r="HGF2196" s="10"/>
      <c r="HGG2196" s="10"/>
      <c r="HGH2196" s="10"/>
      <c r="HGI2196" s="10"/>
      <c r="HGJ2196" s="10"/>
      <c r="HGK2196" s="10"/>
      <c r="HGL2196" s="10"/>
      <c r="HGM2196" s="10"/>
      <c r="HGN2196" s="10"/>
      <c r="HGO2196" s="10"/>
      <c r="HGP2196" s="10"/>
      <c r="HGQ2196" s="10"/>
      <c r="HGR2196" s="10"/>
      <c r="HGS2196" s="10"/>
      <c r="HGT2196" s="10"/>
      <c r="HGU2196" s="10"/>
      <c r="HGV2196" s="10"/>
      <c r="HGW2196" s="10"/>
      <c r="HGX2196" s="10"/>
      <c r="HGY2196" s="10"/>
      <c r="HGZ2196" s="10"/>
      <c r="HHA2196" s="10"/>
      <c r="HHB2196" s="10"/>
      <c r="HHC2196" s="10"/>
      <c r="HHD2196" s="10"/>
      <c r="HHE2196" s="10"/>
      <c r="HHF2196" s="10"/>
      <c r="HHG2196" s="10"/>
      <c r="HHH2196" s="10"/>
      <c r="HHI2196" s="10"/>
      <c r="HHJ2196" s="10"/>
      <c r="HHK2196" s="10"/>
      <c r="HHL2196" s="10"/>
      <c r="HHM2196" s="10"/>
      <c r="HHN2196" s="10"/>
      <c r="HHO2196" s="10"/>
      <c r="HHP2196" s="10"/>
      <c r="HHQ2196" s="10"/>
      <c r="HHR2196" s="10"/>
      <c r="HHS2196" s="10"/>
      <c r="HHT2196" s="10"/>
      <c r="HHU2196" s="10"/>
      <c r="HHV2196" s="10"/>
      <c r="HHW2196" s="10"/>
      <c r="HHX2196" s="10"/>
      <c r="HHY2196" s="10"/>
      <c r="HHZ2196" s="10"/>
      <c r="HIA2196" s="10"/>
      <c r="HIB2196" s="10"/>
      <c r="HIC2196" s="10"/>
      <c r="HID2196" s="10"/>
      <c r="HIE2196" s="10"/>
      <c r="HIF2196" s="10"/>
      <c r="HIG2196" s="10"/>
      <c r="HIH2196" s="10"/>
      <c r="HII2196" s="10"/>
      <c r="HIJ2196" s="10"/>
      <c r="HIK2196" s="10"/>
      <c r="HIL2196" s="10"/>
      <c r="HIM2196" s="10"/>
      <c r="HIN2196" s="10"/>
      <c r="HIO2196" s="10"/>
      <c r="HIP2196" s="10"/>
      <c r="HIQ2196" s="10"/>
      <c r="HIR2196" s="10"/>
      <c r="HIS2196" s="10"/>
      <c r="HIT2196" s="10"/>
      <c r="HIU2196" s="10"/>
      <c r="HIV2196" s="10"/>
      <c r="HIW2196" s="10"/>
      <c r="HIX2196" s="10"/>
      <c r="HIY2196" s="10"/>
      <c r="HIZ2196" s="10"/>
      <c r="HJA2196" s="10"/>
      <c r="HJB2196" s="10"/>
      <c r="HJC2196" s="10"/>
      <c r="HJD2196" s="10"/>
      <c r="HJE2196" s="10"/>
      <c r="HJF2196" s="10"/>
      <c r="HJG2196" s="10"/>
      <c r="HJH2196" s="10"/>
      <c r="HJI2196" s="10"/>
      <c r="HJJ2196" s="10"/>
      <c r="HJK2196" s="10"/>
      <c r="HJL2196" s="10"/>
      <c r="HJM2196" s="10"/>
      <c r="HJN2196" s="10"/>
      <c r="HJO2196" s="10"/>
      <c r="HJP2196" s="10"/>
      <c r="HJQ2196" s="10"/>
      <c r="HJR2196" s="10"/>
      <c r="HJS2196" s="10"/>
      <c r="HJT2196" s="10"/>
      <c r="HJU2196" s="10"/>
      <c r="HJV2196" s="10"/>
      <c r="HJW2196" s="10"/>
      <c r="HJX2196" s="10"/>
      <c r="HJY2196" s="10"/>
      <c r="HJZ2196" s="10"/>
      <c r="HKA2196" s="10"/>
      <c r="HKB2196" s="10"/>
      <c r="HKC2196" s="10"/>
      <c r="HKD2196" s="10"/>
      <c r="HKE2196" s="10"/>
      <c r="HKF2196" s="10"/>
      <c r="HKG2196" s="10"/>
      <c r="HKH2196" s="10"/>
      <c r="HKI2196" s="10"/>
      <c r="HKJ2196" s="10"/>
      <c r="HKK2196" s="10"/>
      <c r="HKL2196" s="10"/>
      <c r="HKM2196" s="10"/>
      <c r="HKN2196" s="10"/>
      <c r="HKO2196" s="10"/>
      <c r="HKP2196" s="10"/>
      <c r="HKQ2196" s="10"/>
      <c r="HKR2196" s="10"/>
      <c r="HKS2196" s="10"/>
      <c r="HKT2196" s="10"/>
      <c r="HKU2196" s="10"/>
      <c r="HKV2196" s="10"/>
      <c r="HKW2196" s="10"/>
      <c r="HKX2196" s="10"/>
      <c r="HKY2196" s="10"/>
      <c r="HKZ2196" s="10"/>
      <c r="HLA2196" s="10"/>
      <c r="HLB2196" s="10"/>
      <c r="HLC2196" s="10"/>
      <c r="HLD2196" s="10"/>
      <c r="HLE2196" s="10"/>
      <c r="HLF2196" s="10"/>
      <c r="HLG2196" s="10"/>
      <c r="HLH2196" s="10"/>
      <c r="HLI2196" s="10"/>
      <c r="HLJ2196" s="10"/>
      <c r="HLK2196" s="10"/>
      <c r="HLL2196" s="10"/>
      <c r="HLM2196" s="10"/>
      <c r="HLN2196" s="10"/>
      <c r="HLO2196" s="10"/>
      <c r="HLP2196" s="10"/>
      <c r="HLQ2196" s="10"/>
      <c r="HLR2196" s="10"/>
      <c r="HLS2196" s="10"/>
      <c r="HLT2196" s="10"/>
      <c r="HLU2196" s="10"/>
      <c r="HLV2196" s="10"/>
      <c r="HLW2196" s="10"/>
      <c r="HLX2196" s="10"/>
      <c r="HLY2196" s="10"/>
      <c r="HLZ2196" s="10"/>
      <c r="HMA2196" s="10"/>
      <c r="HMB2196" s="10"/>
      <c r="HMC2196" s="10"/>
      <c r="HMD2196" s="10"/>
      <c r="HME2196" s="10"/>
      <c r="HMF2196" s="10"/>
      <c r="HMG2196" s="10"/>
      <c r="HMH2196" s="10"/>
      <c r="HMI2196" s="10"/>
      <c r="HMJ2196" s="10"/>
      <c r="HMK2196" s="10"/>
      <c r="HML2196" s="10"/>
      <c r="HMM2196" s="10"/>
      <c r="HMN2196" s="10"/>
      <c r="HMO2196" s="10"/>
      <c r="HMP2196" s="10"/>
      <c r="HMQ2196" s="10"/>
      <c r="HMR2196" s="10"/>
      <c r="HMS2196" s="10"/>
      <c r="HMT2196" s="10"/>
      <c r="HMU2196" s="10"/>
      <c r="HMV2196" s="10"/>
      <c r="HMW2196" s="10"/>
      <c r="HMX2196" s="10"/>
      <c r="HMY2196" s="10"/>
      <c r="HMZ2196" s="10"/>
      <c r="HNA2196" s="10"/>
      <c r="HNB2196" s="10"/>
      <c r="HNC2196" s="10"/>
      <c r="HND2196" s="10"/>
      <c r="HNE2196" s="10"/>
      <c r="HNF2196" s="10"/>
      <c r="HNG2196" s="10"/>
      <c r="HNH2196" s="10"/>
      <c r="HNI2196" s="10"/>
      <c r="HNJ2196" s="10"/>
      <c r="HNK2196" s="10"/>
      <c r="HNL2196" s="10"/>
      <c r="HNM2196" s="10"/>
      <c r="HNN2196" s="10"/>
      <c r="HNO2196" s="10"/>
      <c r="HNP2196" s="10"/>
      <c r="HNQ2196" s="10"/>
      <c r="HNR2196" s="10"/>
      <c r="HNS2196" s="10"/>
      <c r="HNT2196" s="10"/>
      <c r="HNU2196" s="10"/>
      <c r="HNV2196" s="10"/>
      <c r="HNW2196" s="10"/>
      <c r="HNX2196" s="10"/>
      <c r="HNY2196" s="10"/>
      <c r="HNZ2196" s="10"/>
      <c r="HOA2196" s="10"/>
      <c r="HOB2196" s="10"/>
      <c r="HOC2196" s="10"/>
      <c r="HOD2196" s="10"/>
      <c r="HOE2196" s="10"/>
      <c r="HOF2196" s="10"/>
      <c r="HOG2196" s="10"/>
      <c r="HOH2196" s="10"/>
      <c r="HOI2196" s="10"/>
      <c r="HOJ2196" s="10"/>
      <c r="HOK2196" s="10"/>
      <c r="HOL2196" s="10"/>
      <c r="HOM2196" s="10"/>
      <c r="HON2196" s="10"/>
      <c r="HOO2196" s="10"/>
      <c r="HOP2196" s="10"/>
      <c r="HOQ2196" s="10"/>
      <c r="HOR2196" s="10"/>
      <c r="HOS2196" s="10"/>
      <c r="HOT2196" s="10"/>
      <c r="HOU2196" s="10"/>
      <c r="HOV2196" s="10"/>
      <c r="HOW2196" s="10"/>
      <c r="HOX2196" s="10"/>
      <c r="HOY2196" s="10"/>
      <c r="HOZ2196" s="10"/>
      <c r="HPA2196" s="10"/>
      <c r="HPB2196" s="10"/>
      <c r="HPC2196" s="10"/>
      <c r="HPD2196" s="10"/>
      <c r="HPE2196" s="10"/>
      <c r="HPF2196" s="10"/>
      <c r="HPG2196" s="10"/>
      <c r="HPH2196" s="10"/>
      <c r="HPI2196" s="10"/>
      <c r="HPJ2196" s="10"/>
      <c r="HPK2196" s="10"/>
      <c r="HPL2196" s="10"/>
      <c r="HPM2196" s="10"/>
      <c r="HPN2196" s="10"/>
      <c r="HPO2196" s="10"/>
      <c r="HPP2196" s="10"/>
      <c r="HPQ2196" s="10"/>
      <c r="HPR2196" s="10"/>
      <c r="HPS2196" s="10"/>
      <c r="HPT2196" s="10"/>
      <c r="HPU2196" s="10"/>
      <c r="HPV2196" s="10"/>
      <c r="HPW2196" s="10"/>
      <c r="HPX2196" s="10"/>
      <c r="HPY2196" s="10"/>
      <c r="HPZ2196" s="10"/>
      <c r="HQA2196" s="10"/>
      <c r="HQB2196" s="10"/>
      <c r="HQC2196" s="10"/>
      <c r="HQD2196" s="10"/>
      <c r="HQE2196" s="10"/>
      <c r="HQF2196" s="10"/>
      <c r="HQG2196" s="10"/>
      <c r="HQH2196" s="10"/>
      <c r="HQI2196" s="10"/>
      <c r="HQJ2196" s="10"/>
      <c r="HQK2196" s="10"/>
      <c r="HQL2196" s="10"/>
      <c r="HQM2196" s="10"/>
      <c r="HQN2196" s="10"/>
      <c r="HQO2196" s="10"/>
      <c r="HQP2196" s="10"/>
      <c r="HQQ2196" s="10"/>
      <c r="HQR2196" s="10"/>
      <c r="HQS2196" s="10"/>
      <c r="HQT2196" s="10"/>
      <c r="HQU2196" s="10"/>
      <c r="HQV2196" s="10"/>
      <c r="HQW2196" s="10"/>
      <c r="HQX2196" s="10"/>
      <c r="HQY2196" s="10"/>
      <c r="HQZ2196" s="10"/>
      <c r="HRA2196" s="10"/>
      <c r="HRB2196" s="10"/>
      <c r="HRC2196" s="10"/>
      <c r="HRD2196" s="10"/>
      <c r="HRE2196" s="10"/>
      <c r="HRF2196" s="10"/>
      <c r="HRG2196" s="10"/>
      <c r="HRH2196" s="10"/>
      <c r="HRI2196" s="10"/>
      <c r="HRJ2196" s="10"/>
      <c r="HRK2196" s="10"/>
      <c r="HRL2196" s="10"/>
      <c r="HRM2196" s="10"/>
      <c r="HRN2196" s="10"/>
      <c r="HRO2196" s="10"/>
      <c r="HRP2196" s="10"/>
      <c r="HRQ2196" s="10"/>
      <c r="HRR2196" s="10"/>
      <c r="HRS2196" s="10"/>
      <c r="HRT2196" s="10"/>
      <c r="HRU2196" s="10"/>
      <c r="HRV2196" s="10"/>
      <c r="HRW2196" s="10"/>
      <c r="HRX2196" s="10"/>
      <c r="HRY2196" s="10"/>
      <c r="HRZ2196" s="10"/>
      <c r="HSA2196" s="10"/>
      <c r="HSB2196" s="10"/>
      <c r="HSC2196" s="10"/>
      <c r="HSD2196" s="10"/>
      <c r="HSE2196" s="10"/>
      <c r="HSF2196" s="10"/>
      <c r="HSG2196" s="10"/>
      <c r="HSH2196" s="10"/>
      <c r="HSI2196" s="10"/>
      <c r="HSJ2196" s="10"/>
      <c r="HSK2196" s="10"/>
      <c r="HSL2196" s="10"/>
      <c r="HSM2196" s="10"/>
      <c r="HSN2196" s="10"/>
      <c r="HSO2196" s="10"/>
      <c r="HSP2196" s="10"/>
      <c r="HSQ2196" s="10"/>
      <c r="HSR2196" s="10"/>
      <c r="HSS2196" s="10"/>
      <c r="HST2196" s="10"/>
      <c r="HSU2196" s="10"/>
      <c r="HSV2196" s="10"/>
      <c r="HSW2196" s="10"/>
      <c r="HSX2196" s="10"/>
      <c r="HSY2196" s="10"/>
      <c r="HSZ2196" s="10"/>
      <c r="HTA2196" s="10"/>
      <c r="HTB2196" s="10"/>
      <c r="HTC2196" s="10"/>
      <c r="HTD2196" s="10"/>
      <c r="HTE2196" s="10"/>
      <c r="HTF2196" s="10"/>
      <c r="HTG2196" s="10"/>
      <c r="HTH2196" s="10"/>
      <c r="HTI2196" s="10"/>
      <c r="HTJ2196" s="10"/>
      <c r="HTK2196" s="10"/>
      <c r="HTL2196" s="10"/>
      <c r="HTM2196" s="10"/>
      <c r="HTN2196" s="10"/>
      <c r="HTO2196" s="10"/>
      <c r="HTP2196" s="10"/>
      <c r="HTQ2196" s="10"/>
      <c r="HTR2196" s="10"/>
      <c r="HTS2196" s="10"/>
      <c r="HTT2196" s="10"/>
      <c r="HTU2196" s="10"/>
      <c r="HTV2196" s="10"/>
      <c r="HTW2196" s="10"/>
      <c r="HTX2196" s="10"/>
      <c r="HTY2196" s="10"/>
      <c r="HTZ2196" s="10"/>
      <c r="HUA2196" s="10"/>
      <c r="HUB2196" s="10"/>
      <c r="HUC2196" s="10"/>
      <c r="HUD2196" s="10"/>
      <c r="HUE2196" s="10"/>
      <c r="HUF2196" s="10"/>
      <c r="HUG2196" s="10"/>
      <c r="HUH2196" s="10"/>
      <c r="HUI2196" s="10"/>
      <c r="HUJ2196" s="10"/>
      <c r="HUK2196" s="10"/>
      <c r="HUL2196" s="10"/>
      <c r="HUM2196" s="10"/>
      <c r="HUN2196" s="10"/>
      <c r="HUO2196" s="10"/>
      <c r="HUP2196" s="10"/>
      <c r="HUQ2196" s="10"/>
      <c r="HUR2196" s="10"/>
      <c r="HUS2196" s="10"/>
      <c r="HUT2196" s="10"/>
      <c r="HUU2196" s="10"/>
      <c r="HUV2196" s="10"/>
      <c r="HUW2196" s="10"/>
      <c r="HUX2196" s="10"/>
      <c r="HUY2196" s="10"/>
      <c r="HUZ2196" s="10"/>
      <c r="HVA2196" s="10"/>
      <c r="HVB2196" s="10"/>
      <c r="HVC2196" s="10"/>
      <c r="HVD2196" s="10"/>
      <c r="HVE2196" s="10"/>
      <c r="HVF2196" s="10"/>
      <c r="HVG2196" s="10"/>
      <c r="HVH2196" s="10"/>
      <c r="HVI2196" s="10"/>
      <c r="HVJ2196" s="10"/>
      <c r="HVK2196" s="10"/>
      <c r="HVL2196" s="10"/>
      <c r="HVM2196" s="10"/>
      <c r="HVN2196" s="10"/>
      <c r="HVO2196" s="10"/>
      <c r="HVP2196" s="10"/>
      <c r="HVQ2196" s="10"/>
      <c r="HVR2196" s="10"/>
      <c r="HVS2196" s="10"/>
      <c r="HVT2196" s="10"/>
      <c r="HVU2196" s="10"/>
      <c r="HVV2196" s="10"/>
      <c r="HVW2196" s="10"/>
      <c r="HVX2196" s="10"/>
      <c r="HVY2196" s="10"/>
      <c r="HVZ2196" s="10"/>
      <c r="HWA2196" s="10"/>
      <c r="HWB2196" s="10"/>
      <c r="HWC2196" s="10"/>
      <c r="HWD2196" s="10"/>
      <c r="HWE2196" s="10"/>
      <c r="HWF2196" s="10"/>
      <c r="HWG2196" s="10"/>
      <c r="HWH2196" s="10"/>
      <c r="HWI2196" s="10"/>
      <c r="HWJ2196" s="10"/>
      <c r="HWK2196" s="10"/>
      <c r="HWL2196" s="10"/>
      <c r="HWM2196" s="10"/>
      <c r="HWN2196" s="10"/>
      <c r="HWO2196" s="10"/>
      <c r="HWP2196" s="10"/>
      <c r="HWQ2196" s="10"/>
      <c r="HWR2196" s="10"/>
      <c r="HWS2196" s="10"/>
      <c r="HWT2196" s="10"/>
      <c r="HWU2196" s="10"/>
      <c r="HWV2196" s="10"/>
      <c r="HWW2196" s="10"/>
      <c r="HWX2196" s="10"/>
      <c r="HWY2196" s="10"/>
      <c r="HWZ2196" s="10"/>
      <c r="HXA2196" s="10"/>
      <c r="HXB2196" s="10"/>
      <c r="HXC2196" s="10"/>
      <c r="HXD2196" s="10"/>
      <c r="HXE2196" s="10"/>
      <c r="HXF2196" s="10"/>
      <c r="HXG2196" s="10"/>
      <c r="HXH2196" s="10"/>
      <c r="HXI2196" s="10"/>
      <c r="HXJ2196" s="10"/>
      <c r="HXK2196" s="10"/>
      <c r="HXL2196" s="10"/>
      <c r="HXM2196" s="10"/>
      <c r="HXN2196" s="10"/>
      <c r="HXO2196" s="10"/>
      <c r="HXP2196" s="10"/>
      <c r="HXQ2196" s="10"/>
      <c r="HXR2196" s="10"/>
      <c r="HXS2196" s="10"/>
      <c r="HXT2196" s="10"/>
      <c r="HXU2196" s="10"/>
      <c r="HXV2196" s="10"/>
      <c r="HXW2196" s="10"/>
      <c r="HXX2196" s="10"/>
      <c r="HXY2196" s="10"/>
      <c r="HXZ2196" s="10"/>
      <c r="HYA2196" s="10"/>
      <c r="HYB2196" s="10"/>
      <c r="HYC2196" s="10"/>
      <c r="HYD2196" s="10"/>
      <c r="HYE2196" s="10"/>
      <c r="HYF2196" s="10"/>
      <c r="HYG2196" s="10"/>
      <c r="HYH2196" s="10"/>
      <c r="HYI2196" s="10"/>
      <c r="HYJ2196" s="10"/>
      <c r="HYK2196" s="10"/>
      <c r="HYL2196" s="10"/>
      <c r="HYM2196" s="10"/>
      <c r="HYN2196" s="10"/>
      <c r="HYO2196" s="10"/>
      <c r="HYP2196" s="10"/>
      <c r="HYQ2196" s="10"/>
      <c r="HYR2196" s="10"/>
      <c r="HYS2196" s="10"/>
      <c r="HYT2196" s="10"/>
      <c r="HYU2196" s="10"/>
      <c r="HYV2196" s="10"/>
      <c r="HYW2196" s="10"/>
      <c r="HYX2196" s="10"/>
      <c r="HYY2196" s="10"/>
      <c r="HYZ2196" s="10"/>
      <c r="HZA2196" s="10"/>
      <c r="HZB2196" s="10"/>
      <c r="HZC2196" s="10"/>
      <c r="HZD2196" s="10"/>
      <c r="HZE2196" s="10"/>
      <c r="HZF2196" s="10"/>
      <c r="HZG2196" s="10"/>
      <c r="HZH2196" s="10"/>
      <c r="HZI2196" s="10"/>
      <c r="HZJ2196" s="10"/>
      <c r="HZK2196" s="10"/>
      <c r="HZL2196" s="10"/>
      <c r="HZM2196" s="10"/>
      <c r="HZN2196" s="10"/>
      <c r="HZO2196" s="10"/>
      <c r="HZP2196" s="10"/>
      <c r="HZQ2196" s="10"/>
      <c r="HZR2196" s="10"/>
      <c r="HZS2196" s="10"/>
      <c r="HZT2196" s="10"/>
      <c r="HZU2196" s="10"/>
      <c r="HZV2196" s="10"/>
      <c r="HZW2196" s="10"/>
      <c r="HZX2196" s="10"/>
      <c r="HZY2196" s="10"/>
      <c r="HZZ2196" s="10"/>
      <c r="IAA2196" s="10"/>
      <c r="IAB2196" s="10"/>
      <c r="IAC2196" s="10"/>
      <c r="IAD2196" s="10"/>
      <c r="IAE2196" s="10"/>
      <c r="IAF2196" s="10"/>
      <c r="IAG2196" s="10"/>
      <c r="IAH2196" s="10"/>
      <c r="IAI2196" s="10"/>
      <c r="IAJ2196" s="10"/>
      <c r="IAK2196" s="10"/>
      <c r="IAL2196" s="10"/>
      <c r="IAM2196" s="10"/>
      <c r="IAN2196" s="10"/>
      <c r="IAO2196" s="10"/>
      <c r="IAP2196" s="10"/>
      <c r="IAQ2196" s="10"/>
      <c r="IAR2196" s="10"/>
      <c r="IAS2196" s="10"/>
      <c r="IAT2196" s="10"/>
      <c r="IAU2196" s="10"/>
      <c r="IAV2196" s="10"/>
      <c r="IAW2196" s="10"/>
      <c r="IAX2196" s="10"/>
      <c r="IAY2196" s="10"/>
      <c r="IAZ2196" s="10"/>
      <c r="IBA2196" s="10"/>
      <c r="IBB2196" s="10"/>
      <c r="IBC2196" s="10"/>
      <c r="IBD2196" s="10"/>
      <c r="IBE2196" s="10"/>
      <c r="IBF2196" s="10"/>
      <c r="IBG2196" s="10"/>
      <c r="IBH2196" s="10"/>
      <c r="IBI2196" s="10"/>
      <c r="IBJ2196" s="10"/>
      <c r="IBK2196" s="10"/>
      <c r="IBL2196" s="10"/>
      <c r="IBM2196" s="10"/>
      <c r="IBN2196" s="10"/>
      <c r="IBO2196" s="10"/>
      <c r="IBP2196" s="10"/>
      <c r="IBQ2196" s="10"/>
      <c r="IBR2196" s="10"/>
      <c r="IBS2196" s="10"/>
      <c r="IBT2196" s="10"/>
      <c r="IBU2196" s="10"/>
      <c r="IBV2196" s="10"/>
      <c r="IBW2196" s="10"/>
      <c r="IBX2196" s="10"/>
      <c r="IBY2196" s="10"/>
      <c r="IBZ2196" s="10"/>
      <c r="ICA2196" s="10"/>
      <c r="ICB2196" s="10"/>
      <c r="ICC2196" s="10"/>
      <c r="ICD2196" s="10"/>
      <c r="ICE2196" s="10"/>
      <c r="ICF2196" s="10"/>
      <c r="ICG2196" s="10"/>
      <c r="ICH2196" s="10"/>
      <c r="ICI2196" s="10"/>
      <c r="ICJ2196" s="10"/>
      <c r="ICK2196" s="10"/>
      <c r="ICL2196" s="10"/>
      <c r="ICM2196" s="10"/>
      <c r="ICN2196" s="10"/>
      <c r="ICO2196" s="10"/>
      <c r="ICP2196" s="10"/>
      <c r="ICQ2196" s="10"/>
      <c r="ICR2196" s="10"/>
      <c r="ICS2196" s="10"/>
      <c r="ICT2196" s="10"/>
      <c r="ICU2196" s="10"/>
      <c r="ICV2196" s="10"/>
      <c r="ICW2196" s="10"/>
      <c r="ICX2196" s="10"/>
      <c r="ICY2196" s="10"/>
      <c r="ICZ2196" s="10"/>
      <c r="IDA2196" s="10"/>
      <c r="IDB2196" s="10"/>
      <c r="IDC2196" s="10"/>
      <c r="IDD2196" s="10"/>
      <c r="IDE2196" s="10"/>
      <c r="IDF2196" s="10"/>
      <c r="IDG2196" s="10"/>
      <c r="IDH2196" s="10"/>
      <c r="IDI2196" s="10"/>
      <c r="IDJ2196" s="10"/>
      <c r="IDK2196" s="10"/>
      <c r="IDL2196" s="10"/>
      <c r="IDM2196" s="10"/>
      <c r="IDN2196" s="10"/>
      <c r="IDO2196" s="10"/>
      <c r="IDP2196" s="10"/>
      <c r="IDQ2196" s="10"/>
      <c r="IDR2196" s="10"/>
      <c r="IDS2196" s="10"/>
      <c r="IDT2196" s="10"/>
      <c r="IDU2196" s="10"/>
      <c r="IDV2196" s="10"/>
      <c r="IDW2196" s="10"/>
      <c r="IDX2196" s="10"/>
      <c r="IDY2196" s="10"/>
      <c r="IDZ2196" s="10"/>
      <c r="IEA2196" s="10"/>
      <c r="IEB2196" s="10"/>
      <c r="IEC2196" s="10"/>
      <c r="IED2196" s="10"/>
      <c r="IEE2196" s="10"/>
      <c r="IEF2196" s="10"/>
      <c r="IEG2196" s="10"/>
      <c r="IEH2196" s="10"/>
      <c r="IEI2196" s="10"/>
      <c r="IEJ2196" s="10"/>
      <c r="IEK2196" s="10"/>
      <c r="IEL2196" s="10"/>
      <c r="IEM2196" s="10"/>
      <c r="IEN2196" s="10"/>
      <c r="IEO2196" s="10"/>
      <c r="IEP2196" s="10"/>
      <c r="IEQ2196" s="10"/>
      <c r="IER2196" s="10"/>
      <c r="IES2196" s="10"/>
      <c r="IET2196" s="10"/>
      <c r="IEU2196" s="10"/>
      <c r="IEV2196" s="10"/>
      <c r="IEW2196" s="10"/>
      <c r="IEX2196" s="10"/>
      <c r="IEY2196" s="10"/>
      <c r="IEZ2196" s="10"/>
      <c r="IFA2196" s="10"/>
      <c r="IFB2196" s="10"/>
      <c r="IFC2196" s="10"/>
      <c r="IFD2196" s="10"/>
      <c r="IFE2196" s="10"/>
      <c r="IFF2196" s="10"/>
      <c r="IFG2196" s="10"/>
      <c r="IFH2196" s="10"/>
      <c r="IFI2196" s="10"/>
      <c r="IFJ2196" s="10"/>
      <c r="IFK2196" s="10"/>
      <c r="IFL2196" s="10"/>
      <c r="IFM2196" s="10"/>
      <c r="IFN2196" s="10"/>
      <c r="IFO2196" s="10"/>
      <c r="IFP2196" s="10"/>
      <c r="IFQ2196" s="10"/>
      <c r="IFR2196" s="10"/>
      <c r="IFS2196" s="10"/>
      <c r="IFT2196" s="10"/>
      <c r="IFU2196" s="10"/>
      <c r="IFV2196" s="10"/>
      <c r="IFW2196" s="10"/>
      <c r="IFX2196" s="10"/>
      <c r="IFY2196" s="10"/>
      <c r="IFZ2196" s="10"/>
      <c r="IGA2196" s="10"/>
      <c r="IGB2196" s="10"/>
      <c r="IGC2196" s="10"/>
      <c r="IGD2196" s="10"/>
      <c r="IGE2196" s="10"/>
      <c r="IGF2196" s="10"/>
      <c r="IGG2196" s="10"/>
      <c r="IGH2196" s="10"/>
      <c r="IGI2196" s="10"/>
      <c r="IGJ2196" s="10"/>
      <c r="IGK2196" s="10"/>
      <c r="IGL2196" s="10"/>
      <c r="IGM2196" s="10"/>
      <c r="IGN2196" s="10"/>
      <c r="IGO2196" s="10"/>
      <c r="IGP2196" s="10"/>
      <c r="IGQ2196" s="10"/>
      <c r="IGR2196" s="10"/>
      <c r="IGS2196" s="10"/>
      <c r="IGT2196" s="10"/>
      <c r="IGU2196" s="10"/>
      <c r="IGV2196" s="10"/>
      <c r="IGW2196" s="10"/>
      <c r="IGX2196" s="10"/>
      <c r="IGY2196" s="10"/>
      <c r="IGZ2196" s="10"/>
      <c r="IHA2196" s="10"/>
      <c r="IHB2196" s="10"/>
      <c r="IHC2196" s="10"/>
      <c r="IHD2196" s="10"/>
      <c r="IHE2196" s="10"/>
      <c r="IHF2196" s="10"/>
      <c r="IHG2196" s="10"/>
      <c r="IHH2196" s="10"/>
      <c r="IHI2196" s="10"/>
      <c r="IHJ2196" s="10"/>
      <c r="IHK2196" s="10"/>
      <c r="IHL2196" s="10"/>
      <c r="IHM2196" s="10"/>
      <c r="IHN2196" s="10"/>
      <c r="IHO2196" s="10"/>
      <c r="IHP2196" s="10"/>
      <c r="IHQ2196" s="10"/>
      <c r="IHR2196" s="10"/>
      <c r="IHS2196" s="10"/>
      <c r="IHT2196" s="10"/>
      <c r="IHU2196" s="10"/>
      <c r="IHV2196" s="10"/>
      <c r="IHW2196" s="10"/>
      <c r="IHX2196" s="10"/>
      <c r="IHY2196" s="10"/>
      <c r="IHZ2196" s="10"/>
      <c r="IIA2196" s="10"/>
      <c r="IIB2196" s="10"/>
      <c r="IIC2196" s="10"/>
      <c r="IID2196" s="10"/>
      <c r="IIE2196" s="10"/>
      <c r="IIF2196" s="10"/>
      <c r="IIG2196" s="10"/>
      <c r="IIH2196" s="10"/>
      <c r="III2196" s="10"/>
      <c r="IIJ2196" s="10"/>
      <c r="IIK2196" s="10"/>
      <c r="IIL2196" s="10"/>
      <c r="IIM2196" s="10"/>
      <c r="IIN2196" s="10"/>
      <c r="IIO2196" s="10"/>
      <c r="IIP2196" s="10"/>
      <c r="IIQ2196" s="10"/>
      <c r="IIR2196" s="10"/>
      <c r="IIS2196" s="10"/>
      <c r="IIT2196" s="10"/>
      <c r="IIU2196" s="10"/>
      <c r="IIV2196" s="10"/>
      <c r="IIW2196" s="10"/>
      <c r="IIX2196" s="10"/>
      <c r="IIY2196" s="10"/>
      <c r="IIZ2196" s="10"/>
      <c r="IJA2196" s="10"/>
      <c r="IJB2196" s="10"/>
      <c r="IJC2196" s="10"/>
      <c r="IJD2196" s="10"/>
      <c r="IJE2196" s="10"/>
      <c r="IJF2196" s="10"/>
      <c r="IJG2196" s="10"/>
      <c r="IJH2196" s="10"/>
      <c r="IJI2196" s="10"/>
      <c r="IJJ2196" s="10"/>
      <c r="IJK2196" s="10"/>
      <c r="IJL2196" s="10"/>
      <c r="IJM2196" s="10"/>
      <c r="IJN2196" s="10"/>
      <c r="IJO2196" s="10"/>
      <c r="IJP2196" s="10"/>
      <c r="IJQ2196" s="10"/>
      <c r="IJR2196" s="10"/>
      <c r="IJS2196" s="10"/>
      <c r="IJT2196" s="10"/>
      <c r="IJU2196" s="10"/>
      <c r="IJV2196" s="10"/>
      <c r="IJW2196" s="10"/>
      <c r="IJX2196" s="10"/>
      <c r="IJY2196" s="10"/>
      <c r="IJZ2196" s="10"/>
      <c r="IKA2196" s="10"/>
      <c r="IKB2196" s="10"/>
      <c r="IKC2196" s="10"/>
      <c r="IKD2196" s="10"/>
      <c r="IKE2196" s="10"/>
      <c r="IKF2196" s="10"/>
      <c r="IKG2196" s="10"/>
      <c r="IKH2196" s="10"/>
      <c r="IKI2196" s="10"/>
      <c r="IKJ2196" s="10"/>
      <c r="IKK2196" s="10"/>
      <c r="IKL2196" s="10"/>
      <c r="IKM2196" s="10"/>
      <c r="IKN2196" s="10"/>
      <c r="IKO2196" s="10"/>
      <c r="IKP2196" s="10"/>
      <c r="IKQ2196" s="10"/>
      <c r="IKR2196" s="10"/>
      <c r="IKS2196" s="10"/>
      <c r="IKT2196" s="10"/>
      <c r="IKU2196" s="10"/>
      <c r="IKV2196" s="10"/>
      <c r="IKW2196" s="10"/>
      <c r="IKX2196" s="10"/>
      <c r="IKY2196" s="10"/>
      <c r="IKZ2196" s="10"/>
      <c r="ILA2196" s="10"/>
      <c r="ILB2196" s="10"/>
      <c r="ILC2196" s="10"/>
      <c r="ILD2196" s="10"/>
      <c r="ILE2196" s="10"/>
      <c r="ILF2196" s="10"/>
      <c r="ILG2196" s="10"/>
      <c r="ILH2196" s="10"/>
      <c r="ILI2196" s="10"/>
      <c r="ILJ2196" s="10"/>
      <c r="ILK2196" s="10"/>
      <c r="ILL2196" s="10"/>
      <c r="ILM2196" s="10"/>
      <c r="ILN2196" s="10"/>
      <c r="ILO2196" s="10"/>
      <c r="ILP2196" s="10"/>
      <c r="ILQ2196" s="10"/>
      <c r="ILR2196" s="10"/>
      <c r="ILS2196" s="10"/>
      <c r="ILT2196" s="10"/>
      <c r="ILU2196" s="10"/>
      <c r="ILV2196" s="10"/>
      <c r="ILW2196" s="10"/>
      <c r="ILX2196" s="10"/>
      <c r="ILY2196" s="10"/>
      <c r="ILZ2196" s="10"/>
      <c r="IMA2196" s="10"/>
      <c r="IMB2196" s="10"/>
      <c r="IMC2196" s="10"/>
      <c r="IMD2196" s="10"/>
      <c r="IME2196" s="10"/>
      <c r="IMF2196" s="10"/>
      <c r="IMG2196" s="10"/>
      <c r="IMH2196" s="10"/>
      <c r="IMI2196" s="10"/>
      <c r="IMJ2196" s="10"/>
      <c r="IMK2196" s="10"/>
      <c r="IML2196" s="10"/>
      <c r="IMM2196" s="10"/>
      <c r="IMN2196" s="10"/>
      <c r="IMO2196" s="10"/>
      <c r="IMP2196" s="10"/>
      <c r="IMQ2196" s="10"/>
      <c r="IMR2196" s="10"/>
      <c r="IMS2196" s="10"/>
      <c r="IMT2196" s="10"/>
      <c r="IMU2196" s="10"/>
      <c r="IMV2196" s="10"/>
      <c r="IMW2196" s="10"/>
      <c r="IMX2196" s="10"/>
      <c r="IMY2196" s="10"/>
      <c r="IMZ2196" s="10"/>
      <c r="INA2196" s="10"/>
      <c r="INB2196" s="10"/>
      <c r="INC2196" s="10"/>
      <c r="IND2196" s="10"/>
      <c r="INE2196" s="10"/>
      <c r="INF2196" s="10"/>
      <c r="ING2196" s="10"/>
      <c r="INH2196" s="10"/>
      <c r="INI2196" s="10"/>
      <c r="INJ2196" s="10"/>
      <c r="INK2196" s="10"/>
      <c r="INL2196" s="10"/>
      <c r="INM2196" s="10"/>
      <c r="INN2196" s="10"/>
      <c r="INO2196" s="10"/>
      <c r="INP2196" s="10"/>
      <c r="INQ2196" s="10"/>
      <c r="INR2196" s="10"/>
      <c r="INS2196" s="10"/>
      <c r="INT2196" s="10"/>
      <c r="INU2196" s="10"/>
      <c r="INV2196" s="10"/>
      <c r="INW2196" s="10"/>
      <c r="INX2196" s="10"/>
      <c r="INY2196" s="10"/>
      <c r="INZ2196" s="10"/>
      <c r="IOA2196" s="10"/>
      <c r="IOB2196" s="10"/>
      <c r="IOC2196" s="10"/>
      <c r="IOD2196" s="10"/>
      <c r="IOE2196" s="10"/>
      <c r="IOF2196" s="10"/>
      <c r="IOG2196" s="10"/>
      <c r="IOH2196" s="10"/>
      <c r="IOI2196" s="10"/>
      <c r="IOJ2196" s="10"/>
      <c r="IOK2196" s="10"/>
      <c r="IOL2196" s="10"/>
      <c r="IOM2196" s="10"/>
      <c r="ION2196" s="10"/>
      <c r="IOO2196" s="10"/>
      <c r="IOP2196" s="10"/>
      <c r="IOQ2196" s="10"/>
      <c r="IOR2196" s="10"/>
      <c r="IOS2196" s="10"/>
      <c r="IOT2196" s="10"/>
      <c r="IOU2196" s="10"/>
      <c r="IOV2196" s="10"/>
      <c r="IOW2196" s="10"/>
      <c r="IOX2196" s="10"/>
      <c r="IOY2196" s="10"/>
      <c r="IOZ2196" s="10"/>
      <c r="IPA2196" s="10"/>
      <c r="IPB2196" s="10"/>
      <c r="IPC2196" s="10"/>
      <c r="IPD2196" s="10"/>
      <c r="IPE2196" s="10"/>
      <c r="IPF2196" s="10"/>
      <c r="IPG2196" s="10"/>
      <c r="IPH2196" s="10"/>
      <c r="IPI2196" s="10"/>
      <c r="IPJ2196" s="10"/>
      <c r="IPK2196" s="10"/>
      <c r="IPL2196" s="10"/>
      <c r="IPM2196" s="10"/>
      <c r="IPN2196" s="10"/>
      <c r="IPO2196" s="10"/>
      <c r="IPP2196" s="10"/>
      <c r="IPQ2196" s="10"/>
      <c r="IPR2196" s="10"/>
      <c r="IPS2196" s="10"/>
      <c r="IPT2196" s="10"/>
      <c r="IPU2196" s="10"/>
      <c r="IPV2196" s="10"/>
      <c r="IPW2196" s="10"/>
      <c r="IPX2196" s="10"/>
      <c r="IPY2196" s="10"/>
      <c r="IPZ2196" s="10"/>
      <c r="IQA2196" s="10"/>
      <c r="IQB2196" s="10"/>
      <c r="IQC2196" s="10"/>
      <c r="IQD2196" s="10"/>
      <c r="IQE2196" s="10"/>
      <c r="IQF2196" s="10"/>
      <c r="IQG2196" s="10"/>
      <c r="IQH2196" s="10"/>
      <c r="IQI2196" s="10"/>
      <c r="IQJ2196" s="10"/>
      <c r="IQK2196" s="10"/>
      <c r="IQL2196" s="10"/>
      <c r="IQM2196" s="10"/>
      <c r="IQN2196" s="10"/>
      <c r="IQO2196" s="10"/>
      <c r="IQP2196" s="10"/>
      <c r="IQQ2196" s="10"/>
      <c r="IQR2196" s="10"/>
      <c r="IQS2196" s="10"/>
      <c r="IQT2196" s="10"/>
      <c r="IQU2196" s="10"/>
      <c r="IQV2196" s="10"/>
      <c r="IQW2196" s="10"/>
      <c r="IQX2196" s="10"/>
      <c r="IQY2196" s="10"/>
      <c r="IQZ2196" s="10"/>
      <c r="IRA2196" s="10"/>
      <c r="IRB2196" s="10"/>
      <c r="IRC2196" s="10"/>
      <c r="IRD2196" s="10"/>
      <c r="IRE2196" s="10"/>
      <c r="IRF2196" s="10"/>
      <c r="IRG2196" s="10"/>
      <c r="IRH2196" s="10"/>
      <c r="IRI2196" s="10"/>
      <c r="IRJ2196" s="10"/>
      <c r="IRK2196" s="10"/>
      <c r="IRL2196" s="10"/>
      <c r="IRM2196" s="10"/>
      <c r="IRN2196" s="10"/>
      <c r="IRO2196" s="10"/>
      <c r="IRP2196" s="10"/>
      <c r="IRQ2196" s="10"/>
      <c r="IRR2196" s="10"/>
      <c r="IRS2196" s="10"/>
      <c r="IRT2196" s="10"/>
      <c r="IRU2196" s="10"/>
      <c r="IRV2196" s="10"/>
      <c r="IRW2196" s="10"/>
      <c r="IRX2196" s="10"/>
      <c r="IRY2196" s="10"/>
      <c r="IRZ2196" s="10"/>
      <c r="ISA2196" s="10"/>
      <c r="ISB2196" s="10"/>
      <c r="ISC2196" s="10"/>
      <c r="ISD2196" s="10"/>
      <c r="ISE2196" s="10"/>
      <c r="ISF2196" s="10"/>
      <c r="ISG2196" s="10"/>
      <c r="ISH2196" s="10"/>
      <c r="ISI2196" s="10"/>
      <c r="ISJ2196" s="10"/>
      <c r="ISK2196" s="10"/>
      <c r="ISL2196" s="10"/>
      <c r="ISM2196" s="10"/>
      <c r="ISN2196" s="10"/>
      <c r="ISO2196" s="10"/>
      <c r="ISP2196" s="10"/>
      <c r="ISQ2196" s="10"/>
      <c r="ISR2196" s="10"/>
      <c r="ISS2196" s="10"/>
      <c r="IST2196" s="10"/>
      <c r="ISU2196" s="10"/>
      <c r="ISV2196" s="10"/>
      <c r="ISW2196" s="10"/>
      <c r="ISX2196" s="10"/>
      <c r="ISY2196" s="10"/>
      <c r="ISZ2196" s="10"/>
      <c r="ITA2196" s="10"/>
      <c r="ITB2196" s="10"/>
      <c r="ITC2196" s="10"/>
      <c r="ITD2196" s="10"/>
      <c r="ITE2196" s="10"/>
      <c r="ITF2196" s="10"/>
      <c r="ITG2196" s="10"/>
      <c r="ITH2196" s="10"/>
      <c r="ITI2196" s="10"/>
      <c r="ITJ2196" s="10"/>
      <c r="ITK2196" s="10"/>
      <c r="ITL2196" s="10"/>
      <c r="ITM2196" s="10"/>
      <c r="ITN2196" s="10"/>
      <c r="ITO2196" s="10"/>
      <c r="ITP2196" s="10"/>
      <c r="ITQ2196" s="10"/>
      <c r="ITR2196" s="10"/>
      <c r="ITS2196" s="10"/>
      <c r="ITT2196" s="10"/>
      <c r="ITU2196" s="10"/>
      <c r="ITV2196" s="10"/>
      <c r="ITW2196" s="10"/>
      <c r="ITX2196" s="10"/>
      <c r="ITY2196" s="10"/>
      <c r="ITZ2196" s="10"/>
      <c r="IUA2196" s="10"/>
      <c r="IUB2196" s="10"/>
      <c r="IUC2196" s="10"/>
      <c r="IUD2196" s="10"/>
      <c r="IUE2196" s="10"/>
      <c r="IUF2196" s="10"/>
      <c r="IUG2196" s="10"/>
      <c r="IUH2196" s="10"/>
      <c r="IUI2196" s="10"/>
      <c r="IUJ2196" s="10"/>
      <c r="IUK2196" s="10"/>
      <c r="IUL2196" s="10"/>
      <c r="IUM2196" s="10"/>
      <c r="IUN2196" s="10"/>
      <c r="IUO2196" s="10"/>
      <c r="IUP2196" s="10"/>
      <c r="IUQ2196" s="10"/>
      <c r="IUR2196" s="10"/>
      <c r="IUS2196" s="10"/>
      <c r="IUT2196" s="10"/>
      <c r="IUU2196" s="10"/>
      <c r="IUV2196" s="10"/>
      <c r="IUW2196" s="10"/>
      <c r="IUX2196" s="10"/>
      <c r="IUY2196" s="10"/>
      <c r="IUZ2196" s="10"/>
      <c r="IVA2196" s="10"/>
      <c r="IVB2196" s="10"/>
      <c r="IVC2196" s="10"/>
      <c r="IVD2196" s="10"/>
      <c r="IVE2196" s="10"/>
      <c r="IVF2196" s="10"/>
      <c r="IVG2196" s="10"/>
      <c r="IVH2196" s="10"/>
      <c r="IVI2196" s="10"/>
      <c r="IVJ2196" s="10"/>
      <c r="IVK2196" s="10"/>
      <c r="IVL2196" s="10"/>
      <c r="IVM2196" s="10"/>
      <c r="IVN2196" s="10"/>
      <c r="IVO2196" s="10"/>
      <c r="IVP2196" s="10"/>
      <c r="IVQ2196" s="10"/>
      <c r="IVR2196" s="10"/>
      <c r="IVS2196" s="10"/>
      <c r="IVT2196" s="10"/>
      <c r="IVU2196" s="10"/>
      <c r="IVV2196" s="10"/>
      <c r="IVW2196" s="10"/>
      <c r="IVX2196" s="10"/>
      <c r="IVY2196" s="10"/>
      <c r="IVZ2196" s="10"/>
      <c r="IWA2196" s="10"/>
      <c r="IWB2196" s="10"/>
      <c r="IWC2196" s="10"/>
      <c r="IWD2196" s="10"/>
      <c r="IWE2196" s="10"/>
      <c r="IWF2196" s="10"/>
      <c r="IWG2196" s="10"/>
      <c r="IWH2196" s="10"/>
      <c r="IWI2196" s="10"/>
      <c r="IWJ2196" s="10"/>
      <c r="IWK2196" s="10"/>
      <c r="IWL2196" s="10"/>
      <c r="IWM2196" s="10"/>
      <c r="IWN2196" s="10"/>
      <c r="IWO2196" s="10"/>
      <c r="IWP2196" s="10"/>
      <c r="IWQ2196" s="10"/>
      <c r="IWR2196" s="10"/>
      <c r="IWS2196" s="10"/>
      <c r="IWT2196" s="10"/>
      <c r="IWU2196" s="10"/>
      <c r="IWV2196" s="10"/>
      <c r="IWW2196" s="10"/>
      <c r="IWX2196" s="10"/>
      <c r="IWY2196" s="10"/>
      <c r="IWZ2196" s="10"/>
      <c r="IXA2196" s="10"/>
      <c r="IXB2196" s="10"/>
      <c r="IXC2196" s="10"/>
      <c r="IXD2196" s="10"/>
      <c r="IXE2196" s="10"/>
      <c r="IXF2196" s="10"/>
      <c r="IXG2196" s="10"/>
      <c r="IXH2196" s="10"/>
      <c r="IXI2196" s="10"/>
      <c r="IXJ2196" s="10"/>
      <c r="IXK2196" s="10"/>
      <c r="IXL2196" s="10"/>
      <c r="IXM2196" s="10"/>
      <c r="IXN2196" s="10"/>
      <c r="IXO2196" s="10"/>
      <c r="IXP2196" s="10"/>
      <c r="IXQ2196" s="10"/>
      <c r="IXR2196" s="10"/>
      <c r="IXS2196" s="10"/>
      <c r="IXT2196" s="10"/>
      <c r="IXU2196" s="10"/>
      <c r="IXV2196" s="10"/>
      <c r="IXW2196" s="10"/>
      <c r="IXX2196" s="10"/>
      <c r="IXY2196" s="10"/>
      <c r="IXZ2196" s="10"/>
      <c r="IYA2196" s="10"/>
      <c r="IYB2196" s="10"/>
      <c r="IYC2196" s="10"/>
      <c r="IYD2196" s="10"/>
      <c r="IYE2196" s="10"/>
      <c r="IYF2196" s="10"/>
      <c r="IYG2196" s="10"/>
      <c r="IYH2196" s="10"/>
      <c r="IYI2196" s="10"/>
      <c r="IYJ2196" s="10"/>
      <c r="IYK2196" s="10"/>
      <c r="IYL2196" s="10"/>
      <c r="IYM2196" s="10"/>
      <c r="IYN2196" s="10"/>
      <c r="IYO2196" s="10"/>
      <c r="IYP2196" s="10"/>
      <c r="IYQ2196" s="10"/>
      <c r="IYR2196" s="10"/>
      <c r="IYS2196" s="10"/>
      <c r="IYT2196" s="10"/>
      <c r="IYU2196" s="10"/>
      <c r="IYV2196" s="10"/>
      <c r="IYW2196" s="10"/>
      <c r="IYX2196" s="10"/>
      <c r="IYY2196" s="10"/>
      <c r="IYZ2196" s="10"/>
      <c r="IZA2196" s="10"/>
      <c r="IZB2196" s="10"/>
      <c r="IZC2196" s="10"/>
      <c r="IZD2196" s="10"/>
      <c r="IZE2196" s="10"/>
      <c r="IZF2196" s="10"/>
      <c r="IZG2196" s="10"/>
      <c r="IZH2196" s="10"/>
      <c r="IZI2196" s="10"/>
      <c r="IZJ2196" s="10"/>
      <c r="IZK2196" s="10"/>
      <c r="IZL2196" s="10"/>
      <c r="IZM2196" s="10"/>
      <c r="IZN2196" s="10"/>
      <c r="IZO2196" s="10"/>
      <c r="IZP2196" s="10"/>
      <c r="IZQ2196" s="10"/>
      <c r="IZR2196" s="10"/>
      <c r="IZS2196" s="10"/>
      <c r="IZT2196" s="10"/>
      <c r="IZU2196" s="10"/>
      <c r="IZV2196" s="10"/>
      <c r="IZW2196" s="10"/>
      <c r="IZX2196" s="10"/>
      <c r="IZY2196" s="10"/>
      <c r="IZZ2196" s="10"/>
      <c r="JAA2196" s="10"/>
      <c r="JAB2196" s="10"/>
      <c r="JAC2196" s="10"/>
      <c r="JAD2196" s="10"/>
      <c r="JAE2196" s="10"/>
      <c r="JAF2196" s="10"/>
      <c r="JAG2196" s="10"/>
      <c r="JAH2196" s="10"/>
      <c r="JAI2196" s="10"/>
      <c r="JAJ2196" s="10"/>
      <c r="JAK2196" s="10"/>
      <c r="JAL2196" s="10"/>
      <c r="JAM2196" s="10"/>
      <c r="JAN2196" s="10"/>
      <c r="JAO2196" s="10"/>
      <c r="JAP2196" s="10"/>
      <c r="JAQ2196" s="10"/>
      <c r="JAR2196" s="10"/>
      <c r="JAS2196" s="10"/>
      <c r="JAT2196" s="10"/>
      <c r="JAU2196" s="10"/>
      <c r="JAV2196" s="10"/>
      <c r="JAW2196" s="10"/>
      <c r="JAX2196" s="10"/>
      <c r="JAY2196" s="10"/>
      <c r="JAZ2196" s="10"/>
      <c r="JBA2196" s="10"/>
      <c r="JBB2196" s="10"/>
      <c r="JBC2196" s="10"/>
      <c r="JBD2196" s="10"/>
      <c r="JBE2196" s="10"/>
      <c r="JBF2196" s="10"/>
      <c r="JBG2196" s="10"/>
      <c r="JBH2196" s="10"/>
      <c r="JBI2196" s="10"/>
      <c r="JBJ2196" s="10"/>
      <c r="JBK2196" s="10"/>
      <c r="JBL2196" s="10"/>
      <c r="JBM2196" s="10"/>
      <c r="JBN2196" s="10"/>
      <c r="JBO2196" s="10"/>
      <c r="JBP2196" s="10"/>
      <c r="JBQ2196" s="10"/>
      <c r="JBR2196" s="10"/>
      <c r="JBS2196" s="10"/>
      <c r="JBT2196" s="10"/>
      <c r="JBU2196" s="10"/>
      <c r="JBV2196" s="10"/>
      <c r="JBW2196" s="10"/>
      <c r="JBX2196" s="10"/>
      <c r="JBY2196" s="10"/>
      <c r="JBZ2196" s="10"/>
      <c r="JCA2196" s="10"/>
      <c r="JCB2196" s="10"/>
      <c r="JCC2196" s="10"/>
      <c r="JCD2196" s="10"/>
      <c r="JCE2196" s="10"/>
      <c r="JCF2196" s="10"/>
      <c r="JCG2196" s="10"/>
      <c r="JCH2196" s="10"/>
      <c r="JCI2196" s="10"/>
      <c r="JCJ2196" s="10"/>
      <c r="JCK2196" s="10"/>
      <c r="JCL2196" s="10"/>
      <c r="JCM2196" s="10"/>
      <c r="JCN2196" s="10"/>
      <c r="JCO2196" s="10"/>
      <c r="JCP2196" s="10"/>
      <c r="JCQ2196" s="10"/>
      <c r="JCR2196" s="10"/>
      <c r="JCS2196" s="10"/>
      <c r="JCT2196" s="10"/>
      <c r="JCU2196" s="10"/>
      <c r="JCV2196" s="10"/>
      <c r="JCW2196" s="10"/>
      <c r="JCX2196" s="10"/>
      <c r="JCY2196" s="10"/>
      <c r="JCZ2196" s="10"/>
      <c r="JDA2196" s="10"/>
      <c r="JDB2196" s="10"/>
      <c r="JDC2196" s="10"/>
      <c r="JDD2196" s="10"/>
      <c r="JDE2196" s="10"/>
      <c r="JDF2196" s="10"/>
      <c r="JDG2196" s="10"/>
      <c r="JDH2196" s="10"/>
      <c r="JDI2196" s="10"/>
      <c r="JDJ2196" s="10"/>
      <c r="JDK2196" s="10"/>
      <c r="JDL2196" s="10"/>
      <c r="JDM2196" s="10"/>
      <c r="JDN2196" s="10"/>
      <c r="JDO2196" s="10"/>
      <c r="JDP2196" s="10"/>
      <c r="JDQ2196" s="10"/>
      <c r="JDR2196" s="10"/>
      <c r="JDS2196" s="10"/>
      <c r="JDT2196" s="10"/>
      <c r="JDU2196" s="10"/>
      <c r="JDV2196" s="10"/>
      <c r="JDW2196" s="10"/>
      <c r="JDX2196" s="10"/>
      <c r="JDY2196" s="10"/>
      <c r="JDZ2196" s="10"/>
      <c r="JEA2196" s="10"/>
      <c r="JEB2196" s="10"/>
      <c r="JEC2196" s="10"/>
      <c r="JED2196" s="10"/>
      <c r="JEE2196" s="10"/>
      <c r="JEF2196" s="10"/>
      <c r="JEG2196" s="10"/>
      <c r="JEH2196" s="10"/>
      <c r="JEI2196" s="10"/>
      <c r="JEJ2196" s="10"/>
      <c r="JEK2196" s="10"/>
      <c r="JEL2196" s="10"/>
      <c r="JEM2196" s="10"/>
      <c r="JEN2196" s="10"/>
      <c r="JEO2196" s="10"/>
      <c r="JEP2196" s="10"/>
      <c r="JEQ2196" s="10"/>
      <c r="JER2196" s="10"/>
      <c r="JES2196" s="10"/>
      <c r="JET2196" s="10"/>
      <c r="JEU2196" s="10"/>
      <c r="JEV2196" s="10"/>
      <c r="JEW2196" s="10"/>
      <c r="JEX2196" s="10"/>
      <c r="JEY2196" s="10"/>
      <c r="JEZ2196" s="10"/>
      <c r="JFA2196" s="10"/>
      <c r="JFB2196" s="10"/>
      <c r="JFC2196" s="10"/>
      <c r="JFD2196" s="10"/>
      <c r="JFE2196" s="10"/>
      <c r="JFF2196" s="10"/>
      <c r="JFG2196" s="10"/>
      <c r="JFH2196" s="10"/>
      <c r="JFI2196" s="10"/>
      <c r="JFJ2196" s="10"/>
      <c r="JFK2196" s="10"/>
      <c r="JFL2196" s="10"/>
      <c r="JFM2196" s="10"/>
      <c r="JFN2196" s="10"/>
      <c r="JFO2196" s="10"/>
      <c r="JFP2196" s="10"/>
      <c r="JFQ2196" s="10"/>
      <c r="JFR2196" s="10"/>
      <c r="JFS2196" s="10"/>
      <c r="JFT2196" s="10"/>
      <c r="JFU2196" s="10"/>
      <c r="JFV2196" s="10"/>
      <c r="JFW2196" s="10"/>
      <c r="JFX2196" s="10"/>
      <c r="JFY2196" s="10"/>
      <c r="JFZ2196" s="10"/>
      <c r="JGA2196" s="10"/>
      <c r="JGB2196" s="10"/>
      <c r="JGC2196" s="10"/>
      <c r="JGD2196" s="10"/>
      <c r="JGE2196" s="10"/>
      <c r="JGF2196" s="10"/>
      <c r="JGG2196" s="10"/>
      <c r="JGH2196" s="10"/>
      <c r="JGI2196" s="10"/>
      <c r="JGJ2196" s="10"/>
      <c r="JGK2196" s="10"/>
      <c r="JGL2196" s="10"/>
      <c r="JGM2196" s="10"/>
      <c r="JGN2196" s="10"/>
      <c r="JGO2196" s="10"/>
      <c r="JGP2196" s="10"/>
      <c r="JGQ2196" s="10"/>
      <c r="JGR2196" s="10"/>
      <c r="JGS2196" s="10"/>
      <c r="JGT2196" s="10"/>
      <c r="JGU2196" s="10"/>
      <c r="JGV2196" s="10"/>
      <c r="JGW2196" s="10"/>
      <c r="JGX2196" s="10"/>
      <c r="JGY2196" s="10"/>
      <c r="JGZ2196" s="10"/>
      <c r="JHA2196" s="10"/>
      <c r="JHB2196" s="10"/>
      <c r="JHC2196" s="10"/>
      <c r="JHD2196" s="10"/>
      <c r="JHE2196" s="10"/>
      <c r="JHF2196" s="10"/>
      <c r="JHG2196" s="10"/>
      <c r="JHH2196" s="10"/>
      <c r="JHI2196" s="10"/>
      <c r="JHJ2196" s="10"/>
      <c r="JHK2196" s="10"/>
      <c r="JHL2196" s="10"/>
      <c r="JHM2196" s="10"/>
      <c r="JHN2196" s="10"/>
      <c r="JHO2196" s="10"/>
      <c r="JHP2196" s="10"/>
      <c r="JHQ2196" s="10"/>
      <c r="JHR2196" s="10"/>
      <c r="JHS2196" s="10"/>
      <c r="JHT2196" s="10"/>
      <c r="JHU2196" s="10"/>
      <c r="JHV2196" s="10"/>
      <c r="JHW2196" s="10"/>
      <c r="JHX2196" s="10"/>
      <c r="JHY2196" s="10"/>
      <c r="JHZ2196" s="10"/>
      <c r="JIA2196" s="10"/>
      <c r="JIB2196" s="10"/>
      <c r="JIC2196" s="10"/>
      <c r="JID2196" s="10"/>
      <c r="JIE2196" s="10"/>
      <c r="JIF2196" s="10"/>
      <c r="JIG2196" s="10"/>
      <c r="JIH2196" s="10"/>
      <c r="JII2196" s="10"/>
      <c r="JIJ2196" s="10"/>
      <c r="JIK2196" s="10"/>
      <c r="JIL2196" s="10"/>
      <c r="JIM2196" s="10"/>
      <c r="JIN2196" s="10"/>
      <c r="JIO2196" s="10"/>
      <c r="JIP2196" s="10"/>
      <c r="JIQ2196" s="10"/>
      <c r="JIR2196" s="10"/>
      <c r="JIS2196" s="10"/>
      <c r="JIT2196" s="10"/>
      <c r="JIU2196" s="10"/>
      <c r="JIV2196" s="10"/>
      <c r="JIW2196" s="10"/>
      <c r="JIX2196" s="10"/>
      <c r="JIY2196" s="10"/>
      <c r="JIZ2196" s="10"/>
      <c r="JJA2196" s="10"/>
      <c r="JJB2196" s="10"/>
      <c r="JJC2196" s="10"/>
      <c r="JJD2196" s="10"/>
      <c r="JJE2196" s="10"/>
      <c r="JJF2196" s="10"/>
      <c r="JJG2196" s="10"/>
      <c r="JJH2196" s="10"/>
      <c r="JJI2196" s="10"/>
      <c r="JJJ2196" s="10"/>
      <c r="JJK2196" s="10"/>
      <c r="JJL2196" s="10"/>
      <c r="JJM2196" s="10"/>
      <c r="JJN2196" s="10"/>
      <c r="JJO2196" s="10"/>
      <c r="JJP2196" s="10"/>
      <c r="JJQ2196" s="10"/>
      <c r="JJR2196" s="10"/>
      <c r="JJS2196" s="10"/>
      <c r="JJT2196" s="10"/>
      <c r="JJU2196" s="10"/>
      <c r="JJV2196" s="10"/>
      <c r="JJW2196" s="10"/>
      <c r="JJX2196" s="10"/>
      <c r="JJY2196" s="10"/>
      <c r="JJZ2196" s="10"/>
      <c r="JKA2196" s="10"/>
      <c r="JKB2196" s="10"/>
      <c r="JKC2196" s="10"/>
      <c r="JKD2196" s="10"/>
      <c r="JKE2196" s="10"/>
      <c r="JKF2196" s="10"/>
      <c r="JKG2196" s="10"/>
      <c r="JKH2196" s="10"/>
      <c r="JKI2196" s="10"/>
      <c r="JKJ2196" s="10"/>
      <c r="JKK2196" s="10"/>
      <c r="JKL2196" s="10"/>
      <c r="JKM2196" s="10"/>
      <c r="JKN2196" s="10"/>
      <c r="JKO2196" s="10"/>
      <c r="JKP2196" s="10"/>
      <c r="JKQ2196" s="10"/>
      <c r="JKR2196" s="10"/>
      <c r="JKS2196" s="10"/>
      <c r="JKT2196" s="10"/>
      <c r="JKU2196" s="10"/>
      <c r="JKV2196" s="10"/>
      <c r="JKW2196" s="10"/>
      <c r="JKX2196" s="10"/>
      <c r="JKY2196" s="10"/>
      <c r="JKZ2196" s="10"/>
      <c r="JLA2196" s="10"/>
      <c r="JLB2196" s="10"/>
      <c r="JLC2196" s="10"/>
      <c r="JLD2196" s="10"/>
      <c r="JLE2196" s="10"/>
      <c r="JLF2196" s="10"/>
      <c r="JLG2196" s="10"/>
      <c r="JLH2196" s="10"/>
      <c r="JLI2196" s="10"/>
      <c r="JLJ2196" s="10"/>
      <c r="JLK2196" s="10"/>
      <c r="JLL2196" s="10"/>
      <c r="JLM2196" s="10"/>
      <c r="JLN2196" s="10"/>
      <c r="JLO2196" s="10"/>
      <c r="JLP2196" s="10"/>
      <c r="JLQ2196" s="10"/>
      <c r="JLR2196" s="10"/>
      <c r="JLS2196" s="10"/>
      <c r="JLT2196" s="10"/>
      <c r="JLU2196" s="10"/>
      <c r="JLV2196" s="10"/>
      <c r="JLW2196" s="10"/>
      <c r="JLX2196" s="10"/>
      <c r="JLY2196" s="10"/>
      <c r="JLZ2196" s="10"/>
      <c r="JMA2196" s="10"/>
      <c r="JMB2196" s="10"/>
      <c r="JMC2196" s="10"/>
      <c r="JMD2196" s="10"/>
      <c r="JME2196" s="10"/>
      <c r="JMF2196" s="10"/>
      <c r="JMG2196" s="10"/>
      <c r="JMH2196" s="10"/>
      <c r="JMI2196" s="10"/>
      <c r="JMJ2196" s="10"/>
      <c r="JMK2196" s="10"/>
      <c r="JML2196" s="10"/>
      <c r="JMM2196" s="10"/>
      <c r="JMN2196" s="10"/>
      <c r="JMO2196" s="10"/>
      <c r="JMP2196" s="10"/>
      <c r="JMQ2196" s="10"/>
      <c r="JMR2196" s="10"/>
      <c r="JMS2196" s="10"/>
      <c r="JMT2196" s="10"/>
      <c r="JMU2196" s="10"/>
      <c r="JMV2196" s="10"/>
      <c r="JMW2196" s="10"/>
      <c r="JMX2196" s="10"/>
      <c r="JMY2196" s="10"/>
      <c r="JMZ2196" s="10"/>
      <c r="JNA2196" s="10"/>
      <c r="JNB2196" s="10"/>
      <c r="JNC2196" s="10"/>
      <c r="JND2196" s="10"/>
      <c r="JNE2196" s="10"/>
      <c r="JNF2196" s="10"/>
      <c r="JNG2196" s="10"/>
      <c r="JNH2196" s="10"/>
      <c r="JNI2196" s="10"/>
      <c r="JNJ2196" s="10"/>
      <c r="JNK2196" s="10"/>
      <c r="JNL2196" s="10"/>
      <c r="JNM2196" s="10"/>
      <c r="JNN2196" s="10"/>
      <c r="JNO2196" s="10"/>
      <c r="JNP2196" s="10"/>
      <c r="JNQ2196" s="10"/>
      <c r="JNR2196" s="10"/>
      <c r="JNS2196" s="10"/>
      <c r="JNT2196" s="10"/>
      <c r="JNU2196" s="10"/>
      <c r="JNV2196" s="10"/>
      <c r="JNW2196" s="10"/>
      <c r="JNX2196" s="10"/>
      <c r="JNY2196" s="10"/>
      <c r="JNZ2196" s="10"/>
      <c r="JOA2196" s="10"/>
      <c r="JOB2196" s="10"/>
      <c r="JOC2196" s="10"/>
      <c r="JOD2196" s="10"/>
      <c r="JOE2196" s="10"/>
      <c r="JOF2196" s="10"/>
      <c r="JOG2196" s="10"/>
      <c r="JOH2196" s="10"/>
      <c r="JOI2196" s="10"/>
      <c r="JOJ2196" s="10"/>
      <c r="JOK2196" s="10"/>
      <c r="JOL2196" s="10"/>
      <c r="JOM2196" s="10"/>
      <c r="JON2196" s="10"/>
      <c r="JOO2196" s="10"/>
      <c r="JOP2196" s="10"/>
      <c r="JOQ2196" s="10"/>
      <c r="JOR2196" s="10"/>
      <c r="JOS2196" s="10"/>
      <c r="JOT2196" s="10"/>
      <c r="JOU2196" s="10"/>
      <c r="JOV2196" s="10"/>
      <c r="JOW2196" s="10"/>
      <c r="JOX2196" s="10"/>
      <c r="JOY2196" s="10"/>
      <c r="JOZ2196" s="10"/>
      <c r="JPA2196" s="10"/>
      <c r="JPB2196" s="10"/>
      <c r="JPC2196" s="10"/>
      <c r="JPD2196" s="10"/>
      <c r="JPE2196" s="10"/>
      <c r="JPF2196" s="10"/>
      <c r="JPG2196" s="10"/>
      <c r="JPH2196" s="10"/>
      <c r="JPI2196" s="10"/>
      <c r="JPJ2196" s="10"/>
      <c r="JPK2196" s="10"/>
      <c r="JPL2196" s="10"/>
      <c r="JPM2196" s="10"/>
      <c r="JPN2196" s="10"/>
      <c r="JPO2196" s="10"/>
      <c r="JPP2196" s="10"/>
      <c r="JPQ2196" s="10"/>
      <c r="JPR2196" s="10"/>
      <c r="JPS2196" s="10"/>
      <c r="JPT2196" s="10"/>
      <c r="JPU2196" s="10"/>
      <c r="JPV2196" s="10"/>
      <c r="JPW2196" s="10"/>
      <c r="JPX2196" s="10"/>
      <c r="JPY2196" s="10"/>
      <c r="JPZ2196" s="10"/>
      <c r="JQA2196" s="10"/>
      <c r="JQB2196" s="10"/>
      <c r="JQC2196" s="10"/>
      <c r="JQD2196" s="10"/>
      <c r="JQE2196" s="10"/>
      <c r="JQF2196" s="10"/>
      <c r="JQG2196" s="10"/>
      <c r="JQH2196" s="10"/>
      <c r="JQI2196" s="10"/>
      <c r="JQJ2196" s="10"/>
      <c r="JQK2196" s="10"/>
      <c r="JQL2196" s="10"/>
      <c r="JQM2196" s="10"/>
      <c r="JQN2196" s="10"/>
      <c r="JQO2196" s="10"/>
      <c r="JQP2196" s="10"/>
      <c r="JQQ2196" s="10"/>
      <c r="JQR2196" s="10"/>
      <c r="JQS2196" s="10"/>
      <c r="JQT2196" s="10"/>
      <c r="JQU2196" s="10"/>
      <c r="JQV2196" s="10"/>
      <c r="JQW2196" s="10"/>
      <c r="JQX2196" s="10"/>
      <c r="JQY2196" s="10"/>
      <c r="JQZ2196" s="10"/>
      <c r="JRA2196" s="10"/>
      <c r="JRB2196" s="10"/>
      <c r="JRC2196" s="10"/>
      <c r="JRD2196" s="10"/>
      <c r="JRE2196" s="10"/>
      <c r="JRF2196" s="10"/>
      <c r="JRG2196" s="10"/>
      <c r="JRH2196" s="10"/>
      <c r="JRI2196" s="10"/>
      <c r="JRJ2196" s="10"/>
      <c r="JRK2196" s="10"/>
      <c r="JRL2196" s="10"/>
      <c r="JRM2196" s="10"/>
      <c r="JRN2196" s="10"/>
      <c r="JRO2196" s="10"/>
      <c r="JRP2196" s="10"/>
      <c r="JRQ2196" s="10"/>
      <c r="JRR2196" s="10"/>
      <c r="JRS2196" s="10"/>
      <c r="JRT2196" s="10"/>
      <c r="JRU2196" s="10"/>
      <c r="JRV2196" s="10"/>
      <c r="JRW2196" s="10"/>
      <c r="JRX2196" s="10"/>
      <c r="JRY2196" s="10"/>
      <c r="JRZ2196" s="10"/>
      <c r="JSA2196" s="10"/>
      <c r="JSB2196" s="10"/>
      <c r="JSC2196" s="10"/>
      <c r="JSD2196" s="10"/>
      <c r="JSE2196" s="10"/>
      <c r="JSF2196" s="10"/>
      <c r="JSG2196" s="10"/>
      <c r="JSH2196" s="10"/>
      <c r="JSI2196" s="10"/>
      <c r="JSJ2196" s="10"/>
      <c r="JSK2196" s="10"/>
      <c r="JSL2196" s="10"/>
      <c r="JSM2196" s="10"/>
      <c r="JSN2196" s="10"/>
      <c r="JSO2196" s="10"/>
      <c r="JSP2196" s="10"/>
      <c r="JSQ2196" s="10"/>
      <c r="JSR2196" s="10"/>
      <c r="JSS2196" s="10"/>
      <c r="JST2196" s="10"/>
      <c r="JSU2196" s="10"/>
      <c r="JSV2196" s="10"/>
      <c r="JSW2196" s="10"/>
      <c r="JSX2196" s="10"/>
      <c r="JSY2196" s="10"/>
      <c r="JSZ2196" s="10"/>
      <c r="JTA2196" s="10"/>
      <c r="JTB2196" s="10"/>
      <c r="JTC2196" s="10"/>
      <c r="JTD2196" s="10"/>
      <c r="JTE2196" s="10"/>
      <c r="JTF2196" s="10"/>
      <c r="JTG2196" s="10"/>
      <c r="JTH2196" s="10"/>
      <c r="JTI2196" s="10"/>
      <c r="JTJ2196" s="10"/>
      <c r="JTK2196" s="10"/>
      <c r="JTL2196" s="10"/>
      <c r="JTM2196" s="10"/>
      <c r="JTN2196" s="10"/>
      <c r="JTO2196" s="10"/>
      <c r="JTP2196" s="10"/>
      <c r="JTQ2196" s="10"/>
      <c r="JTR2196" s="10"/>
      <c r="JTS2196" s="10"/>
      <c r="JTT2196" s="10"/>
      <c r="JTU2196" s="10"/>
      <c r="JTV2196" s="10"/>
      <c r="JTW2196" s="10"/>
      <c r="JTX2196" s="10"/>
      <c r="JTY2196" s="10"/>
      <c r="JTZ2196" s="10"/>
      <c r="JUA2196" s="10"/>
      <c r="JUB2196" s="10"/>
      <c r="JUC2196" s="10"/>
      <c r="JUD2196" s="10"/>
      <c r="JUE2196" s="10"/>
      <c r="JUF2196" s="10"/>
      <c r="JUG2196" s="10"/>
      <c r="JUH2196" s="10"/>
      <c r="JUI2196" s="10"/>
      <c r="JUJ2196" s="10"/>
      <c r="JUK2196" s="10"/>
      <c r="JUL2196" s="10"/>
      <c r="JUM2196" s="10"/>
      <c r="JUN2196" s="10"/>
      <c r="JUO2196" s="10"/>
      <c r="JUP2196" s="10"/>
      <c r="JUQ2196" s="10"/>
      <c r="JUR2196" s="10"/>
      <c r="JUS2196" s="10"/>
      <c r="JUT2196" s="10"/>
      <c r="JUU2196" s="10"/>
      <c r="JUV2196" s="10"/>
      <c r="JUW2196" s="10"/>
      <c r="JUX2196" s="10"/>
      <c r="JUY2196" s="10"/>
      <c r="JUZ2196" s="10"/>
      <c r="JVA2196" s="10"/>
      <c r="JVB2196" s="10"/>
      <c r="JVC2196" s="10"/>
      <c r="JVD2196" s="10"/>
      <c r="JVE2196" s="10"/>
      <c r="JVF2196" s="10"/>
      <c r="JVG2196" s="10"/>
      <c r="JVH2196" s="10"/>
      <c r="JVI2196" s="10"/>
      <c r="JVJ2196" s="10"/>
      <c r="JVK2196" s="10"/>
      <c r="JVL2196" s="10"/>
      <c r="JVM2196" s="10"/>
      <c r="JVN2196" s="10"/>
      <c r="JVO2196" s="10"/>
      <c r="JVP2196" s="10"/>
      <c r="JVQ2196" s="10"/>
      <c r="JVR2196" s="10"/>
      <c r="JVS2196" s="10"/>
      <c r="JVT2196" s="10"/>
      <c r="JVU2196" s="10"/>
      <c r="JVV2196" s="10"/>
      <c r="JVW2196" s="10"/>
      <c r="JVX2196" s="10"/>
      <c r="JVY2196" s="10"/>
      <c r="JVZ2196" s="10"/>
      <c r="JWA2196" s="10"/>
      <c r="JWB2196" s="10"/>
      <c r="JWC2196" s="10"/>
      <c r="JWD2196" s="10"/>
      <c r="JWE2196" s="10"/>
      <c r="JWF2196" s="10"/>
      <c r="JWG2196" s="10"/>
      <c r="JWH2196" s="10"/>
      <c r="JWI2196" s="10"/>
      <c r="JWJ2196" s="10"/>
      <c r="JWK2196" s="10"/>
      <c r="JWL2196" s="10"/>
      <c r="JWM2196" s="10"/>
      <c r="JWN2196" s="10"/>
      <c r="JWO2196" s="10"/>
      <c r="JWP2196" s="10"/>
      <c r="JWQ2196" s="10"/>
      <c r="JWR2196" s="10"/>
      <c r="JWS2196" s="10"/>
      <c r="JWT2196" s="10"/>
      <c r="JWU2196" s="10"/>
      <c r="JWV2196" s="10"/>
      <c r="JWW2196" s="10"/>
      <c r="JWX2196" s="10"/>
      <c r="JWY2196" s="10"/>
      <c r="JWZ2196" s="10"/>
      <c r="JXA2196" s="10"/>
      <c r="JXB2196" s="10"/>
      <c r="JXC2196" s="10"/>
      <c r="JXD2196" s="10"/>
      <c r="JXE2196" s="10"/>
      <c r="JXF2196" s="10"/>
      <c r="JXG2196" s="10"/>
      <c r="JXH2196" s="10"/>
      <c r="JXI2196" s="10"/>
      <c r="JXJ2196" s="10"/>
      <c r="JXK2196" s="10"/>
      <c r="JXL2196" s="10"/>
      <c r="JXM2196" s="10"/>
      <c r="JXN2196" s="10"/>
      <c r="JXO2196" s="10"/>
      <c r="JXP2196" s="10"/>
      <c r="JXQ2196" s="10"/>
      <c r="JXR2196" s="10"/>
      <c r="JXS2196" s="10"/>
      <c r="JXT2196" s="10"/>
      <c r="JXU2196" s="10"/>
      <c r="JXV2196" s="10"/>
      <c r="JXW2196" s="10"/>
      <c r="JXX2196" s="10"/>
      <c r="JXY2196" s="10"/>
      <c r="JXZ2196" s="10"/>
      <c r="JYA2196" s="10"/>
      <c r="JYB2196" s="10"/>
      <c r="JYC2196" s="10"/>
      <c r="JYD2196" s="10"/>
      <c r="JYE2196" s="10"/>
      <c r="JYF2196" s="10"/>
      <c r="JYG2196" s="10"/>
      <c r="JYH2196" s="10"/>
      <c r="JYI2196" s="10"/>
      <c r="JYJ2196" s="10"/>
      <c r="JYK2196" s="10"/>
      <c r="JYL2196" s="10"/>
      <c r="JYM2196" s="10"/>
      <c r="JYN2196" s="10"/>
      <c r="JYO2196" s="10"/>
      <c r="JYP2196" s="10"/>
      <c r="JYQ2196" s="10"/>
      <c r="JYR2196" s="10"/>
      <c r="JYS2196" s="10"/>
      <c r="JYT2196" s="10"/>
      <c r="JYU2196" s="10"/>
      <c r="JYV2196" s="10"/>
      <c r="JYW2196" s="10"/>
      <c r="JYX2196" s="10"/>
      <c r="JYY2196" s="10"/>
      <c r="JYZ2196" s="10"/>
      <c r="JZA2196" s="10"/>
      <c r="JZB2196" s="10"/>
      <c r="JZC2196" s="10"/>
      <c r="JZD2196" s="10"/>
      <c r="JZE2196" s="10"/>
      <c r="JZF2196" s="10"/>
      <c r="JZG2196" s="10"/>
      <c r="JZH2196" s="10"/>
      <c r="JZI2196" s="10"/>
      <c r="JZJ2196" s="10"/>
      <c r="JZK2196" s="10"/>
      <c r="JZL2196" s="10"/>
      <c r="JZM2196" s="10"/>
      <c r="JZN2196" s="10"/>
      <c r="JZO2196" s="10"/>
      <c r="JZP2196" s="10"/>
      <c r="JZQ2196" s="10"/>
      <c r="JZR2196" s="10"/>
      <c r="JZS2196" s="10"/>
      <c r="JZT2196" s="10"/>
      <c r="JZU2196" s="10"/>
      <c r="JZV2196" s="10"/>
      <c r="JZW2196" s="10"/>
      <c r="JZX2196" s="10"/>
      <c r="JZY2196" s="10"/>
      <c r="JZZ2196" s="10"/>
      <c r="KAA2196" s="10"/>
      <c r="KAB2196" s="10"/>
      <c r="KAC2196" s="10"/>
      <c r="KAD2196" s="10"/>
      <c r="KAE2196" s="10"/>
      <c r="KAF2196" s="10"/>
      <c r="KAG2196" s="10"/>
      <c r="KAH2196" s="10"/>
      <c r="KAI2196" s="10"/>
      <c r="KAJ2196" s="10"/>
      <c r="KAK2196" s="10"/>
      <c r="KAL2196" s="10"/>
      <c r="KAM2196" s="10"/>
      <c r="KAN2196" s="10"/>
      <c r="KAO2196" s="10"/>
      <c r="KAP2196" s="10"/>
      <c r="KAQ2196" s="10"/>
      <c r="KAR2196" s="10"/>
      <c r="KAS2196" s="10"/>
      <c r="KAT2196" s="10"/>
      <c r="KAU2196" s="10"/>
      <c r="KAV2196" s="10"/>
      <c r="KAW2196" s="10"/>
      <c r="KAX2196" s="10"/>
      <c r="KAY2196" s="10"/>
      <c r="KAZ2196" s="10"/>
      <c r="KBA2196" s="10"/>
      <c r="KBB2196" s="10"/>
      <c r="KBC2196" s="10"/>
      <c r="KBD2196" s="10"/>
      <c r="KBE2196" s="10"/>
      <c r="KBF2196" s="10"/>
      <c r="KBG2196" s="10"/>
      <c r="KBH2196" s="10"/>
      <c r="KBI2196" s="10"/>
      <c r="KBJ2196" s="10"/>
      <c r="KBK2196" s="10"/>
      <c r="KBL2196" s="10"/>
      <c r="KBM2196" s="10"/>
      <c r="KBN2196" s="10"/>
      <c r="KBO2196" s="10"/>
      <c r="KBP2196" s="10"/>
      <c r="KBQ2196" s="10"/>
      <c r="KBR2196" s="10"/>
      <c r="KBS2196" s="10"/>
      <c r="KBT2196" s="10"/>
      <c r="KBU2196" s="10"/>
      <c r="KBV2196" s="10"/>
      <c r="KBW2196" s="10"/>
      <c r="KBX2196" s="10"/>
      <c r="KBY2196" s="10"/>
      <c r="KBZ2196" s="10"/>
      <c r="KCA2196" s="10"/>
      <c r="KCB2196" s="10"/>
      <c r="KCC2196" s="10"/>
      <c r="KCD2196" s="10"/>
      <c r="KCE2196" s="10"/>
      <c r="KCF2196" s="10"/>
      <c r="KCG2196" s="10"/>
      <c r="KCH2196" s="10"/>
      <c r="KCI2196" s="10"/>
      <c r="KCJ2196" s="10"/>
      <c r="KCK2196" s="10"/>
      <c r="KCL2196" s="10"/>
      <c r="KCM2196" s="10"/>
      <c r="KCN2196" s="10"/>
      <c r="KCO2196" s="10"/>
      <c r="KCP2196" s="10"/>
      <c r="KCQ2196" s="10"/>
      <c r="KCR2196" s="10"/>
      <c r="KCS2196" s="10"/>
      <c r="KCT2196" s="10"/>
      <c r="KCU2196" s="10"/>
      <c r="KCV2196" s="10"/>
      <c r="KCW2196" s="10"/>
      <c r="KCX2196" s="10"/>
      <c r="KCY2196" s="10"/>
      <c r="KCZ2196" s="10"/>
      <c r="KDA2196" s="10"/>
      <c r="KDB2196" s="10"/>
      <c r="KDC2196" s="10"/>
      <c r="KDD2196" s="10"/>
      <c r="KDE2196" s="10"/>
      <c r="KDF2196" s="10"/>
      <c r="KDG2196" s="10"/>
      <c r="KDH2196" s="10"/>
      <c r="KDI2196" s="10"/>
      <c r="KDJ2196" s="10"/>
      <c r="KDK2196" s="10"/>
      <c r="KDL2196" s="10"/>
      <c r="KDM2196" s="10"/>
      <c r="KDN2196" s="10"/>
      <c r="KDO2196" s="10"/>
      <c r="KDP2196" s="10"/>
      <c r="KDQ2196" s="10"/>
      <c r="KDR2196" s="10"/>
      <c r="KDS2196" s="10"/>
      <c r="KDT2196" s="10"/>
      <c r="KDU2196" s="10"/>
      <c r="KDV2196" s="10"/>
      <c r="KDW2196" s="10"/>
      <c r="KDX2196" s="10"/>
      <c r="KDY2196" s="10"/>
      <c r="KDZ2196" s="10"/>
      <c r="KEA2196" s="10"/>
      <c r="KEB2196" s="10"/>
      <c r="KEC2196" s="10"/>
      <c r="KED2196" s="10"/>
      <c r="KEE2196" s="10"/>
      <c r="KEF2196" s="10"/>
      <c r="KEG2196" s="10"/>
      <c r="KEH2196" s="10"/>
      <c r="KEI2196" s="10"/>
      <c r="KEJ2196" s="10"/>
      <c r="KEK2196" s="10"/>
      <c r="KEL2196" s="10"/>
      <c r="KEM2196" s="10"/>
      <c r="KEN2196" s="10"/>
      <c r="KEO2196" s="10"/>
      <c r="KEP2196" s="10"/>
      <c r="KEQ2196" s="10"/>
      <c r="KER2196" s="10"/>
      <c r="KES2196" s="10"/>
      <c r="KET2196" s="10"/>
      <c r="KEU2196" s="10"/>
      <c r="KEV2196" s="10"/>
      <c r="KEW2196" s="10"/>
      <c r="KEX2196" s="10"/>
      <c r="KEY2196" s="10"/>
      <c r="KEZ2196" s="10"/>
      <c r="KFA2196" s="10"/>
      <c r="KFB2196" s="10"/>
      <c r="KFC2196" s="10"/>
      <c r="KFD2196" s="10"/>
      <c r="KFE2196" s="10"/>
      <c r="KFF2196" s="10"/>
      <c r="KFG2196" s="10"/>
      <c r="KFH2196" s="10"/>
      <c r="KFI2196" s="10"/>
      <c r="KFJ2196" s="10"/>
      <c r="KFK2196" s="10"/>
      <c r="KFL2196" s="10"/>
      <c r="KFM2196" s="10"/>
      <c r="KFN2196" s="10"/>
      <c r="KFO2196" s="10"/>
      <c r="KFP2196" s="10"/>
      <c r="KFQ2196" s="10"/>
      <c r="KFR2196" s="10"/>
      <c r="KFS2196" s="10"/>
      <c r="KFT2196" s="10"/>
      <c r="KFU2196" s="10"/>
      <c r="KFV2196" s="10"/>
      <c r="KFW2196" s="10"/>
      <c r="KFX2196" s="10"/>
      <c r="KFY2196" s="10"/>
      <c r="KFZ2196" s="10"/>
      <c r="KGA2196" s="10"/>
      <c r="KGB2196" s="10"/>
      <c r="KGC2196" s="10"/>
      <c r="KGD2196" s="10"/>
      <c r="KGE2196" s="10"/>
      <c r="KGF2196" s="10"/>
      <c r="KGG2196" s="10"/>
      <c r="KGH2196" s="10"/>
      <c r="KGI2196" s="10"/>
      <c r="KGJ2196" s="10"/>
      <c r="KGK2196" s="10"/>
      <c r="KGL2196" s="10"/>
      <c r="KGM2196" s="10"/>
      <c r="KGN2196" s="10"/>
      <c r="KGO2196" s="10"/>
      <c r="KGP2196" s="10"/>
      <c r="KGQ2196" s="10"/>
      <c r="KGR2196" s="10"/>
      <c r="KGS2196" s="10"/>
      <c r="KGT2196" s="10"/>
      <c r="KGU2196" s="10"/>
      <c r="KGV2196" s="10"/>
      <c r="KGW2196" s="10"/>
      <c r="KGX2196" s="10"/>
      <c r="KGY2196" s="10"/>
      <c r="KGZ2196" s="10"/>
      <c r="KHA2196" s="10"/>
      <c r="KHB2196" s="10"/>
      <c r="KHC2196" s="10"/>
      <c r="KHD2196" s="10"/>
      <c r="KHE2196" s="10"/>
      <c r="KHF2196" s="10"/>
      <c r="KHG2196" s="10"/>
      <c r="KHH2196" s="10"/>
      <c r="KHI2196" s="10"/>
      <c r="KHJ2196" s="10"/>
      <c r="KHK2196" s="10"/>
      <c r="KHL2196" s="10"/>
      <c r="KHM2196" s="10"/>
      <c r="KHN2196" s="10"/>
      <c r="KHO2196" s="10"/>
      <c r="KHP2196" s="10"/>
      <c r="KHQ2196" s="10"/>
      <c r="KHR2196" s="10"/>
      <c r="KHS2196" s="10"/>
      <c r="KHT2196" s="10"/>
      <c r="KHU2196" s="10"/>
      <c r="KHV2196" s="10"/>
      <c r="KHW2196" s="10"/>
      <c r="KHX2196" s="10"/>
      <c r="KHY2196" s="10"/>
      <c r="KHZ2196" s="10"/>
      <c r="KIA2196" s="10"/>
      <c r="KIB2196" s="10"/>
      <c r="KIC2196" s="10"/>
      <c r="KID2196" s="10"/>
      <c r="KIE2196" s="10"/>
      <c r="KIF2196" s="10"/>
      <c r="KIG2196" s="10"/>
      <c r="KIH2196" s="10"/>
      <c r="KII2196" s="10"/>
      <c r="KIJ2196" s="10"/>
      <c r="KIK2196" s="10"/>
      <c r="KIL2196" s="10"/>
      <c r="KIM2196" s="10"/>
      <c r="KIN2196" s="10"/>
      <c r="KIO2196" s="10"/>
      <c r="KIP2196" s="10"/>
      <c r="KIQ2196" s="10"/>
      <c r="KIR2196" s="10"/>
      <c r="KIS2196" s="10"/>
      <c r="KIT2196" s="10"/>
      <c r="KIU2196" s="10"/>
      <c r="KIV2196" s="10"/>
      <c r="KIW2196" s="10"/>
      <c r="KIX2196" s="10"/>
      <c r="KIY2196" s="10"/>
      <c r="KIZ2196" s="10"/>
      <c r="KJA2196" s="10"/>
      <c r="KJB2196" s="10"/>
      <c r="KJC2196" s="10"/>
      <c r="KJD2196" s="10"/>
      <c r="KJE2196" s="10"/>
      <c r="KJF2196" s="10"/>
      <c r="KJG2196" s="10"/>
      <c r="KJH2196" s="10"/>
      <c r="KJI2196" s="10"/>
      <c r="KJJ2196" s="10"/>
      <c r="KJK2196" s="10"/>
      <c r="KJL2196" s="10"/>
      <c r="KJM2196" s="10"/>
      <c r="KJN2196" s="10"/>
      <c r="KJO2196" s="10"/>
      <c r="KJP2196" s="10"/>
      <c r="KJQ2196" s="10"/>
      <c r="KJR2196" s="10"/>
      <c r="KJS2196" s="10"/>
      <c r="KJT2196" s="10"/>
      <c r="KJU2196" s="10"/>
      <c r="KJV2196" s="10"/>
      <c r="KJW2196" s="10"/>
      <c r="KJX2196" s="10"/>
      <c r="KJY2196" s="10"/>
      <c r="KJZ2196" s="10"/>
      <c r="KKA2196" s="10"/>
      <c r="KKB2196" s="10"/>
      <c r="KKC2196" s="10"/>
      <c r="KKD2196" s="10"/>
      <c r="KKE2196" s="10"/>
      <c r="KKF2196" s="10"/>
      <c r="KKG2196" s="10"/>
      <c r="KKH2196" s="10"/>
      <c r="KKI2196" s="10"/>
      <c r="KKJ2196" s="10"/>
      <c r="KKK2196" s="10"/>
      <c r="KKL2196" s="10"/>
      <c r="KKM2196" s="10"/>
      <c r="KKN2196" s="10"/>
      <c r="KKO2196" s="10"/>
      <c r="KKP2196" s="10"/>
      <c r="KKQ2196" s="10"/>
      <c r="KKR2196" s="10"/>
      <c r="KKS2196" s="10"/>
      <c r="KKT2196" s="10"/>
      <c r="KKU2196" s="10"/>
      <c r="KKV2196" s="10"/>
      <c r="KKW2196" s="10"/>
      <c r="KKX2196" s="10"/>
      <c r="KKY2196" s="10"/>
      <c r="KKZ2196" s="10"/>
      <c r="KLA2196" s="10"/>
      <c r="KLB2196" s="10"/>
      <c r="KLC2196" s="10"/>
      <c r="KLD2196" s="10"/>
      <c r="KLE2196" s="10"/>
      <c r="KLF2196" s="10"/>
      <c r="KLG2196" s="10"/>
      <c r="KLH2196" s="10"/>
      <c r="KLI2196" s="10"/>
      <c r="KLJ2196" s="10"/>
      <c r="KLK2196" s="10"/>
      <c r="KLL2196" s="10"/>
      <c r="KLM2196" s="10"/>
      <c r="KLN2196" s="10"/>
      <c r="KLO2196" s="10"/>
      <c r="KLP2196" s="10"/>
      <c r="KLQ2196" s="10"/>
      <c r="KLR2196" s="10"/>
      <c r="KLS2196" s="10"/>
      <c r="KLT2196" s="10"/>
      <c r="KLU2196" s="10"/>
      <c r="KLV2196" s="10"/>
      <c r="KLW2196" s="10"/>
      <c r="KLX2196" s="10"/>
      <c r="KLY2196" s="10"/>
      <c r="KLZ2196" s="10"/>
      <c r="KMA2196" s="10"/>
      <c r="KMB2196" s="10"/>
      <c r="KMC2196" s="10"/>
      <c r="KMD2196" s="10"/>
      <c r="KME2196" s="10"/>
      <c r="KMF2196" s="10"/>
      <c r="KMG2196" s="10"/>
      <c r="KMH2196" s="10"/>
      <c r="KMI2196" s="10"/>
      <c r="KMJ2196" s="10"/>
      <c r="KMK2196" s="10"/>
      <c r="KML2196" s="10"/>
      <c r="KMM2196" s="10"/>
      <c r="KMN2196" s="10"/>
      <c r="KMO2196" s="10"/>
      <c r="KMP2196" s="10"/>
      <c r="KMQ2196" s="10"/>
      <c r="KMR2196" s="10"/>
      <c r="KMS2196" s="10"/>
      <c r="KMT2196" s="10"/>
      <c r="KMU2196" s="10"/>
      <c r="KMV2196" s="10"/>
      <c r="KMW2196" s="10"/>
      <c r="KMX2196" s="10"/>
      <c r="KMY2196" s="10"/>
      <c r="KMZ2196" s="10"/>
      <c r="KNA2196" s="10"/>
      <c r="KNB2196" s="10"/>
      <c r="KNC2196" s="10"/>
      <c r="KND2196" s="10"/>
      <c r="KNE2196" s="10"/>
      <c r="KNF2196" s="10"/>
      <c r="KNG2196" s="10"/>
      <c r="KNH2196" s="10"/>
      <c r="KNI2196" s="10"/>
      <c r="KNJ2196" s="10"/>
      <c r="KNK2196" s="10"/>
      <c r="KNL2196" s="10"/>
      <c r="KNM2196" s="10"/>
      <c r="KNN2196" s="10"/>
      <c r="KNO2196" s="10"/>
      <c r="KNP2196" s="10"/>
      <c r="KNQ2196" s="10"/>
      <c r="KNR2196" s="10"/>
      <c r="KNS2196" s="10"/>
      <c r="KNT2196" s="10"/>
      <c r="KNU2196" s="10"/>
      <c r="KNV2196" s="10"/>
      <c r="KNW2196" s="10"/>
      <c r="KNX2196" s="10"/>
      <c r="KNY2196" s="10"/>
      <c r="KNZ2196" s="10"/>
      <c r="KOA2196" s="10"/>
      <c r="KOB2196" s="10"/>
      <c r="KOC2196" s="10"/>
      <c r="KOD2196" s="10"/>
      <c r="KOE2196" s="10"/>
      <c r="KOF2196" s="10"/>
      <c r="KOG2196" s="10"/>
      <c r="KOH2196" s="10"/>
      <c r="KOI2196" s="10"/>
      <c r="KOJ2196" s="10"/>
      <c r="KOK2196" s="10"/>
      <c r="KOL2196" s="10"/>
      <c r="KOM2196" s="10"/>
      <c r="KON2196" s="10"/>
      <c r="KOO2196" s="10"/>
      <c r="KOP2196" s="10"/>
      <c r="KOQ2196" s="10"/>
      <c r="KOR2196" s="10"/>
      <c r="KOS2196" s="10"/>
      <c r="KOT2196" s="10"/>
      <c r="KOU2196" s="10"/>
      <c r="KOV2196" s="10"/>
      <c r="KOW2196" s="10"/>
      <c r="KOX2196" s="10"/>
      <c r="KOY2196" s="10"/>
      <c r="KOZ2196" s="10"/>
      <c r="KPA2196" s="10"/>
      <c r="KPB2196" s="10"/>
      <c r="KPC2196" s="10"/>
      <c r="KPD2196" s="10"/>
      <c r="KPE2196" s="10"/>
      <c r="KPF2196" s="10"/>
      <c r="KPG2196" s="10"/>
      <c r="KPH2196" s="10"/>
      <c r="KPI2196" s="10"/>
      <c r="KPJ2196" s="10"/>
      <c r="KPK2196" s="10"/>
      <c r="KPL2196" s="10"/>
      <c r="KPM2196" s="10"/>
      <c r="KPN2196" s="10"/>
      <c r="KPO2196" s="10"/>
      <c r="KPP2196" s="10"/>
      <c r="KPQ2196" s="10"/>
      <c r="KPR2196" s="10"/>
      <c r="KPS2196" s="10"/>
      <c r="KPT2196" s="10"/>
      <c r="KPU2196" s="10"/>
      <c r="KPV2196" s="10"/>
      <c r="KPW2196" s="10"/>
      <c r="KPX2196" s="10"/>
      <c r="KPY2196" s="10"/>
      <c r="KPZ2196" s="10"/>
      <c r="KQA2196" s="10"/>
      <c r="KQB2196" s="10"/>
      <c r="KQC2196" s="10"/>
      <c r="KQD2196" s="10"/>
      <c r="KQE2196" s="10"/>
      <c r="KQF2196" s="10"/>
      <c r="KQG2196" s="10"/>
      <c r="KQH2196" s="10"/>
      <c r="KQI2196" s="10"/>
      <c r="KQJ2196" s="10"/>
      <c r="KQK2196" s="10"/>
      <c r="KQL2196" s="10"/>
      <c r="KQM2196" s="10"/>
      <c r="KQN2196" s="10"/>
      <c r="KQO2196" s="10"/>
      <c r="KQP2196" s="10"/>
      <c r="KQQ2196" s="10"/>
      <c r="KQR2196" s="10"/>
      <c r="KQS2196" s="10"/>
      <c r="KQT2196" s="10"/>
      <c r="KQU2196" s="10"/>
      <c r="KQV2196" s="10"/>
      <c r="KQW2196" s="10"/>
      <c r="KQX2196" s="10"/>
      <c r="KQY2196" s="10"/>
      <c r="KQZ2196" s="10"/>
      <c r="KRA2196" s="10"/>
      <c r="KRB2196" s="10"/>
      <c r="KRC2196" s="10"/>
      <c r="KRD2196" s="10"/>
      <c r="KRE2196" s="10"/>
      <c r="KRF2196" s="10"/>
      <c r="KRG2196" s="10"/>
      <c r="KRH2196" s="10"/>
      <c r="KRI2196" s="10"/>
      <c r="KRJ2196" s="10"/>
      <c r="KRK2196" s="10"/>
      <c r="KRL2196" s="10"/>
      <c r="KRM2196" s="10"/>
      <c r="KRN2196" s="10"/>
      <c r="KRO2196" s="10"/>
      <c r="KRP2196" s="10"/>
      <c r="KRQ2196" s="10"/>
      <c r="KRR2196" s="10"/>
      <c r="KRS2196" s="10"/>
      <c r="KRT2196" s="10"/>
      <c r="KRU2196" s="10"/>
      <c r="KRV2196" s="10"/>
      <c r="KRW2196" s="10"/>
      <c r="KRX2196" s="10"/>
      <c r="KRY2196" s="10"/>
      <c r="KRZ2196" s="10"/>
      <c r="KSA2196" s="10"/>
      <c r="KSB2196" s="10"/>
      <c r="KSC2196" s="10"/>
      <c r="KSD2196" s="10"/>
      <c r="KSE2196" s="10"/>
      <c r="KSF2196" s="10"/>
      <c r="KSG2196" s="10"/>
      <c r="KSH2196" s="10"/>
      <c r="KSI2196" s="10"/>
      <c r="KSJ2196" s="10"/>
      <c r="KSK2196" s="10"/>
      <c r="KSL2196" s="10"/>
      <c r="KSM2196" s="10"/>
      <c r="KSN2196" s="10"/>
      <c r="KSO2196" s="10"/>
      <c r="KSP2196" s="10"/>
      <c r="KSQ2196" s="10"/>
      <c r="KSR2196" s="10"/>
      <c r="KSS2196" s="10"/>
      <c r="KST2196" s="10"/>
      <c r="KSU2196" s="10"/>
      <c r="KSV2196" s="10"/>
      <c r="KSW2196" s="10"/>
      <c r="KSX2196" s="10"/>
      <c r="KSY2196" s="10"/>
      <c r="KSZ2196" s="10"/>
      <c r="KTA2196" s="10"/>
      <c r="KTB2196" s="10"/>
      <c r="KTC2196" s="10"/>
      <c r="KTD2196" s="10"/>
      <c r="KTE2196" s="10"/>
      <c r="KTF2196" s="10"/>
      <c r="KTG2196" s="10"/>
      <c r="KTH2196" s="10"/>
      <c r="KTI2196" s="10"/>
      <c r="KTJ2196" s="10"/>
      <c r="KTK2196" s="10"/>
      <c r="KTL2196" s="10"/>
      <c r="KTM2196" s="10"/>
      <c r="KTN2196" s="10"/>
      <c r="KTO2196" s="10"/>
      <c r="KTP2196" s="10"/>
      <c r="KTQ2196" s="10"/>
      <c r="KTR2196" s="10"/>
      <c r="KTS2196" s="10"/>
      <c r="KTT2196" s="10"/>
      <c r="KTU2196" s="10"/>
      <c r="KTV2196" s="10"/>
      <c r="KTW2196" s="10"/>
      <c r="KTX2196" s="10"/>
      <c r="KTY2196" s="10"/>
      <c r="KTZ2196" s="10"/>
      <c r="KUA2196" s="10"/>
      <c r="KUB2196" s="10"/>
      <c r="KUC2196" s="10"/>
      <c r="KUD2196" s="10"/>
      <c r="KUE2196" s="10"/>
      <c r="KUF2196" s="10"/>
      <c r="KUG2196" s="10"/>
      <c r="KUH2196" s="10"/>
      <c r="KUI2196" s="10"/>
      <c r="KUJ2196" s="10"/>
      <c r="KUK2196" s="10"/>
      <c r="KUL2196" s="10"/>
      <c r="KUM2196" s="10"/>
      <c r="KUN2196" s="10"/>
      <c r="KUO2196" s="10"/>
      <c r="KUP2196" s="10"/>
      <c r="KUQ2196" s="10"/>
      <c r="KUR2196" s="10"/>
      <c r="KUS2196" s="10"/>
      <c r="KUT2196" s="10"/>
      <c r="KUU2196" s="10"/>
      <c r="KUV2196" s="10"/>
      <c r="KUW2196" s="10"/>
      <c r="KUX2196" s="10"/>
      <c r="KUY2196" s="10"/>
      <c r="KUZ2196" s="10"/>
      <c r="KVA2196" s="10"/>
      <c r="KVB2196" s="10"/>
      <c r="KVC2196" s="10"/>
      <c r="KVD2196" s="10"/>
      <c r="KVE2196" s="10"/>
      <c r="KVF2196" s="10"/>
      <c r="KVG2196" s="10"/>
      <c r="KVH2196" s="10"/>
      <c r="KVI2196" s="10"/>
      <c r="KVJ2196" s="10"/>
      <c r="KVK2196" s="10"/>
      <c r="KVL2196" s="10"/>
      <c r="KVM2196" s="10"/>
      <c r="KVN2196" s="10"/>
      <c r="KVO2196" s="10"/>
      <c r="KVP2196" s="10"/>
      <c r="KVQ2196" s="10"/>
      <c r="KVR2196" s="10"/>
      <c r="KVS2196" s="10"/>
      <c r="KVT2196" s="10"/>
      <c r="KVU2196" s="10"/>
      <c r="KVV2196" s="10"/>
      <c r="KVW2196" s="10"/>
      <c r="KVX2196" s="10"/>
      <c r="KVY2196" s="10"/>
      <c r="KVZ2196" s="10"/>
      <c r="KWA2196" s="10"/>
      <c r="KWB2196" s="10"/>
      <c r="KWC2196" s="10"/>
      <c r="KWD2196" s="10"/>
      <c r="KWE2196" s="10"/>
      <c r="KWF2196" s="10"/>
      <c r="KWG2196" s="10"/>
      <c r="KWH2196" s="10"/>
      <c r="KWI2196" s="10"/>
      <c r="KWJ2196" s="10"/>
      <c r="KWK2196" s="10"/>
      <c r="KWL2196" s="10"/>
      <c r="KWM2196" s="10"/>
      <c r="KWN2196" s="10"/>
      <c r="KWO2196" s="10"/>
      <c r="KWP2196" s="10"/>
      <c r="KWQ2196" s="10"/>
      <c r="KWR2196" s="10"/>
      <c r="KWS2196" s="10"/>
      <c r="KWT2196" s="10"/>
      <c r="KWU2196" s="10"/>
      <c r="KWV2196" s="10"/>
      <c r="KWW2196" s="10"/>
      <c r="KWX2196" s="10"/>
      <c r="KWY2196" s="10"/>
      <c r="KWZ2196" s="10"/>
      <c r="KXA2196" s="10"/>
      <c r="KXB2196" s="10"/>
      <c r="KXC2196" s="10"/>
      <c r="KXD2196" s="10"/>
      <c r="KXE2196" s="10"/>
      <c r="KXF2196" s="10"/>
      <c r="KXG2196" s="10"/>
      <c r="KXH2196" s="10"/>
      <c r="KXI2196" s="10"/>
      <c r="KXJ2196" s="10"/>
      <c r="KXK2196" s="10"/>
      <c r="KXL2196" s="10"/>
      <c r="KXM2196" s="10"/>
      <c r="KXN2196" s="10"/>
      <c r="KXO2196" s="10"/>
      <c r="KXP2196" s="10"/>
      <c r="KXQ2196" s="10"/>
      <c r="KXR2196" s="10"/>
      <c r="KXS2196" s="10"/>
      <c r="KXT2196" s="10"/>
      <c r="KXU2196" s="10"/>
      <c r="KXV2196" s="10"/>
      <c r="KXW2196" s="10"/>
      <c r="KXX2196" s="10"/>
      <c r="KXY2196" s="10"/>
      <c r="KXZ2196" s="10"/>
      <c r="KYA2196" s="10"/>
      <c r="KYB2196" s="10"/>
      <c r="KYC2196" s="10"/>
      <c r="KYD2196" s="10"/>
      <c r="KYE2196" s="10"/>
      <c r="KYF2196" s="10"/>
      <c r="KYG2196" s="10"/>
      <c r="KYH2196" s="10"/>
      <c r="KYI2196" s="10"/>
      <c r="KYJ2196" s="10"/>
      <c r="KYK2196" s="10"/>
      <c r="KYL2196" s="10"/>
      <c r="KYM2196" s="10"/>
      <c r="KYN2196" s="10"/>
      <c r="KYO2196" s="10"/>
      <c r="KYP2196" s="10"/>
      <c r="KYQ2196" s="10"/>
      <c r="KYR2196" s="10"/>
      <c r="KYS2196" s="10"/>
      <c r="KYT2196" s="10"/>
      <c r="KYU2196" s="10"/>
      <c r="KYV2196" s="10"/>
      <c r="KYW2196" s="10"/>
      <c r="KYX2196" s="10"/>
      <c r="KYY2196" s="10"/>
      <c r="KYZ2196" s="10"/>
      <c r="KZA2196" s="10"/>
      <c r="KZB2196" s="10"/>
      <c r="KZC2196" s="10"/>
      <c r="KZD2196" s="10"/>
      <c r="KZE2196" s="10"/>
      <c r="KZF2196" s="10"/>
      <c r="KZG2196" s="10"/>
      <c r="KZH2196" s="10"/>
      <c r="KZI2196" s="10"/>
      <c r="KZJ2196" s="10"/>
      <c r="KZK2196" s="10"/>
      <c r="KZL2196" s="10"/>
      <c r="KZM2196" s="10"/>
      <c r="KZN2196" s="10"/>
      <c r="KZO2196" s="10"/>
      <c r="KZP2196" s="10"/>
      <c r="KZQ2196" s="10"/>
      <c r="KZR2196" s="10"/>
      <c r="KZS2196" s="10"/>
      <c r="KZT2196" s="10"/>
      <c r="KZU2196" s="10"/>
      <c r="KZV2196" s="10"/>
      <c r="KZW2196" s="10"/>
      <c r="KZX2196" s="10"/>
      <c r="KZY2196" s="10"/>
      <c r="KZZ2196" s="10"/>
      <c r="LAA2196" s="10"/>
      <c r="LAB2196" s="10"/>
      <c r="LAC2196" s="10"/>
      <c r="LAD2196" s="10"/>
      <c r="LAE2196" s="10"/>
      <c r="LAF2196" s="10"/>
      <c r="LAG2196" s="10"/>
      <c r="LAH2196" s="10"/>
      <c r="LAI2196" s="10"/>
      <c r="LAJ2196" s="10"/>
      <c r="LAK2196" s="10"/>
      <c r="LAL2196" s="10"/>
      <c r="LAM2196" s="10"/>
      <c r="LAN2196" s="10"/>
      <c r="LAO2196" s="10"/>
      <c r="LAP2196" s="10"/>
      <c r="LAQ2196" s="10"/>
      <c r="LAR2196" s="10"/>
      <c r="LAS2196" s="10"/>
      <c r="LAT2196" s="10"/>
      <c r="LAU2196" s="10"/>
      <c r="LAV2196" s="10"/>
      <c r="LAW2196" s="10"/>
      <c r="LAX2196" s="10"/>
      <c r="LAY2196" s="10"/>
      <c r="LAZ2196" s="10"/>
      <c r="LBA2196" s="10"/>
      <c r="LBB2196" s="10"/>
      <c r="LBC2196" s="10"/>
      <c r="LBD2196" s="10"/>
      <c r="LBE2196" s="10"/>
      <c r="LBF2196" s="10"/>
      <c r="LBG2196" s="10"/>
      <c r="LBH2196" s="10"/>
      <c r="LBI2196" s="10"/>
      <c r="LBJ2196" s="10"/>
      <c r="LBK2196" s="10"/>
      <c r="LBL2196" s="10"/>
      <c r="LBM2196" s="10"/>
      <c r="LBN2196" s="10"/>
      <c r="LBO2196" s="10"/>
      <c r="LBP2196" s="10"/>
      <c r="LBQ2196" s="10"/>
      <c r="LBR2196" s="10"/>
      <c r="LBS2196" s="10"/>
      <c r="LBT2196" s="10"/>
      <c r="LBU2196" s="10"/>
      <c r="LBV2196" s="10"/>
      <c r="LBW2196" s="10"/>
      <c r="LBX2196" s="10"/>
      <c r="LBY2196" s="10"/>
      <c r="LBZ2196" s="10"/>
      <c r="LCA2196" s="10"/>
      <c r="LCB2196" s="10"/>
      <c r="LCC2196" s="10"/>
      <c r="LCD2196" s="10"/>
      <c r="LCE2196" s="10"/>
      <c r="LCF2196" s="10"/>
      <c r="LCG2196" s="10"/>
      <c r="LCH2196" s="10"/>
      <c r="LCI2196" s="10"/>
      <c r="LCJ2196" s="10"/>
      <c r="LCK2196" s="10"/>
      <c r="LCL2196" s="10"/>
      <c r="LCM2196" s="10"/>
      <c r="LCN2196" s="10"/>
      <c r="LCO2196" s="10"/>
      <c r="LCP2196" s="10"/>
      <c r="LCQ2196" s="10"/>
      <c r="LCR2196" s="10"/>
      <c r="LCS2196" s="10"/>
      <c r="LCT2196" s="10"/>
      <c r="LCU2196" s="10"/>
      <c r="LCV2196" s="10"/>
      <c r="LCW2196" s="10"/>
      <c r="LCX2196" s="10"/>
      <c r="LCY2196" s="10"/>
      <c r="LCZ2196" s="10"/>
      <c r="LDA2196" s="10"/>
      <c r="LDB2196" s="10"/>
      <c r="LDC2196" s="10"/>
      <c r="LDD2196" s="10"/>
      <c r="LDE2196" s="10"/>
      <c r="LDF2196" s="10"/>
      <c r="LDG2196" s="10"/>
      <c r="LDH2196" s="10"/>
      <c r="LDI2196" s="10"/>
      <c r="LDJ2196" s="10"/>
      <c r="LDK2196" s="10"/>
      <c r="LDL2196" s="10"/>
      <c r="LDM2196" s="10"/>
      <c r="LDN2196" s="10"/>
      <c r="LDO2196" s="10"/>
      <c r="LDP2196" s="10"/>
      <c r="LDQ2196" s="10"/>
      <c r="LDR2196" s="10"/>
      <c r="LDS2196" s="10"/>
      <c r="LDT2196" s="10"/>
      <c r="LDU2196" s="10"/>
      <c r="LDV2196" s="10"/>
      <c r="LDW2196" s="10"/>
      <c r="LDX2196" s="10"/>
      <c r="LDY2196" s="10"/>
      <c r="LDZ2196" s="10"/>
      <c r="LEA2196" s="10"/>
      <c r="LEB2196" s="10"/>
      <c r="LEC2196" s="10"/>
      <c r="LED2196" s="10"/>
      <c r="LEE2196" s="10"/>
      <c r="LEF2196" s="10"/>
      <c r="LEG2196" s="10"/>
      <c r="LEH2196" s="10"/>
      <c r="LEI2196" s="10"/>
      <c r="LEJ2196" s="10"/>
      <c r="LEK2196" s="10"/>
      <c r="LEL2196" s="10"/>
      <c r="LEM2196" s="10"/>
      <c r="LEN2196" s="10"/>
      <c r="LEO2196" s="10"/>
      <c r="LEP2196" s="10"/>
      <c r="LEQ2196" s="10"/>
      <c r="LER2196" s="10"/>
      <c r="LES2196" s="10"/>
      <c r="LET2196" s="10"/>
      <c r="LEU2196" s="10"/>
      <c r="LEV2196" s="10"/>
      <c r="LEW2196" s="10"/>
      <c r="LEX2196" s="10"/>
      <c r="LEY2196" s="10"/>
      <c r="LEZ2196" s="10"/>
      <c r="LFA2196" s="10"/>
      <c r="LFB2196" s="10"/>
      <c r="LFC2196" s="10"/>
      <c r="LFD2196" s="10"/>
      <c r="LFE2196" s="10"/>
      <c r="LFF2196" s="10"/>
      <c r="LFG2196" s="10"/>
      <c r="LFH2196" s="10"/>
      <c r="LFI2196" s="10"/>
      <c r="LFJ2196" s="10"/>
      <c r="LFK2196" s="10"/>
      <c r="LFL2196" s="10"/>
      <c r="LFM2196" s="10"/>
      <c r="LFN2196" s="10"/>
      <c r="LFO2196" s="10"/>
      <c r="LFP2196" s="10"/>
      <c r="LFQ2196" s="10"/>
      <c r="LFR2196" s="10"/>
      <c r="LFS2196" s="10"/>
      <c r="LFT2196" s="10"/>
      <c r="LFU2196" s="10"/>
      <c r="LFV2196" s="10"/>
      <c r="LFW2196" s="10"/>
      <c r="LFX2196" s="10"/>
      <c r="LFY2196" s="10"/>
      <c r="LFZ2196" s="10"/>
      <c r="LGA2196" s="10"/>
      <c r="LGB2196" s="10"/>
      <c r="LGC2196" s="10"/>
      <c r="LGD2196" s="10"/>
      <c r="LGE2196" s="10"/>
      <c r="LGF2196" s="10"/>
      <c r="LGG2196" s="10"/>
      <c r="LGH2196" s="10"/>
      <c r="LGI2196" s="10"/>
      <c r="LGJ2196" s="10"/>
      <c r="LGK2196" s="10"/>
      <c r="LGL2196" s="10"/>
      <c r="LGM2196" s="10"/>
      <c r="LGN2196" s="10"/>
      <c r="LGO2196" s="10"/>
      <c r="LGP2196" s="10"/>
      <c r="LGQ2196" s="10"/>
      <c r="LGR2196" s="10"/>
      <c r="LGS2196" s="10"/>
      <c r="LGT2196" s="10"/>
      <c r="LGU2196" s="10"/>
      <c r="LGV2196" s="10"/>
      <c r="LGW2196" s="10"/>
      <c r="LGX2196" s="10"/>
      <c r="LGY2196" s="10"/>
      <c r="LGZ2196" s="10"/>
      <c r="LHA2196" s="10"/>
      <c r="LHB2196" s="10"/>
      <c r="LHC2196" s="10"/>
      <c r="LHD2196" s="10"/>
      <c r="LHE2196" s="10"/>
      <c r="LHF2196" s="10"/>
      <c r="LHG2196" s="10"/>
      <c r="LHH2196" s="10"/>
      <c r="LHI2196" s="10"/>
      <c r="LHJ2196" s="10"/>
      <c r="LHK2196" s="10"/>
      <c r="LHL2196" s="10"/>
      <c r="LHM2196" s="10"/>
      <c r="LHN2196" s="10"/>
      <c r="LHO2196" s="10"/>
      <c r="LHP2196" s="10"/>
      <c r="LHQ2196" s="10"/>
      <c r="LHR2196" s="10"/>
      <c r="LHS2196" s="10"/>
      <c r="LHT2196" s="10"/>
      <c r="LHU2196" s="10"/>
      <c r="LHV2196" s="10"/>
      <c r="LHW2196" s="10"/>
      <c r="LHX2196" s="10"/>
      <c r="LHY2196" s="10"/>
      <c r="LHZ2196" s="10"/>
      <c r="LIA2196" s="10"/>
      <c r="LIB2196" s="10"/>
      <c r="LIC2196" s="10"/>
      <c r="LID2196" s="10"/>
      <c r="LIE2196" s="10"/>
      <c r="LIF2196" s="10"/>
      <c r="LIG2196" s="10"/>
      <c r="LIH2196" s="10"/>
      <c r="LII2196" s="10"/>
      <c r="LIJ2196" s="10"/>
      <c r="LIK2196" s="10"/>
      <c r="LIL2196" s="10"/>
      <c r="LIM2196" s="10"/>
      <c r="LIN2196" s="10"/>
      <c r="LIO2196" s="10"/>
      <c r="LIP2196" s="10"/>
      <c r="LIQ2196" s="10"/>
      <c r="LIR2196" s="10"/>
      <c r="LIS2196" s="10"/>
      <c r="LIT2196" s="10"/>
      <c r="LIU2196" s="10"/>
      <c r="LIV2196" s="10"/>
      <c r="LIW2196" s="10"/>
      <c r="LIX2196" s="10"/>
      <c r="LIY2196" s="10"/>
      <c r="LIZ2196" s="10"/>
      <c r="LJA2196" s="10"/>
      <c r="LJB2196" s="10"/>
      <c r="LJC2196" s="10"/>
      <c r="LJD2196" s="10"/>
      <c r="LJE2196" s="10"/>
      <c r="LJF2196" s="10"/>
      <c r="LJG2196" s="10"/>
      <c r="LJH2196" s="10"/>
      <c r="LJI2196" s="10"/>
      <c r="LJJ2196" s="10"/>
      <c r="LJK2196" s="10"/>
      <c r="LJL2196" s="10"/>
      <c r="LJM2196" s="10"/>
      <c r="LJN2196" s="10"/>
      <c r="LJO2196" s="10"/>
      <c r="LJP2196" s="10"/>
      <c r="LJQ2196" s="10"/>
      <c r="LJR2196" s="10"/>
      <c r="LJS2196" s="10"/>
      <c r="LJT2196" s="10"/>
      <c r="LJU2196" s="10"/>
      <c r="LJV2196" s="10"/>
      <c r="LJW2196" s="10"/>
      <c r="LJX2196" s="10"/>
      <c r="LJY2196" s="10"/>
      <c r="LJZ2196" s="10"/>
      <c r="LKA2196" s="10"/>
      <c r="LKB2196" s="10"/>
      <c r="LKC2196" s="10"/>
      <c r="LKD2196" s="10"/>
      <c r="LKE2196" s="10"/>
      <c r="LKF2196" s="10"/>
      <c r="LKG2196" s="10"/>
      <c r="LKH2196" s="10"/>
      <c r="LKI2196" s="10"/>
      <c r="LKJ2196" s="10"/>
      <c r="LKK2196" s="10"/>
      <c r="LKL2196" s="10"/>
      <c r="LKM2196" s="10"/>
      <c r="LKN2196" s="10"/>
      <c r="LKO2196" s="10"/>
      <c r="LKP2196" s="10"/>
      <c r="LKQ2196" s="10"/>
      <c r="LKR2196" s="10"/>
      <c r="LKS2196" s="10"/>
      <c r="LKT2196" s="10"/>
      <c r="LKU2196" s="10"/>
      <c r="LKV2196" s="10"/>
      <c r="LKW2196" s="10"/>
      <c r="LKX2196" s="10"/>
      <c r="LKY2196" s="10"/>
      <c r="LKZ2196" s="10"/>
      <c r="LLA2196" s="10"/>
      <c r="LLB2196" s="10"/>
      <c r="LLC2196" s="10"/>
      <c r="LLD2196" s="10"/>
      <c r="LLE2196" s="10"/>
      <c r="LLF2196" s="10"/>
      <c r="LLG2196" s="10"/>
      <c r="LLH2196" s="10"/>
      <c r="LLI2196" s="10"/>
      <c r="LLJ2196" s="10"/>
      <c r="LLK2196" s="10"/>
      <c r="LLL2196" s="10"/>
      <c r="LLM2196" s="10"/>
      <c r="LLN2196" s="10"/>
      <c r="LLO2196" s="10"/>
      <c r="LLP2196" s="10"/>
      <c r="LLQ2196" s="10"/>
      <c r="LLR2196" s="10"/>
      <c r="LLS2196" s="10"/>
      <c r="LLT2196" s="10"/>
      <c r="LLU2196" s="10"/>
      <c r="LLV2196" s="10"/>
      <c r="LLW2196" s="10"/>
      <c r="LLX2196" s="10"/>
      <c r="LLY2196" s="10"/>
      <c r="LLZ2196" s="10"/>
      <c r="LMA2196" s="10"/>
      <c r="LMB2196" s="10"/>
      <c r="LMC2196" s="10"/>
      <c r="LMD2196" s="10"/>
      <c r="LME2196" s="10"/>
      <c r="LMF2196" s="10"/>
      <c r="LMG2196" s="10"/>
      <c r="LMH2196" s="10"/>
      <c r="LMI2196" s="10"/>
      <c r="LMJ2196" s="10"/>
      <c r="LMK2196" s="10"/>
      <c r="LML2196" s="10"/>
      <c r="LMM2196" s="10"/>
      <c r="LMN2196" s="10"/>
      <c r="LMO2196" s="10"/>
      <c r="LMP2196" s="10"/>
      <c r="LMQ2196" s="10"/>
      <c r="LMR2196" s="10"/>
      <c r="LMS2196" s="10"/>
      <c r="LMT2196" s="10"/>
      <c r="LMU2196" s="10"/>
      <c r="LMV2196" s="10"/>
      <c r="LMW2196" s="10"/>
      <c r="LMX2196" s="10"/>
      <c r="LMY2196" s="10"/>
      <c r="LMZ2196" s="10"/>
      <c r="LNA2196" s="10"/>
      <c r="LNB2196" s="10"/>
      <c r="LNC2196" s="10"/>
      <c r="LND2196" s="10"/>
      <c r="LNE2196" s="10"/>
      <c r="LNF2196" s="10"/>
      <c r="LNG2196" s="10"/>
      <c r="LNH2196" s="10"/>
      <c r="LNI2196" s="10"/>
      <c r="LNJ2196" s="10"/>
      <c r="LNK2196" s="10"/>
      <c r="LNL2196" s="10"/>
      <c r="LNM2196" s="10"/>
      <c r="LNN2196" s="10"/>
      <c r="LNO2196" s="10"/>
      <c r="LNP2196" s="10"/>
      <c r="LNQ2196" s="10"/>
      <c r="LNR2196" s="10"/>
      <c r="LNS2196" s="10"/>
      <c r="LNT2196" s="10"/>
      <c r="LNU2196" s="10"/>
      <c r="LNV2196" s="10"/>
      <c r="LNW2196" s="10"/>
      <c r="LNX2196" s="10"/>
      <c r="LNY2196" s="10"/>
      <c r="LNZ2196" s="10"/>
      <c r="LOA2196" s="10"/>
      <c r="LOB2196" s="10"/>
      <c r="LOC2196" s="10"/>
      <c r="LOD2196" s="10"/>
      <c r="LOE2196" s="10"/>
      <c r="LOF2196" s="10"/>
      <c r="LOG2196" s="10"/>
      <c r="LOH2196" s="10"/>
      <c r="LOI2196" s="10"/>
      <c r="LOJ2196" s="10"/>
      <c r="LOK2196" s="10"/>
      <c r="LOL2196" s="10"/>
      <c r="LOM2196" s="10"/>
      <c r="LON2196" s="10"/>
      <c r="LOO2196" s="10"/>
      <c r="LOP2196" s="10"/>
      <c r="LOQ2196" s="10"/>
      <c r="LOR2196" s="10"/>
      <c r="LOS2196" s="10"/>
      <c r="LOT2196" s="10"/>
      <c r="LOU2196" s="10"/>
      <c r="LOV2196" s="10"/>
      <c r="LOW2196" s="10"/>
      <c r="LOX2196" s="10"/>
      <c r="LOY2196" s="10"/>
      <c r="LOZ2196" s="10"/>
      <c r="LPA2196" s="10"/>
      <c r="LPB2196" s="10"/>
      <c r="LPC2196" s="10"/>
      <c r="LPD2196" s="10"/>
      <c r="LPE2196" s="10"/>
      <c r="LPF2196" s="10"/>
      <c r="LPG2196" s="10"/>
      <c r="LPH2196" s="10"/>
      <c r="LPI2196" s="10"/>
      <c r="LPJ2196" s="10"/>
      <c r="LPK2196" s="10"/>
      <c r="LPL2196" s="10"/>
      <c r="LPM2196" s="10"/>
      <c r="LPN2196" s="10"/>
      <c r="LPO2196" s="10"/>
      <c r="LPP2196" s="10"/>
      <c r="LPQ2196" s="10"/>
      <c r="LPR2196" s="10"/>
      <c r="LPS2196" s="10"/>
      <c r="LPT2196" s="10"/>
      <c r="LPU2196" s="10"/>
      <c r="LPV2196" s="10"/>
      <c r="LPW2196" s="10"/>
      <c r="LPX2196" s="10"/>
      <c r="LPY2196" s="10"/>
      <c r="LPZ2196" s="10"/>
      <c r="LQA2196" s="10"/>
      <c r="LQB2196" s="10"/>
      <c r="LQC2196" s="10"/>
      <c r="LQD2196" s="10"/>
      <c r="LQE2196" s="10"/>
      <c r="LQF2196" s="10"/>
      <c r="LQG2196" s="10"/>
      <c r="LQH2196" s="10"/>
      <c r="LQI2196" s="10"/>
      <c r="LQJ2196" s="10"/>
      <c r="LQK2196" s="10"/>
      <c r="LQL2196" s="10"/>
      <c r="LQM2196" s="10"/>
      <c r="LQN2196" s="10"/>
      <c r="LQO2196" s="10"/>
      <c r="LQP2196" s="10"/>
      <c r="LQQ2196" s="10"/>
      <c r="LQR2196" s="10"/>
      <c r="LQS2196" s="10"/>
      <c r="LQT2196" s="10"/>
      <c r="LQU2196" s="10"/>
      <c r="LQV2196" s="10"/>
      <c r="LQW2196" s="10"/>
      <c r="LQX2196" s="10"/>
      <c r="LQY2196" s="10"/>
      <c r="LQZ2196" s="10"/>
      <c r="LRA2196" s="10"/>
      <c r="LRB2196" s="10"/>
      <c r="LRC2196" s="10"/>
      <c r="LRD2196" s="10"/>
      <c r="LRE2196" s="10"/>
      <c r="LRF2196" s="10"/>
      <c r="LRG2196" s="10"/>
      <c r="LRH2196" s="10"/>
      <c r="LRI2196" s="10"/>
      <c r="LRJ2196" s="10"/>
      <c r="LRK2196" s="10"/>
      <c r="LRL2196" s="10"/>
      <c r="LRM2196" s="10"/>
      <c r="LRN2196" s="10"/>
      <c r="LRO2196" s="10"/>
      <c r="LRP2196" s="10"/>
      <c r="LRQ2196" s="10"/>
      <c r="LRR2196" s="10"/>
      <c r="LRS2196" s="10"/>
      <c r="LRT2196" s="10"/>
      <c r="LRU2196" s="10"/>
      <c r="LRV2196" s="10"/>
      <c r="LRW2196" s="10"/>
      <c r="LRX2196" s="10"/>
      <c r="LRY2196" s="10"/>
      <c r="LRZ2196" s="10"/>
      <c r="LSA2196" s="10"/>
      <c r="LSB2196" s="10"/>
      <c r="LSC2196" s="10"/>
      <c r="LSD2196" s="10"/>
      <c r="LSE2196" s="10"/>
      <c r="LSF2196" s="10"/>
      <c r="LSG2196" s="10"/>
      <c r="LSH2196" s="10"/>
      <c r="LSI2196" s="10"/>
      <c r="LSJ2196" s="10"/>
      <c r="LSK2196" s="10"/>
      <c r="LSL2196" s="10"/>
      <c r="LSM2196" s="10"/>
      <c r="LSN2196" s="10"/>
      <c r="LSO2196" s="10"/>
      <c r="LSP2196" s="10"/>
      <c r="LSQ2196" s="10"/>
      <c r="LSR2196" s="10"/>
      <c r="LSS2196" s="10"/>
      <c r="LST2196" s="10"/>
      <c r="LSU2196" s="10"/>
      <c r="LSV2196" s="10"/>
      <c r="LSW2196" s="10"/>
      <c r="LSX2196" s="10"/>
      <c r="LSY2196" s="10"/>
      <c r="LSZ2196" s="10"/>
      <c r="LTA2196" s="10"/>
      <c r="LTB2196" s="10"/>
      <c r="LTC2196" s="10"/>
      <c r="LTD2196" s="10"/>
      <c r="LTE2196" s="10"/>
      <c r="LTF2196" s="10"/>
      <c r="LTG2196" s="10"/>
      <c r="LTH2196" s="10"/>
      <c r="LTI2196" s="10"/>
      <c r="LTJ2196" s="10"/>
      <c r="LTK2196" s="10"/>
      <c r="LTL2196" s="10"/>
      <c r="LTM2196" s="10"/>
      <c r="LTN2196" s="10"/>
      <c r="LTO2196" s="10"/>
      <c r="LTP2196" s="10"/>
      <c r="LTQ2196" s="10"/>
      <c r="LTR2196" s="10"/>
      <c r="LTS2196" s="10"/>
      <c r="LTT2196" s="10"/>
      <c r="LTU2196" s="10"/>
      <c r="LTV2196" s="10"/>
      <c r="LTW2196" s="10"/>
      <c r="LTX2196" s="10"/>
      <c r="LTY2196" s="10"/>
      <c r="LTZ2196" s="10"/>
      <c r="LUA2196" s="10"/>
      <c r="LUB2196" s="10"/>
      <c r="LUC2196" s="10"/>
      <c r="LUD2196" s="10"/>
      <c r="LUE2196" s="10"/>
      <c r="LUF2196" s="10"/>
      <c r="LUG2196" s="10"/>
      <c r="LUH2196" s="10"/>
      <c r="LUI2196" s="10"/>
      <c r="LUJ2196" s="10"/>
      <c r="LUK2196" s="10"/>
      <c r="LUL2196" s="10"/>
      <c r="LUM2196" s="10"/>
      <c r="LUN2196" s="10"/>
      <c r="LUO2196" s="10"/>
      <c r="LUP2196" s="10"/>
      <c r="LUQ2196" s="10"/>
      <c r="LUR2196" s="10"/>
      <c r="LUS2196" s="10"/>
      <c r="LUT2196" s="10"/>
      <c r="LUU2196" s="10"/>
      <c r="LUV2196" s="10"/>
      <c r="LUW2196" s="10"/>
      <c r="LUX2196" s="10"/>
      <c r="LUY2196" s="10"/>
      <c r="LUZ2196" s="10"/>
      <c r="LVA2196" s="10"/>
      <c r="LVB2196" s="10"/>
      <c r="LVC2196" s="10"/>
      <c r="LVD2196" s="10"/>
      <c r="LVE2196" s="10"/>
      <c r="LVF2196" s="10"/>
      <c r="LVG2196" s="10"/>
      <c r="LVH2196" s="10"/>
      <c r="LVI2196" s="10"/>
      <c r="LVJ2196" s="10"/>
      <c r="LVK2196" s="10"/>
      <c r="LVL2196" s="10"/>
      <c r="LVM2196" s="10"/>
      <c r="LVN2196" s="10"/>
      <c r="LVO2196" s="10"/>
      <c r="LVP2196" s="10"/>
      <c r="LVQ2196" s="10"/>
      <c r="LVR2196" s="10"/>
      <c r="LVS2196" s="10"/>
      <c r="LVT2196" s="10"/>
      <c r="LVU2196" s="10"/>
      <c r="LVV2196" s="10"/>
      <c r="LVW2196" s="10"/>
      <c r="LVX2196" s="10"/>
      <c r="LVY2196" s="10"/>
      <c r="LVZ2196" s="10"/>
      <c r="LWA2196" s="10"/>
      <c r="LWB2196" s="10"/>
      <c r="LWC2196" s="10"/>
      <c r="LWD2196" s="10"/>
      <c r="LWE2196" s="10"/>
      <c r="LWF2196" s="10"/>
      <c r="LWG2196" s="10"/>
      <c r="LWH2196" s="10"/>
      <c r="LWI2196" s="10"/>
      <c r="LWJ2196" s="10"/>
      <c r="LWK2196" s="10"/>
      <c r="LWL2196" s="10"/>
      <c r="LWM2196" s="10"/>
      <c r="LWN2196" s="10"/>
      <c r="LWO2196" s="10"/>
      <c r="LWP2196" s="10"/>
      <c r="LWQ2196" s="10"/>
      <c r="LWR2196" s="10"/>
      <c r="LWS2196" s="10"/>
      <c r="LWT2196" s="10"/>
      <c r="LWU2196" s="10"/>
      <c r="LWV2196" s="10"/>
      <c r="LWW2196" s="10"/>
      <c r="LWX2196" s="10"/>
      <c r="LWY2196" s="10"/>
      <c r="LWZ2196" s="10"/>
      <c r="LXA2196" s="10"/>
      <c r="LXB2196" s="10"/>
      <c r="LXC2196" s="10"/>
      <c r="LXD2196" s="10"/>
      <c r="LXE2196" s="10"/>
      <c r="LXF2196" s="10"/>
      <c r="LXG2196" s="10"/>
      <c r="LXH2196" s="10"/>
      <c r="LXI2196" s="10"/>
      <c r="LXJ2196" s="10"/>
      <c r="LXK2196" s="10"/>
      <c r="LXL2196" s="10"/>
      <c r="LXM2196" s="10"/>
      <c r="LXN2196" s="10"/>
      <c r="LXO2196" s="10"/>
      <c r="LXP2196" s="10"/>
      <c r="LXQ2196" s="10"/>
      <c r="LXR2196" s="10"/>
      <c r="LXS2196" s="10"/>
      <c r="LXT2196" s="10"/>
      <c r="LXU2196" s="10"/>
      <c r="LXV2196" s="10"/>
      <c r="LXW2196" s="10"/>
      <c r="LXX2196" s="10"/>
      <c r="LXY2196" s="10"/>
      <c r="LXZ2196" s="10"/>
      <c r="LYA2196" s="10"/>
      <c r="LYB2196" s="10"/>
      <c r="LYC2196" s="10"/>
      <c r="LYD2196" s="10"/>
      <c r="LYE2196" s="10"/>
      <c r="LYF2196" s="10"/>
      <c r="LYG2196" s="10"/>
      <c r="LYH2196" s="10"/>
      <c r="LYI2196" s="10"/>
      <c r="LYJ2196" s="10"/>
      <c r="LYK2196" s="10"/>
      <c r="LYL2196" s="10"/>
      <c r="LYM2196" s="10"/>
      <c r="LYN2196" s="10"/>
      <c r="LYO2196" s="10"/>
      <c r="LYP2196" s="10"/>
      <c r="LYQ2196" s="10"/>
      <c r="LYR2196" s="10"/>
      <c r="LYS2196" s="10"/>
      <c r="LYT2196" s="10"/>
      <c r="LYU2196" s="10"/>
      <c r="LYV2196" s="10"/>
      <c r="LYW2196" s="10"/>
      <c r="LYX2196" s="10"/>
      <c r="LYY2196" s="10"/>
      <c r="LYZ2196" s="10"/>
      <c r="LZA2196" s="10"/>
      <c r="LZB2196" s="10"/>
      <c r="LZC2196" s="10"/>
      <c r="LZD2196" s="10"/>
      <c r="LZE2196" s="10"/>
      <c r="LZF2196" s="10"/>
      <c r="LZG2196" s="10"/>
      <c r="LZH2196" s="10"/>
      <c r="LZI2196" s="10"/>
      <c r="LZJ2196" s="10"/>
      <c r="LZK2196" s="10"/>
      <c r="LZL2196" s="10"/>
      <c r="LZM2196" s="10"/>
      <c r="LZN2196" s="10"/>
      <c r="LZO2196" s="10"/>
      <c r="LZP2196" s="10"/>
      <c r="LZQ2196" s="10"/>
      <c r="LZR2196" s="10"/>
      <c r="LZS2196" s="10"/>
      <c r="LZT2196" s="10"/>
      <c r="LZU2196" s="10"/>
      <c r="LZV2196" s="10"/>
      <c r="LZW2196" s="10"/>
      <c r="LZX2196" s="10"/>
      <c r="LZY2196" s="10"/>
      <c r="LZZ2196" s="10"/>
      <c r="MAA2196" s="10"/>
      <c r="MAB2196" s="10"/>
      <c r="MAC2196" s="10"/>
      <c r="MAD2196" s="10"/>
      <c r="MAE2196" s="10"/>
      <c r="MAF2196" s="10"/>
      <c r="MAG2196" s="10"/>
      <c r="MAH2196" s="10"/>
      <c r="MAI2196" s="10"/>
      <c r="MAJ2196" s="10"/>
      <c r="MAK2196" s="10"/>
      <c r="MAL2196" s="10"/>
      <c r="MAM2196" s="10"/>
      <c r="MAN2196" s="10"/>
      <c r="MAO2196" s="10"/>
      <c r="MAP2196" s="10"/>
      <c r="MAQ2196" s="10"/>
      <c r="MAR2196" s="10"/>
      <c r="MAS2196" s="10"/>
      <c r="MAT2196" s="10"/>
      <c r="MAU2196" s="10"/>
      <c r="MAV2196" s="10"/>
      <c r="MAW2196" s="10"/>
      <c r="MAX2196" s="10"/>
      <c r="MAY2196" s="10"/>
      <c r="MAZ2196" s="10"/>
      <c r="MBA2196" s="10"/>
      <c r="MBB2196" s="10"/>
      <c r="MBC2196" s="10"/>
      <c r="MBD2196" s="10"/>
      <c r="MBE2196" s="10"/>
      <c r="MBF2196" s="10"/>
      <c r="MBG2196" s="10"/>
      <c r="MBH2196" s="10"/>
      <c r="MBI2196" s="10"/>
      <c r="MBJ2196" s="10"/>
      <c r="MBK2196" s="10"/>
      <c r="MBL2196" s="10"/>
      <c r="MBM2196" s="10"/>
      <c r="MBN2196" s="10"/>
      <c r="MBO2196" s="10"/>
      <c r="MBP2196" s="10"/>
      <c r="MBQ2196" s="10"/>
      <c r="MBR2196" s="10"/>
      <c r="MBS2196" s="10"/>
      <c r="MBT2196" s="10"/>
      <c r="MBU2196" s="10"/>
      <c r="MBV2196" s="10"/>
      <c r="MBW2196" s="10"/>
      <c r="MBX2196" s="10"/>
      <c r="MBY2196" s="10"/>
      <c r="MBZ2196" s="10"/>
      <c r="MCA2196" s="10"/>
      <c r="MCB2196" s="10"/>
      <c r="MCC2196" s="10"/>
      <c r="MCD2196" s="10"/>
      <c r="MCE2196" s="10"/>
      <c r="MCF2196" s="10"/>
      <c r="MCG2196" s="10"/>
      <c r="MCH2196" s="10"/>
      <c r="MCI2196" s="10"/>
      <c r="MCJ2196" s="10"/>
      <c r="MCK2196" s="10"/>
      <c r="MCL2196" s="10"/>
      <c r="MCM2196" s="10"/>
      <c r="MCN2196" s="10"/>
      <c r="MCO2196" s="10"/>
      <c r="MCP2196" s="10"/>
      <c r="MCQ2196" s="10"/>
      <c r="MCR2196" s="10"/>
      <c r="MCS2196" s="10"/>
      <c r="MCT2196" s="10"/>
      <c r="MCU2196" s="10"/>
      <c r="MCV2196" s="10"/>
      <c r="MCW2196" s="10"/>
      <c r="MCX2196" s="10"/>
      <c r="MCY2196" s="10"/>
      <c r="MCZ2196" s="10"/>
      <c r="MDA2196" s="10"/>
      <c r="MDB2196" s="10"/>
      <c r="MDC2196" s="10"/>
      <c r="MDD2196" s="10"/>
      <c r="MDE2196" s="10"/>
      <c r="MDF2196" s="10"/>
      <c r="MDG2196" s="10"/>
      <c r="MDH2196" s="10"/>
      <c r="MDI2196" s="10"/>
      <c r="MDJ2196" s="10"/>
      <c r="MDK2196" s="10"/>
      <c r="MDL2196" s="10"/>
      <c r="MDM2196" s="10"/>
      <c r="MDN2196" s="10"/>
      <c r="MDO2196" s="10"/>
      <c r="MDP2196" s="10"/>
      <c r="MDQ2196" s="10"/>
      <c r="MDR2196" s="10"/>
      <c r="MDS2196" s="10"/>
      <c r="MDT2196" s="10"/>
      <c r="MDU2196" s="10"/>
      <c r="MDV2196" s="10"/>
      <c r="MDW2196" s="10"/>
      <c r="MDX2196" s="10"/>
      <c r="MDY2196" s="10"/>
      <c r="MDZ2196" s="10"/>
      <c r="MEA2196" s="10"/>
      <c r="MEB2196" s="10"/>
      <c r="MEC2196" s="10"/>
      <c r="MED2196" s="10"/>
      <c r="MEE2196" s="10"/>
      <c r="MEF2196" s="10"/>
      <c r="MEG2196" s="10"/>
      <c r="MEH2196" s="10"/>
      <c r="MEI2196" s="10"/>
      <c r="MEJ2196" s="10"/>
      <c r="MEK2196" s="10"/>
      <c r="MEL2196" s="10"/>
      <c r="MEM2196" s="10"/>
      <c r="MEN2196" s="10"/>
      <c r="MEO2196" s="10"/>
      <c r="MEP2196" s="10"/>
      <c r="MEQ2196" s="10"/>
      <c r="MER2196" s="10"/>
      <c r="MES2196" s="10"/>
      <c r="MET2196" s="10"/>
      <c r="MEU2196" s="10"/>
      <c r="MEV2196" s="10"/>
      <c r="MEW2196" s="10"/>
      <c r="MEX2196" s="10"/>
      <c r="MEY2196" s="10"/>
      <c r="MEZ2196" s="10"/>
      <c r="MFA2196" s="10"/>
      <c r="MFB2196" s="10"/>
      <c r="MFC2196" s="10"/>
      <c r="MFD2196" s="10"/>
      <c r="MFE2196" s="10"/>
      <c r="MFF2196" s="10"/>
      <c r="MFG2196" s="10"/>
      <c r="MFH2196" s="10"/>
      <c r="MFI2196" s="10"/>
      <c r="MFJ2196" s="10"/>
      <c r="MFK2196" s="10"/>
      <c r="MFL2196" s="10"/>
      <c r="MFM2196" s="10"/>
      <c r="MFN2196" s="10"/>
      <c r="MFO2196" s="10"/>
      <c r="MFP2196" s="10"/>
      <c r="MFQ2196" s="10"/>
      <c r="MFR2196" s="10"/>
      <c r="MFS2196" s="10"/>
      <c r="MFT2196" s="10"/>
      <c r="MFU2196" s="10"/>
      <c r="MFV2196" s="10"/>
      <c r="MFW2196" s="10"/>
      <c r="MFX2196" s="10"/>
      <c r="MFY2196" s="10"/>
      <c r="MFZ2196" s="10"/>
      <c r="MGA2196" s="10"/>
      <c r="MGB2196" s="10"/>
      <c r="MGC2196" s="10"/>
      <c r="MGD2196" s="10"/>
      <c r="MGE2196" s="10"/>
      <c r="MGF2196" s="10"/>
      <c r="MGG2196" s="10"/>
      <c r="MGH2196" s="10"/>
      <c r="MGI2196" s="10"/>
      <c r="MGJ2196" s="10"/>
      <c r="MGK2196" s="10"/>
      <c r="MGL2196" s="10"/>
      <c r="MGM2196" s="10"/>
      <c r="MGN2196" s="10"/>
      <c r="MGO2196" s="10"/>
      <c r="MGP2196" s="10"/>
      <c r="MGQ2196" s="10"/>
      <c r="MGR2196" s="10"/>
      <c r="MGS2196" s="10"/>
      <c r="MGT2196" s="10"/>
      <c r="MGU2196" s="10"/>
      <c r="MGV2196" s="10"/>
      <c r="MGW2196" s="10"/>
      <c r="MGX2196" s="10"/>
      <c r="MGY2196" s="10"/>
      <c r="MGZ2196" s="10"/>
      <c r="MHA2196" s="10"/>
      <c r="MHB2196" s="10"/>
      <c r="MHC2196" s="10"/>
      <c r="MHD2196" s="10"/>
      <c r="MHE2196" s="10"/>
      <c r="MHF2196" s="10"/>
      <c r="MHG2196" s="10"/>
      <c r="MHH2196" s="10"/>
      <c r="MHI2196" s="10"/>
      <c r="MHJ2196" s="10"/>
      <c r="MHK2196" s="10"/>
      <c r="MHL2196" s="10"/>
      <c r="MHM2196" s="10"/>
      <c r="MHN2196" s="10"/>
      <c r="MHO2196" s="10"/>
      <c r="MHP2196" s="10"/>
      <c r="MHQ2196" s="10"/>
      <c r="MHR2196" s="10"/>
      <c r="MHS2196" s="10"/>
      <c r="MHT2196" s="10"/>
      <c r="MHU2196" s="10"/>
      <c r="MHV2196" s="10"/>
      <c r="MHW2196" s="10"/>
      <c r="MHX2196" s="10"/>
      <c r="MHY2196" s="10"/>
      <c r="MHZ2196" s="10"/>
      <c r="MIA2196" s="10"/>
      <c r="MIB2196" s="10"/>
      <c r="MIC2196" s="10"/>
      <c r="MID2196" s="10"/>
      <c r="MIE2196" s="10"/>
      <c r="MIF2196" s="10"/>
      <c r="MIG2196" s="10"/>
      <c r="MIH2196" s="10"/>
      <c r="MII2196" s="10"/>
      <c r="MIJ2196" s="10"/>
      <c r="MIK2196" s="10"/>
      <c r="MIL2196" s="10"/>
      <c r="MIM2196" s="10"/>
      <c r="MIN2196" s="10"/>
      <c r="MIO2196" s="10"/>
      <c r="MIP2196" s="10"/>
      <c r="MIQ2196" s="10"/>
      <c r="MIR2196" s="10"/>
      <c r="MIS2196" s="10"/>
      <c r="MIT2196" s="10"/>
      <c r="MIU2196" s="10"/>
      <c r="MIV2196" s="10"/>
      <c r="MIW2196" s="10"/>
      <c r="MIX2196" s="10"/>
      <c r="MIY2196" s="10"/>
      <c r="MIZ2196" s="10"/>
      <c r="MJA2196" s="10"/>
      <c r="MJB2196" s="10"/>
      <c r="MJC2196" s="10"/>
      <c r="MJD2196" s="10"/>
      <c r="MJE2196" s="10"/>
      <c r="MJF2196" s="10"/>
      <c r="MJG2196" s="10"/>
      <c r="MJH2196" s="10"/>
      <c r="MJI2196" s="10"/>
      <c r="MJJ2196" s="10"/>
      <c r="MJK2196" s="10"/>
      <c r="MJL2196" s="10"/>
      <c r="MJM2196" s="10"/>
      <c r="MJN2196" s="10"/>
      <c r="MJO2196" s="10"/>
      <c r="MJP2196" s="10"/>
      <c r="MJQ2196" s="10"/>
      <c r="MJR2196" s="10"/>
      <c r="MJS2196" s="10"/>
      <c r="MJT2196" s="10"/>
      <c r="MJU2196" s="10"/>
      <c r="MJV2196" s="10"/>
      <c r="MJW2196" s="10"/>
      <c r="MJX2196" s="10"/>
      <c r="MJY2196" s="10"/>
      <c r="MJZ2196" s="10"/>
      <c r="MKA2196" s="10"/>
      <c r="MKB2196" s="10"/>
      <c r="MKC2196" s="10"/>
      <c r="MKD2196" s="10"/>
      <c r="MKE2196" s="10"/>
      <c r="MKF2196" s="10"/>
      <c r="MKG2196" s="10"/>
      <c r="MKH2196" s="10"/>
      <c r="MKI2196" s="10"/>
      <c r="MKJ2196" s="10"/>
      <c r="MKK2196" s="10"/>
      <c r="MKL2196" s="10"/>
      <c r="MKM2196" s="10"/>
      <c r="MKN2196" s="10"/>
      <c r="MKO2196" s="10"/>
      <c r="MKP2196" s="10"/>
      <c r="MKQ2196" s="10"/>
      <c r="MKR2196" s="10"/>
      <c r="MKS2196" s="10"/>
      <c r="MKT2196" s="10"/>
      <c r="MKU2196" s="10"/>
      <c r="MKV2196" s="10"/>
      <c r="MKW2196" s="10"/>
      <c r="MKX2196" s="10"/>
      <c r="MKY2196" s="10"/>
      <c r="MKZ2196" s="10"/>
      <c r="MLA2196" s="10"/>
      <c r="MLB2196" s="10"/>
      <c r="MLC2196" s="10"/>
      <c r="MLD2196" s="10"/>
      <c r="MLE2196" s="10"/>
      <c r="MLF2196" s="10"/>
      <c r="MLG2196" s="10"/>
      <c r="MLH2196" s="10"/>
      <c r="MLI2196" s="10"/>
      <c r="MLJ2196" s="10"/>
      <c r="MLK2196" s="10"/>
      <c r="MLL2196" s="10"/>
      <c r="MLM2196" s="10"/>
      <c r="MLN2196" s="10"/>
      <c r="MLO2196" s="10"/>
      <c r="MLP2196" s="10"/>
      <c r="MLQ2196" s="10"/>
      <c r="MLR2196" s="10"/>
      <c r="MLS2196" s="10"/>
      <c r="MLT2196" s="10"/>
      <c r="MLU2196" s="10"/>
      <c r="MLV2196" s="10"/>
      <c r="MLW2196" s="10"/>
      <c r="MLX2196" s="10"/>
      <c r="MLY2196" s="10"/>
      <c r="MLZ2196" s="10"/>
      <c r="MMA2196" s="10"/>
      <c r="MMB2196" s="10"/>
      <c r="MMC2196" s="10"/>
      <c r="MMD2196" s="10"/>
      <c r="MME2196" s="10"/>
      <c r="MMF2196" s="10"/>
      <c r="MMG2196" s="10"/>
      <c r="MMH2196" s="10"/>
      <c r="MMI2196" s="10"/>
      <c r="MMJ2196" s="10"/>
      <c r="MMK2196" s="10"/>
      <c r="MML2196" s="10"/>
      <c r="MMM2196" s="10"/>
      <c r="MMN2196" s="10"/>
      <c r="MMO2196" s="10"/>
      <c r="MMP2196" s="10"/>
      <c r="MMQ2196" s="10"/>
      <c r="MMR2196" s="10"/>
      <c r="MMS2196" s="10"/>
      <c r="MMT2196" s="10"/>
      <c r="MMU2196" s="10"/>
      <c r="MMV2196" s="10"/>
      <c r="MMW2196" s="10"/>
      <c r="MMX2196" s="10"/>
      <c r="MMY2196" s="10"/>
      <c r="MMZ2196" s="10"/>
      <c r="MNA2196" s="10"/>
      <c r="MNB2196" s="10"/>
      <c r="MNC2196" s="10"/>
      <c r="MND2196" s="10"/>
      <c r="MNE2196" s="10"/>
      <c r="MNF2196" s="10"/>
      <c r="MNG2196" s="10"/>
      <c r="MNH2196" s="10"/>
      <c r="MNI2196" s="10"/>
      <c r="MNJ2196" s="10"/>
      <c r="MNK2196" s="10"/>
      <c r="MNL2196" s="10"/>
      <c r="MNM2196" s="10"/>
      <c r="MNN2196" s="10"/>
      <c r="MNO2196" s="10"/>
      <c r="MNP2196" s="10"/>
      <c r="MNQ2196" s="10"/>
      <c r="MNR2196" s="10"/>
      <c r="MNS2196" s="10"/>
      <c r="MNT2196" s="10"/>
      <c r="MNU2196" s="10"/>
      <c r="MNV2196" s="10"/>
      <c r="MNW2196" s="10"/>
      <c r="MNX2196" s="10"/>
      <c r="MNY2196" s="10"/>
      <c r="MNZ2196" s="10"/>
      <c r="MOA2196" s="10"/>
      <c r="MOB2196" s="10"/>
      <c r="MOC2196" s="10"/>
      <c r="MOD2196" s="10"/>
      <c r="MOE2196" s="10"/>
      <c r="MOF2196" s="10"/>
      <c r="MOG2196" s="10"/>
      <c r="MOH2196" s="10"/>
      <c r="MOI2196" s="10"/>
      <c r="MOJ2196" s="10"/>
      <c r="MOK2196" s="10"/>
      <c r="MOL2196" s="10"/>
      <c r="MOM2196" s="10"/>
      <c r="MON2196" s="10"/>
      <c r="MOO2196" s="10"/>
      <c r="MOP2196" s="10"/>
      <c r="MOQ2196" s="10"/>
      <c r="MOR2196" s="10"/>
      <c r="MOS2196" s="10"/>
      <c r="MOT2196" s="10"/>
      <c r="MOU2196" s="10"/>
      <c r="MOV2196" s="10"/>
      <c r="MOW2196" s="10"/>
      <c r="MOX2196" s="10"/>
      <c r="MOY2196" s="10"/>
      <c r="MOZ2196" s="10"/>
      <c r="MPA2196" s="10"/>
      <c r="MPB2196" s="10"/>
      <c r="MPC2196" s="10"/>
      <c r="MPD2196" s="10"/>
      <c r="MPE2196" s="10"/>
      <c r="MPF2196" s="10"/>
      <c r="MPG2196" s="10"/>
      <c r="MPH2196" s="10"/>
      <c r="MPI2196" s="10"/>
      <c r="MPJ2196" s="10"/>
      <c r="MPK2196" s="10"/>
      <c r="MPL2196" s="10"/>
      <c r="MPM2196" s="10"/>
      <c r="MPN2196" s="10"/>
      <c r="MPO2196" s="10"/>
      <c r="MPP2196" s="10"/>
      <c r="MPQ2196" s="10"/>
      <c r="MPR2196" s="10"/>
      <c r="MPS2196" s="10"/>
      <c r="MPT2196" s="10"/>
      <c r="MPU2196" s="10"/>
      <c r="MPV2196" s="10"/>
      <c r="MPW2196" s="10"/>
      <c r="MPX2196" s="10"/>
      <c r="MPY2196" s="10"/>
      <c r="MPZ2196" s="10"/>
      <c r="MQA2196" s="10"/>
      <c r="MQB2196" s="10"/>
      <c r="MQC2196" s="10"/>
      <c r="MQD2196" s="10"/>
      <c r="MQE2196" s="10"/>
      <c r="MQF2196" s="10"/>
      <c r="MQG2196" s="10"/>
      <c r="MQH2196" s="10"/>
      <c r="MQI2196" s="10"/>
      <c r="MQJ2196" s="10"/>
      <c r="MQK2196" s="10"/>
      <c r="MQL2196" s="10"/>
      <c r="MQM2196" s="10"/>
      <c r="MQN2196" s="10"/>
      <c r="MQO2196" s="10"/>
      <c r="MQP2196" s="10"/>
      <c r="MQQ2196" s="10"/>
      <c r="MQR2196" s="10"/>
      <c r="MQS2196" s="10"/>
      <c r="MQT2196" s="10"/>
      <c r="MQU2196" s="10"/>
      <c r="MQV2196" s="10"/>
      <c r="MQW2196" s="10"/>
      <c r="MQX2196" s="10"/>
      <c r="MQY2196" s="10"/>
      <c r="MQZ2196" s="10"/>
      <c r="MRA2196" s="10"/>
      <c r="MRB2196" s="10"/>
      <c r="MRC2196" s="10"/>
      <c r="MRD2196" s="10"/>
      <c r="MRE2196" s="10"/>
      <c r="MRF2196" s="10"/>
      <c r="MRG2196" s="10"/>
      <c r="MRH2196" s="10"/>
      <c r="MRI2196" s="10"/>
      <c r="MRJ2196" s="10"/>
      <c r="MRK2196" s="10"/>
      <c r="MRL2196" s="10"/>
      <c r="MRM2196" s="10"/>
      <c r="MRN2196" s="10"/>
      <c r="MRO2196" s="10"/>
      <c r="MRP2196" s="10"/>
      <c r="MRQ2196" s="10"/>
      <c r="MRR2196" s="10"/>
      <c r="MRS2196" s="10"/>
      <c r="MRT2196" s="10"/>
      <c r="MRU2196" s="10"/>
      <c r="MRV2196" s="10"/>
      <c r="MRW2196" s="10"/>
      <c r="MRX2196" s="10"/>
      <c r="MRY2196" s="10"/>
      <c r="MRZ2196" s="10"/>
      <c r="MSA2196" s="10"/>
      <c r="MSB2196" s="10"/>
      <c r="MSC2196" s="10"/>
      <c r="MSD2196" s="10"/>
      <c r="MSE2196" s="10"/>
      <c r="MSF2196" s="10"/>
      <c r="MSG2196" s="10"/>
      <c r="MSH2196" s="10"/>
      <c r="MSI2196" s="10"/>
      <c r="MSJ2196" s="10"/>
      <c r="MSK2196" s="10"/>
      <c r="MSL2196" s="10"/>
      <c r="MSM2196" s="10"/>
      <c r="MSN2196" s="10"/>
      <c r="MSO2196" s="10"/>
      <c r="MSP2196" s="10"/>
      <c r="MSQ2196" s="10"/>
      <c r="MSR2196" s="10"/>
      <c r="MSS2196" s="10"/>
      <c r="MST2196" s="10"/>
      <c r="MSU2196" s="10"/>
      <c r="MSV2196" s="10"/>
      <c r="MSW2196" s="10"/>
      <c r="MSX2196" s="10"/>
      <c r="MSY2196" s="10"/>
      <c r="MSZ2196" s="10"/>
      <c r="MTA2196" s="10"/>
      <c r="MTB2196" s="10"/>
      <c r="MTC2196" s="10"/>
      <c r="MTD2196" s="10"/>
      <c r="MTE2196" s="10"/>
      <c r="MTF2196" s="10"/>
      <c r="MTG2196" s="10"/>
      <c r="MTH2196" s="10"/>
      <c r="MTI2196" s="10"/>
      <c r="MTJ2196" s="10"/>
      <c r="MTK2196" s="10"/>
      <c r="MTL2196" s="10"/>
      <c r="MTM2196" s="10"/>
      <c r="MTN2196" s="10"/>
      <c r="MTO2196" s="10"/>
      <c r="MTP2196" s="10"/>
      <c r="MTQ2196" s="10"/>
      <c r="MTR2196" s="10"/>
      <c r="MTS2196" s="10"/>
      <c r="MTT2196" s="10"/>
      <c r="MTU2196" s="10"/>
      <c r="MTV2196" s="10"/>
      <c r="MTW2196" s="10"/>
      <c r="MTX2196" s="10"/>
      <c r="MTY2196" s="10"/>
      <c r="MTZ2196" s="10"/>
      <c r="MUA2196" s="10"/>
      <c r="MUB2196" s="10"/>
      <c r="MUC2196" s="10"/>
      <c r="MUD2196" s="10"/>
      <c r="MUE2196" s="10"/>
      <c r="MUF2196" s="10"/>
      <c r="MUG2196" s="10"/>
      <c r="MUH2196" s="10"/>
      <c r="MUI2196" s="10"/>
      <c r="MUJ2196" s="10"/>
      <c r="MUK2196" s="10"/>
      <c r="MUL2196" s="10"/>
      <c r="MUM2196" s="10"/>
      <c r="MUN2196" s="10"/>
      <c r="MUO2196" s="10"/>
      <c r="MUP2196" s="10"/>
      <c r="MUQ2196" s="10"/>
      <c r="MUR2196" s="10"/>
      <c r="MUS2196" s="10"/>
      <c r="MUT2196" s="10"/>
      <c r="MUU2196" s="10"/>
      <c r="MUV2196" s="10"/>
      <c r="MUW2196" s="10"/>
      <c r="MUX2196" s="10"/>
      <c r="MUY2196" s="10"/>
      <c r="MUZ2196" s="10"/>
      <c r="MVA2196" s="10"/>
      <c r="MVB2196" s="10"/>
      <c r="MVC2196" s="10"/>
      <c r="MVD2196" s="10"/>
      <c r="MVE2196" s="10"/>
      <c r="MVF2196" s="10"/>
      <c r="MVG2196" s="10"/>
      <c r="MVH2196" s="10"/>
      <c r="MVI2196" s="10"/>
      <c r="MVJ2196" s="10"/>
      <c r="MVK2196" s="10"/>
      <c r="MVL2196" s="10"/>
      <c r="MVM2196" s="10"/>
      <c r="MVN2196" s="10"/>
      <c r="MVO2196" s="10"/>
      <c r="MVP2196" s="10"/>
      <c r="MVQ2196" s="10"/>
      <c r="MVR2196" s="10"/>
      <c r="MVS2196" s="10"/>
      <c r="MVT2196" s="10"/>
      <c r="MVU2196" s="10"/>
      <c r="MVV2196" s="10"/>
      <c r="MVW2196" s="10"/>
      <c r="MVX2196" s="10"/>
      <c r="MVY2196" s="10"/>
      <c r="MVZ2196" s="10"/>
      <c r="MWA2196" s="10"/>
      <c r="MWB2196" s="10"/>
      <c r="MWC2196" s="10"/>
      <c r="MWD2196" s="10"/>
      <c r="MWE2196" s="10"/>
      <c r="MWF2196" s="10"/>
      <c r="MWG2196" s="10"/>
      <c r="MWH2196" s="10"/>
      <c r="MWI2196" s="10"/>
      <c r="MWJ2196" s="10"/>
      <c r="MWK2196" s="10"/>
      <c r="MWL2196" s="10"/>
      <c r="MWM2196" s="10"/>
      <c r="MWN2196" s="10"/>
      <c r="MWO2196" s="10"/>
      <c r="MWP2196" s="10"/>
      <c r="MWQ2196" s="10"/>
      <c r="MWR2196" s="10"/>
      <c r="MWS2196" s="10"/>
      <c r="MWT2196" s="10"/>
      <c r="MWU2196" s="10"/>
      <c r="MWV2196" s="10"/>
      <c r="MWW2196" s="10"/>
      <c r="MWX2196" s="10"/>
      <c r="MWY2196" s="10"/>
      <c r="MWZ2196" s="10"/>
      <c r="MXA2196" s="10"/>
      <c r="MXB2196" s="10"/>
      <c r="MXC2196" s="10"/>
      <c r="MXD2196" s="10"/>
      <c r="MXE2196" s="10"/>
      <c r="MXF2196" s="10"/>
      <c r="MXG2196" s="10"/>
      <c r="MXH2196" s="10"/>
      <c r="MXI2196" s="10"/>
      <c r="MXJ2196" s="10"/>
      <c r="MXK2196" s="10"/>
      <c r="MXL2196" s="10"/>
      <c r="MXM2196" s="10"/>
      <c r="MXN2196" s="10"/>
      <c r="MXO2196" s="10"/>
      <c r="MXP2196" s="10"/>
      <c r="MXQ2196" s="10"/>
      <c r="MXR2196" s="10"/>
      <c r="MXS2196" s="10"/>
      <c r="MXT2196" s="10"/>
      <c r="MXU2196" s="10"/>
      <c r="MXV2196" s="10"/>
      <c r="MXW2196" s="10"/>
      <c r="MXX2196" s="10"/>
      <c r="MXY2196" s="10"/>
      <c r="MXZ2196" s="10"/>
      <c r="MYA2196" s="10"/>
      <c r="MYB2196" s="10"/>
      <c r="MYC2196" s="10"/>
      <c r="MYD2196" s="10"/>
      <c r="MYE2196" s="10"/>
      <c r="MYF2196" s="10"/>
      <c r="MYG2196" s="10"/>
      <c r="MYH2196" s="10"/>
      <c r="MYI2196" s="10"/>
      <c r="MYJ2196" s="10"/>
      <c r="MYK2196" s="10"/>
      <c r="MYL2196" s="10"/>
      <c r="MYM2196" s="10"/>
      <c r="MYN2196" s="10"/>
      <c r="MYO2196" s="10"/>
      <c r="MYP2196" s="10"/>
      <c r="MYQ2196" s="10"/>
      <c r="MYR2196" s="10"/>
      <c r="MYS2196" s="10"/>
      <c r="MYT2196" s="10"/>
      <c r="MYU2196" s="10"/>
      <c r="MYV2196" s="10"/>
      <c r="MYW2196" s="10"/>
      <c r="MYX2196" s="10"/>
      <c r="MYY2196" s="10"/>
      <c r="MYZ2196" s="10"/>
      <c r="MZA2196" s="10"/>
      <c r="MZB2196" s="10"/>
      <c r="MZC2196" s="10"/>
      <c r="MZD2196" s="10"/>
      <c r="MZE2196" s="10"/>
      <c r="MZF2196" s="10"/>
      <c r="MZG2196" s="10"/>
      <c r="MZH2196" s="10"/>
      <c r="MZI2196" s="10"/>
      <c r="MZJ2196" s="10"/>
      <c r="MZK2196" s="10"/>
      <c r="MZL2196" s="10"/>
      <c r="MZM2196" s="10"/>
      <c r="MZN2196" s="10"/>
      <c r="MZO2196" s="10"/>
      <c r="MZP2196" s="10"/>
      <c r="MZQ2196" s="10"/>
      <c r="MZR2196" s="10"/>
      <c r="MZS2196" s="10"/>
      <c r="MZT2196" s="10"/>
      <c r="MZU2196" s="10"/>
      <c r="MZV2196" s="10"/>
      <c r="MZW2196" s="10"/>
      <c r="MZX2196" s="10"/>
      <c r="MZY2196" s="10"/>
      <c r="MZZ2196" s="10"/>
      <c r="NAA2196" s="10"/>
      <c r="NAB2196" s="10"/>
      <c r="NAC2196" s="10"/>
      <c r="NAD2196" s="10"/>
      <c r="NAE2196" s="10"/>
      <c r="NAF2196" s="10"/>
      <c r="NAG2196" s="10"/>
      <c r="NAH2196" s="10"/>
      <c r="NAI2196" s="10"/>
      <c r="NAJ2196" s="10"/>
      <c r="NAK2196" s="10"/>
      <c r="NAL2196" s="10"/>
      <c r="NAM2196" s="10"/>
      <c r="NAN2196" s="10"/>
      <c r="NAO2196" s="10"/>
      <c r="NAP2196" s="10"/>
      <c r="NAQ2196" s="10"/>
      <c r="NAR2196" s="10"/>
      <c r="NAS2196" s="10"/>
      <c r="NAT2196" s="10"/>
      <c r="NAU2196" s="10"/>
      <c r="NAV2196" s="10"/>
      <c r="NAW2196" s="10"/>
      <c r="NAX2196" s="10"/>
      <c r="NAY2196" s="10"/>
      <c r="NAZ2196" s="10"/>
      <c r="NBA2196" s="10"/>
      <c r="NBB2196" s="10"/>
      <c r="NBC2196" s="10"/>
      <c r="NBD2196" s="10"/>
      <c r="NBE2196" s="10"/>
      <c r="NBF2196" s="10"/>
      <c r="NBG2196" s="10"/>
      <c r="NBH2196" s="10"/>
      <c r="NBI2196" s="10"/>
      <c r="NBJ2196" s="10"/>
      <c r="NBK2196" s="10"/>
      <c r="NBL2196" s="10"/>
      <c r="NBM2196" s="10"/>
      <c r="NBN2196" s="10"/>
      <c r="NBO2196" s="10"/>
      <c r="NBP2196" s="10"/>
      <c r="NBQ2196" s="10"/>
      <c r="NBR2196" s="10"/>
      <c r="NBS2196" s="10"/>
      <c r="NBT2196" s="10"/>
      <c r="NBU2196" s="10"/>
      <c r="NBV2196" s="10"/>
      <c r="NBW2196" s="10"/>
      <c r="NBX2196" s="10"/>
      <c r="NBY2196" s="10"/>
      <c r="NBZ2196" s="10"/>
      <c r="NCA2196" s="10"/>
      <c r="NCB2196" s="10"/>
      <c r="NCC2196" s="10"/>
      <c r="NCD2196" s="10"/>
      <c r="NCE2196" s="10"/>
      <c r="NCF2196" s="10"/>
      <c r="NCG2196" s="10"/>
      <c r="NCH2196" s="10"/>
      <c r="NCI2196" s="10"/>
      <c r="NCJ2196" s="10"/>
      <c r="NCK2196" s="10"/>
      <c r="NCL2196" s="10"/>
      <c r="NCM2196" s="10"/>
      <c r="NCN2196" s="10"/>
      <c r="NCO2196" s="10"/>
      <c r="NCP2196" s="10"/>
      <c r="NCQ2196" s="10"/>
      <c r="NCR2196" s="10"/>
      <c r="NCS2196" s="10"/>
      <c r="NCT2196" s="10"/>
      <c r="NCU2196" s="10"/>
      <c r="NCV2196" s="10"/>
      <c r="NCW2196" s="10"/>
      <c r="NCX2196" s="10"/>
      <c r="NCY2196" s="10"/>
      <c r="NCZ2196" s="10"/>
      <c r="NDA2196" s="10"/>
      <c r="NDB2196" s="10"/>
      <c r="NDC2196" s="10"/>
      <c r="NDD2196" s="10"/>
      <c r="NDE2196" s="10"/>
      <c r="NDF2196" s="10"/>
      <c r="NDG2196" s="10"/>
      <c r="NDH2196" s="10"/>
      <c r="NDI2196" s="10"/>
      <c r="NDJ2196" s="10"/>
      <c r="NDK2196" s="10"/>
      <c r="NDL2196" s="10"/>
      <c r="NDM2196" s="10"/>
      <c r="NDN2196" s="10"/>
      <c r="NDO2196" s="10"/>
      <c r="NDP2196" s="10"/>
      <c r="NDQ2196" s="10"/>
      <c r="NDR2196" s="10"/>
      <c r="NDS2196" s="10"/>
      <c r="NDT2196" s="10"/>
      <c r="NDU2196" s="10"/>
      <c r="NDV2196" s="10"/>
      <c r="NDW2196" s="10"/>
      <c r="NDX2196" s="10"/>
      <c r="NDY2196" s="10"/>
      <c r="NDZ2196" s="10"/>
      <c r="NEA2196" s="10"/>
      <c r="NEB2196" s="10"/>
      <c r="NEC2196" s="10"/>
      <c r="NED2196" s="10"/>
      <c r="NEE2196" s="10"/>
      <c r="NEF2196" s="10"/>
      <c r="NEG2196" s="10"/>
      <c r="NEH2196" s="10"/>
      <c r="NEI2196" s="10"/>
      <c r="NEJ2196" s="10"/>
      <c r="NEK2196" s="10"/>
      <c r="NEL2196" s="10"/>
      <c r="NEM2196" s="10"/>
      <c r="NEN2196" s="10"/>
      <c r="NEO2196" s="10"/>
      <c r="NEP2196" s="10"/>
      <c r="NEQ2196" s="10"/>
      <c r="NER2196" s="10"/>
      <c r="NES2196" s="10"/>
      <c r="NET2196" s="10"/>
      <c r="NEU2196" s="10"/>
      <c r="NEV2196" s="10"/>
      <c r="NEW2196" s="10"/>
      <c r="NEX2196" s="10"/>
      <c r="NEY2196" s="10"/>
      <c r="NEZ2196" s="10"/>
      <c r="NFA2196" s="10"/>
      <c r="NFB2196" s="10"/>
      <c r="NFC2196" s="10"/>
      <c r="NFD2196" s="10"/>
      <c r="NFE2196" s="10"/>
      <c r="NFF2196" s="10"/>
      <c r="NFG2196" s="10"/>
      <c r="NFH2196" s="10"/>
      <c r="NFI2196" s="10"/>
      <c r="NFJ2196" s="10"/>
      <c r="NFK2196" s="10"/>
      <c r="NFL2196" s="10"/>
      <c r="NFM2196" s="10"/>
      <c r="NFN2196" s="10"/>
      <c r="NFO2196" s="10"/>
      <c r="NFP2196" s="10"/>
      <c r="NFQ2196" s="10"/>
      <c r="NFR2196" s="10"/>
      <c r="NFS2196" s="10"/>
      <c r="NFT2196" s="10"/>
      <c r="NFU2196" s="10"/>
      <c r="NFV2196" s="10"/>
      <c r="NFW2196" s="10"/>
      <c r="NFX2196" s="10"/>
      <c r="NFY2196" s="10"/>
      <c r="NFZ2196" s="10"/>
      <c r="NGA2196" s="10"/>
      <c r="NGB2196" s="10"/>
      <c r="NGC2196" s="10"/>
      <c r="NGD2196" s="10"/>
      <c r="NGE2196" s="10"/>
      <c r="NGF2196" s="10"/>
      <c r="NGG2196" s="10"/>
      <c r="NGH2196" s="10"/>
      <c r="NGI2196" s="10"/>
      <c r="NGJ2196" s="10"/>
      <c r="NGK2196" s="10"/>
      <c r="NGL2196" s="10"/>
      <c r="NGM2196" s="10"/>
      <c r="NGN2196" s="10"/>
      <c r="NGO2196" s="10"/>
      <c r="NGP2196" s="10"/>
      <c r="NGQ2196" s="10"/>
      <c r="NGR2196" s="10"/>
      <c r="NGS2196" s="10"/>
      <c r="NGT2196" s="10"/>
      <c r="NGU2196" s="10"/>
      <c r="NGV2196" s="10"/>
      <c r="NGW2196" s="10"/>
      <c r="NGX2196" s="10"/>
      <c r="NGY2196" s="10"/>
      <c r="NGZ2196" s="10"/>
      <c r="NHA2196" s="10"/>
      <c r="NHB2196" s="10"/>
      <c r="NHC2196" s="10"/>
      <c r="NHD2196" s="10"/>
      <c r="NHE2196" s="10"/>
      <c r="NHF2196" s="10"/>
      <c r="NHG2196" s="10"/>
      <c r="NHH2196" s="10"/>
      <c r="NHI2196" s="10"/>
      <c r="NHJ2196" s="10"/>
      <c r="NHK2196" s="10"/>
      <c r="NHL2196" s="10"/>
      <c r="NHM2196" s="10"/>
      <c r="NHN2196" s="10"/>
      <c r="NHO2196" s="10"/>
      <c r="NHP2196" s="10"/>
      <c r="NHQ2196" s="10"/>
      <c r="NHR2196" s="10"/>
      <c r="NHS2196" s="10"/>
      <c r="NHT2196" s="10"/>
      <c r="NHU2196" s="10"/>
      <c r="NHV2196" s="10"/>
      <c r="NHW2196" s="10"/>
      <c r="NHX2196" s="10"/>
      <c r="NHY2196" s="10"/>
      <c r="NHZ2196" s="10"/>
      <c r="NIA2196" s="10"/>
      <c r="NIB2196" s="10"/>
      <c r="NIC2196" s="10"/>
      <c r="NID2196" s="10"/>
      <c r="NIE2196" s="10"/>
      <c r="NIF2196" s="10"/>
      <c r="NIG2196" s="10"/>
      <c r="NIH2196" s="10"/>
      <c r="NII2196" s="10"/>
      <c r="NIJ2196" s="10"/>
      <c r="NIK2196" s="10"/>
      <c r="NIL2196" s="10"/>
      <c r="NIM2196" s="10"/>
      <c r="NIN2196" s="10"/>
      <c r="NIO2196" s="10"/>
      <c r="NIP2196" s="10"/>
      <c r="NIQ2196" s="10"/>
      <c r="NIR2196" s="10"/>
      <c r="NIS2196" s="10"/>
      <c r="NIT2196" s="10"/>
      <c r="NIU2196" s="10"/>
      <c r="NIV2196" s="10"/>
      <c r="NIW2196" s="10"/>
      <c r="NIX2196" s="10"/>
      <c r="NIY2196" s="10"/>
      <c r="NIZ2196" s="10"/>
      <c r="NJA2196" s="10"/>
      <c r="NJB2196" s="10"/>
      <c r="NJC2196" s="10"/>
      <c r="NJD2196" s="10"/>
      <c r="NJE2196" s="10"/>
      <c r="NJF2196" s="10"/>
      <c r="NJG2196" s="10"/>
      <c r="NJH2196" s="10"/>
      <c r="NJI2196" s="10"/>
      <c r="NJJ2196" s="10"/>
      <c r="NJK2196" s="10"/>
      <c r="NJL2196" s="10"/>
      <c r="NJM2196" s="10"/>
      <c r="NJN2196" s="10"/>
      <c r="NJO2196" s="10"/>
      <c r="NJP2196" s="10"/>
      <c r="NJQ2196" s="10"/>
      <c r="NJR2196" s="10"/>
      <c r="NJS2196" s="10"/>
      <c r="NJT2196" s="10"/>
      <c r="NJU2196" s="10"/>
      <c r="NJV2196" s="10"/>
      <c r="NJW2196" s="10"/>
      <c r="NJX2196" s="10"/>
      <c r="NJY2196" s="10"/>
      <c r="NJZ2196" s="10"/>
      <c r="NKA2196" s="10"/>
      <c r="NKB2196" s="10"/>
      <c r="NKC2196" s="10"/>
      <c r="NKD2196" s="10"/>
      <c r="NKE2196" s="10"/>
      <c r="NKF2196" s="10"/>
      <c r="NKG2196" s="10"/>
      <c r="NKH2196" s="10"/>
      <c r="NKI2196" s="10"/>
      <c r="NKJ2196" s="10"/>
      <c r="NKK2196" s="10"/>
      <c r="NKL2196" s="10"/>
      <c r="NKM2196" s="10"/>
      <c r="NKN2196" s="10"/>
      <c r="NKO2196" s="10"/>
      <c r="NKP2196" s="10"/>
      <c r="NKQ2196" s="10"/>
      <c r="NKR2196" s="10"/>
      <c r="NKS2196" s="10"/>
      <c r="NKT2196" s="10"/>
      <c r="NKU2196" s="10"/>
      <c r="NKV2196" s="10"/>
      <c r="NKW2196" s="10"/>
      <c r="NKX2196" s="10"/>
      <c r="NKY2196" s="10"/>
      <c r="NKZ2196" s="10"/>
      <c r="NLA2196" s="10"/>
      <c r="NLB2196" s="10"/>
      <c r="NLC2196" s="10"/>
      <c r="NLD2196" s="10"/>
      <c r="NLE2196" s="10"/>
      <c r="NLF2196" s="10"/>
      <c r="NLG2196" s="10"/>
      <c r="NLH2196" s="10"/>
      <c r="NLI2196" s="10"/>
      <c r="NLJ2196" s="10"/>
      <c r="NLK2196" s="10"/>
      <c r="NLL2196" s="10"/>
      <c r="NLM2196" s="10"/>
      <c r="NLN2196" s="10"/>
      <c r="NLO2196" s="10"/>
      <c r="NLP2196" s="10"/>
      <c r="NLQ2196" s="10"/>
      <c r="NLR2196" s="10"/>
      <c r="NLS2196" s="10"/>
      <c r="NLT2196" s="10"/>
      <c r="NLU2196" s="10"/>
      <c r="NLV2196" s="10"/>
      <c r="NLW2196" s="10"/>
      <c r="NLX2196" s="10"/>
      <c r="NLY2196" s="10"/>
      <c r="NLZ2196" s="10"/>
      <c r="NMA2196" s="10"/>
      <c r="NMB2196" s="10"/>
      <c r="NMC2196" s="10"/>
      <c r="NMD2196" s="10"/>
      <c r="NME2196" s="10"/>
      <c r="NMF2196" s="10"/>
      <c r="NMG2196" s="10"/>
      <c r="NMH2196" s="10"/>
      <c r="NMI2196" s="10"/>
      <c r="NMJ2196" s="10"/>
      <c r="NMK2196" s="10"/>
      <c r="NML2196" s="10"/>
      <c r="NMM2196" s="10"/>
      <c r="NMN2196" s="10"/>
      <c r="NMO2196" s="10"/>
      <c r="NMP2196" s="10"/>
      <c r="NMQ2196" s="10"/>
      <c r="NMR2196" s="10"/>
      <c r="NMS2196" s="10"/>
      <c r="NMT2196" s="10"/>
      <c r="NMU2196" s="10"/>
      <c r="NMV2196" s="10"/>
      <c r="NMW2196" s="10"/>
      <c r="NMX2196" s="10"/>
      <c r="NMY2196" s="10"/>
      <c r="NMZ2196" s="10"/>
      <c r="NNA2196" s="10"/>
      <c r="NNB2196" s="10"/>
      <c r="NNC2196" s="10"/>
      <c r="NND2196" s="10"/>
      <c r="NNE2196" s="10"/>
      <c r="NNF2196" s="10"/>
      <c r="NNG2196" s="10"/>
      <c r="NNH2196" s="10"/>
      <c r="NNI2196" s="10"/>
      <c r="NNJ2196" s="10"/>
      <c r="NNK2196" s="10"/>
      <c r="NNL2196" s="10"/>
      <c r="NNM2196" s="10"/>
      <c r="NNN2196" s="10"/>
      <c r="NNO2196" s="10"/>
      <c r="NNP2196" s="10"/>
      <c r="NNQ2196" s="10"/>
      <c r="NNR2196" s="10"/>
      <c r="NNS2196" s="10"/>
      <c r="NNT2196" s="10"/>
      <c r="NNU2196" s="10"/>
      <c r="NNV2196" s="10"/>
      <c r="NNW2196" s="10"/>
      <c r="NNX2196" s="10"/>
      <c r="NNY2196" s="10"/>
      <c r="NNZ2196" s="10"/>
      <c r="NOA2196" s="10"/>
      <c r="NOB2196" s="10"/>
      <c r="NOC2196" s="10"/>
      <c r="NOD2196" s="10"/>
      <c r="NOE2196" s="10"/>
      <c r="NOF2196" s="10"/>
      <c r="NOG2196" s="10"/>
      <c r="NOH2196" s="10"/>
      <c r="NOI2196" s="10"/>
      <c r="NOJ2196" s="10"/>
      <c r="NOK2196" s="10"/>
      <c r="NOL2196" s="10"/>
      <c r="NOM2196" s="10"/>
      <c r="NON2196" s="10"/>
      <c r="NOO2196" s="10"/>
      <c r="NOP2196" s="10"/>
      <c r="NOQ2196" s="10"/>
      <c r="NOR2196" s="10"/>
      <c r="NOS2196" s="10"/>
      <c r="NOT2196" s="10"/>
      <c r="NOU2196" s="10"/>
      <c r="NOV2196" s="10"/>
      <c r="NOW2196" s="10"/>
      <c r="NOX2196" s="10"/>
      <c r="NOY2196" s="10"/>
      <c r="NOZ2196" s="10"/>
      <c r="NPA2196" s="10"/>
      <c r="NPB2196" s="10"/>
      <c r="NPC2196" s="10"/>
      <c r="NPD2196" s="10"/>
      <c r="NPE2196" s="10"/>
      <c r="NPF2196" s="10"/>
      <c r="NPG2196" s="10"/>
      <c r="NPH2196" s="10"/>
      <c r="NPI2196" s="10"/>
      <c r="NPJ2196" s="10"/>
      <c r="NPK2196" s="10"/>
      <c r="NPL2196" s="10"/>
      <c r="NPM2196" s="10"/>
      <c r="NPN2196" s="10"/>
      <c r="NPO2196" s="10"/>
      <c r="NPP2196" s="10"/>
      <c r="NPQ2196" s="10"/>
      <c r="NPR2196" s="10"/>
      <c r="NPS2196" s="10"/>
      <c r="NPT2196" s="10"/>
      <c r="NPU2196" s="10"/>
      <c r="NPV2196" s="10"/>
      <c r="NPW2196" s="10"/>
      <c r="NPX2196" s="10"/>
      <c r="NPY2196" s="10"/>
      <c r="NPZ2196" s="10"/>
      <c r="NQA2196" s="10"/>
      <c r="NQB2196" s="10"/>
      <c r="NQC2196" s="10"/>
      <c r="NQD2196" s="10"/>
      <c r="NQE2196" s="10"/>
      <c r="NQF2196" s="10"/>
      <c r="NQG2196" s="10"/>
      <c r="NQH2196" s="10"/>
      <c r="NQI2196" s="10"/>
      <c r="NQJ2196" s="10"/>
      <c r="NQK2196" s="10"/>
      <c r="NQL2196" s="10"/>
      <c r="NQM2196" s="10"/>
      <c r="NQN2196" s="10"/>
      <c r="NQO2196" s="10"/>
      <c r="NQP2196" s="10"/>
      <c r="NQQ2196" s="10"/>
      <c r="NQR2196" s="10"/>
      <c r="NQS2196" s="10"/>
      <c r="NQT2196" s="10"/>
      <c r="NQU2196" s="10"/>
      <c r="NQV2196" s="10"/>
      <c r="NQW2196" s="10"/>
      <c r="NQX2196" s="10"/>
      <c r="NQY2196" s="10"/>
      <c r="NQZ2196" s="10"/>
      <c r="NRA2196" s="10"/>
      <c r="NRB2196" s="10"/>
      <c r="NRC2196" s="10"/>
      <c r="NRD2196" s="10"/>
      <c r="NRE2196" s="10"/>
      <c r="NRF2196" s="10"/>
      <c r="NRG2196" s="10"/>
      <c r="NRH2196" s="10"/>
      <c r="NRI2196" s="10"/>
      <c r="NRJ2196" s="10"/>
      <c r="NRK2196" s="10"/>
      <c r="NRL2196" s="10"/>
      <c r="NRM2196" s="10"/>
      <c r="NRN2196" s="10"/>
      <c r="NRO2196" s="10"/>
      <c r="NRP2196" s="10"/>
      <c r="NRQ2196" s="10"/>
      <c r="NRR2196" s="10"/>
      <c r="NRS2196" s="10"/>
      <c r="NRT2196" s="10"/>
      <c r="NRU2196" s="10"/>
      <c r="NRV2196" s="10"/>
      <c r="NRW2196" s="10"/>
      <c r="NRX2196" s="10"/>
      <c r="NRY2196" s="10"/>
      <c r="NRZ2196" s="10"/>
      <c r="NSA2196" s="10"/>
      <c r="NSB2196" s="10"/>
      <c r="NSC2196" s="10"/>
      <c r="NSD2196" s="10"/>
      <c r="NSE2196" s="10"/>
      <c r="NSF2196" s="10"/>
      <c r="NSG2196" s="10"/>
      <c r="NSH2196" s="10"/>
      <c r="NSI2196" s="10"/>
      <c r="NSJ2196" s="10"/>
      <c r="NSK2196" s="10"/>
      <c r="NSL2196" s="10"/>
      <c r="NSM2196" s="10"/>
      <c r="NSN2196" s="10"/>
      <c r="NSO2196" s="10"/>
      <c r="NSP2196" s="10"/>
      <c r="NSQ2196" s="10"/>
      <c r="NSR2196" s="10"/>
      <c r="NSS2196" s="10"/>
      <c r="NST2196" s="10"/>
      <c r="NSU2196" s="10"/>
      <c r="NSV2196" s="10"/>
      <c r="NSW2196" s="10"/>
      <c r="NSX2196" s="10"/>
      <c r="NSY2196" s="10"/>
      <c r="NSZ2196" s="10"/>
      <c r="NTA2196" s="10"/>
      <c r="NTB2196" s="10"/>
      <c r="NTC2196" s="10"/>
      <c r="NTD2196" s="10"/>
      <c r="NTE2196" s="10"/>
      <c r="NTF2196" s="10"/>
      <c r="NTG2196" s="10"/>
      <c r="NTH2196" s="10"/>
      <c r="NTI2196" s="10"/>
      <c r="NTJ2196" s="10"/>
      <c r="NTK2196" s="10"/>
      <c r="NTL2196" s="10"/>
      <c r="NTM2196" s="10"/>
      <c r="NTN2196" s="10"/>
      <c r="NTO2196" s="10"/>
      <c r="NTP2196" s="10"/>
      <c r="NTQ2196" s="10"/>
      <c r="NTR2196" s="10"/>
      <c r="NTS2196" s="10"/>
      <c r="NTT2196" s="10"/>
      <c r="NTU2196" s="10"/>
      <c r="NTV2196" s="10"/>
      <c r="NTW2196" s="10"/>
      <c r="NTX2196" s="10"/>
      <c r="NTY2196" s="10"/>
      <c r="NTZ2196" s="10"/>
      <c r="NUA2196" s="10"/>
      <c r="NUB2196" s="10"/>
      <c r="NUC2196" s="10"/>
      <c r="NUD2196" s="10"/>
      <c r="NUE2196" s="10"/>
      <c r="NUF2196" s="10"/>
      <c r="NUG2196" s="10"/>
      <c r="NUH2196" s="10"/>
      <c r="NUI2196" s="10"/>
      <c r="NUJ2196" s="10"/>
      <c r="NUK2196" s="10"/>
      <c r="NUL2196" s="10"/>
      <c r="NUM2196" s="10"/>
      <c r="NUN2196" s="10"/>
      <c r="NUO2196" s="10"/>
      <c r="NUP2196" s="10"/>
      <c r="NUQ2196" s="10"/>
      <c r="NUR2196" s="10"/>
      <c r="NUS2196" s="10"/>
      <c r="NUT2196" s="10"/>
      <c r="NUU2196" s="10"/>
      <c r="NUV2196" s="10"/>
      <c r="NUW2196" s="10"/>
      <c r="NUX2196" s="10"/>
      <c r="NUY2196" s="10"/>
      <c r="NUZ2196" s="10"/>
      <c r="NVA2196" s="10"/>
      <c r="NVB2196" s="10"/>
      <c r="NVC2196" s="10"/>
      <c r="NVD2196" s="10"/>
      <c r="NVE2196" s="10"/>
      <c r="NVF2196" s="10"/>
      <c r="NVG2196" s="10"/>
      <c r="NVH2196" s="10"/>
      <c r="NVI2196" s="10"/>
      <c r="NVJ2196" s="10"/>
      <c r="NVK2196" s="10"/>
      <c r="NVL2196" s="10"/>
      <c r="NVM2196" s="10"/>
      <c r="NVN2196" s="10"/>
      <c r="NVO2196" s="10"/>
      <c r="NVP2196" s="10"/>
      <c r="NVQ2196" s="10"/>
      <c r="NVR2196" s="10"/>
      <c r="NVS2196" s="10"/>
      <c r="NVT2196" s="10"/>
      <c r="NVU2196" s="10"/>
      <c r="NVV2196" s="10"/>
      <c r="NVW2196" s="10"/>
      <c r="NVX2196" s="10"/>
      <c r="NVY2196" s="10"/>
      <c r="NVZ2196" s="10"/>
      <c r="NWA2196" s="10"/>
      <c r="NWB2196" s="10"/>
      <c r="NWC2196" s="10"/>
      <c r="NWD2196" s="10"/>
      <c r="NWE2196" s="10"/>
      <c r="NWF2196" s="10"/>
      <c r="NWG2196" s="10"/>
      <c r="NWH2196" s="10"/>
      <c r="NWI2196" s="10"/>
      <c r="NWJ2196" s="10"/>
      <c r="NWK2196" s="10"/>
      <c r="NWL2196" s="10"/>
      <c r="NWM2196" s="10"/>
      <c r="NWN2196" s="10"/>
      <c r="NWO2196" s="10"/>
      <c r="NWP2196" s="10"/>
      <c r="NWQ2196" s="10"/>
      <c r="NWR2196" s="10"/>
      <c r="NWS2196" s="10"/>
      <c r="NWT2196" s="10"/>
      <c r="NWU2196" s="10"/>
      <c r="NWV2196" s="10"/>
      <c r="NWW2196" s="10"/>
      <c r="NWX2196" s="10"/>
      <c r="NWY2196" s="10"/>
      <c r="NWZ2196" s="10"/>
      <c r="NXA2196" s="10"/>
      <c r="NXB2196" s="10"/>
      <c r="NXC2196" s="10"/>
      <c r="NXD2196" s="10"/>
      <c r="NXE2196" s="10"/>
      <c r="NXF2196" s="10"/>
      <c r="NXG2196" s="10"/>
      <c r="NXH2196" s="10"/>
      <c r="NXI2196" s="10"/>
      <c r="NXJ2196" s="10"/>
      <c r="NXK2196" s="10"/>
      <c r="NXL2196" s="10"/>
      <c r="NXM2196" s="10"/>
      <c r="NXN2196" s="10"/>
      <c r="NXO2196" s="10"/>
      <c r="NXP2196" s="10"/>
      <c r="NXQ2196" s="10"/>
      <c r="NXR2196" s="10"/>
      <c r="NXS2196" s="10"/>
      <c r="NXT2196" s="10"/>
      <c r="NXU2196" s="10"/>
      <c r="NXV2196" s="10"/>
      <c r="NXW2196" s="10"/>
      <c r="NXX2196" s="10"/>
      <c r="NXY2196" s="10"/>
      <c r="NXZ2196" s="10"/>
      <c r="NYA2196" s="10"/>
      <c r="NYB2196" s="10"/>
      <c r="NYC2196" s="10"/>
      <c r="NYD2196" s="10"/>
      <c r="NYE2196" s="10"/>
      <c r="NYF2196" s="10"/>
      <c r="NYG2196" s="10"/>
      <c r="NYH2196" s="10"/>
      <c r="NYI2196" s="10"/>
      <c r="NYJ2196" s="10"/>
      <c r="NYK2196" s="10"/>
      <c r="NYL2196" s="10"/>
      <c r="NYM2196" s="10"/>
      <c r="NYN2196" s="10"/>
      <c r="NYO2196" s="10"/>
      <c r="NYP2196" s="10"/>
      <c r="NYQ2196" s="10"/>
      <c r="NYR2196" s="10"/>
      <c r="NYS2196" s="10"/>
      <c r="NYT2196" s="10"/>
      <c r="NYU2196" s="10"/>
      <c r="NYV2196" s="10"/>
      <c r="NYW2196" s="10"/>
      <c r="NYX2196" s="10"/>
      <c r="NYY2196" s="10"/>
      <c r="NYZ2196" s="10"/>
      <c r="NZA2196" s="10"/>
      <c r="NZB2196" s="10"/>
      <c r="NZC2196" s="10"/>
      <c r="NZD2196" s="10"/>
      <c r="NZE2196" s="10"/>
      <c r="NZF2196" s="10"/>
      <c r="NZG2196" s="10"/>
      <c r="NZH2196" s="10"/>
      <c r="NZI2196" s="10"/>
      <c r="NZJ2196" s="10"/>
      <c r="NZK2196" s="10"/>
      <c r="NZL2196" s="10"/>
      <c r="NZM2196" s="10"/>
      <c r="NZN2196" s="10"/>
      <c r="NZO2196" s="10"/>
      <c r="NZP2196" s="10"/>
      <c r="NZQ2196" s="10"/>
      <c r="NZR2196" s="10"/>
      <c r="NZS2196" s="10"/>
      <c r="NZT2196" s="10"/>
      <c r="NZU2196" s="10"/>
      <c r="NZV2196" s="10"/>
      <c r="NZW2196" s="10"/>
      <c r="NZX2196" s="10"/>
      <c r="NZY2196" s="10"/>
      <c r="NZZ2196" s="10"/>
      <c r="OAA2196" s="10"/>
      <c r="OAB2196" s="10"/>
      <c r="OAC2196" s="10"/>
      <c r="OAD2196" s="10"/>
      <c r="OAE2196" s="10"/>
      <c r="OAF2196" s="10"/>
      <c r="OAG2196" s="10"/>
      <c r="OAH2196" s="10"/>
      <c r="OAI2196" s="10"/>
      <c r="OAJ2196" s="10"/>
      <c r="OAK2196" s="10"/>
      <c r="OAL2196" s="10"/>
      <c r="OAM2196" s="10"/>
      <c r="OAN2196" s="10"/>
      <c r="OAO2196" s="10"/>
      <c r="OAP2196" s="10"/>
      <c r="OAQ2196" s="10"/>
      <c r="OAR2196" s="10"/>
      <c r="OAS2196" s="10"/>
      <c r="OAT2196" s="10"/>
      <c r="OAU2196" s="10"/>
      <c r="OAV2196" s="10"/>
      <c r="OAW2196" s="10"/>
      <c r="OAX2196" s="10"/>
      <c r="OAY2196" s="10"/>
      <c r="OAZ2196" s="10"/>
      <c r="OBA2196" s="10"/>
      <c r="OBB2196" s="10"/>
      <c r="OBC2196" s="10"/>
      <c r="OBD2196" s="10"/>
      <c r="OBE2196" s="10"/>
      <c r="OBF2196" s="10"/>
      <c r="OBG2196" s="10"/>
      <c r="OBH2196" s="10"/>
      <c r="OBI2196" s="10"/>
      <c r="OBJ2196" s="10"/>
      <c r="OBK2196" s="10"/>
      <c r="OBL2196" s="10"/>
      <c r="OBM2196" s="10"/>
      <c r="OBN2196" s="10"/>
      <c r="OBO2196" s="10"/>
      <c r="OBP2196" s="10"/>
      <c r="OBQ2196" s="10"/>
      <c r="OBR2196" s="10"/>
      <c r="OBS2196" s="10"/>
      <c r="OBT2196" s="10"/>
      <c r="OBU2196" s="10"/>
      <c r="OBV2196" s="10"/>
      <c r="OBW2196" s="10"/>
      <c r="OBX2196" s="10"/>
      <c r="OBY2196" s="10"/>
      <c r="OBZ2196" s="10"/>
      <c r="OCA2196" s="10"/>
      <c r="OCB2196" s="10"/>
      <c r="OCC2196" s="10"/>
      <c r="OCD2196" s="10"/>
      <c r="OCE2196" s="10"/>
      <c r="OCF2196" s="10"/>
      <c r="OCG2196" s="10"/>
      <c r="OCH2196" s="10"/>
      <c r="OCI2196" s="10"/>
      <c r="OCJ2196" s="10"/>
      <c r="OCK2196" s="10"/>
      <c r="OCL2196" s="10"/>
      <c r="OCM2196" s="10"/>
      <c r="OCN2196" s="10"/>
      <c r="OCO2196" s="10"/>
      <c r="OCP2196" s="10"/>
      <c r="OCQ2196" s="10"/>
      <c r="OCR2196" s="10"/>
      <c r="OCS2196" s="10"/>
      <c r="OCT2196" s="10"/>
      <c r="OCU2196" s="10"/>
      <c r="OCV2196" s="10"/>
      <c r="OCW2196" s="10"/>
      <c r="OCX2196" s="10"/>
      <c r="OCY2196" s="10"/>
      <c r="OCZ2196" s="10"/>
      <c r="ODA2196" s="10"/>
      <c r="ODB2196" s="10"/>
      <c r="ODC2196" s="10"/>
      <c r="ODD2196" s="10"/>
      <c r="ODE2196" s="10"/>
      <c r="ODF2196" s="10"/>
      <c r="ODG2196" s="10"/>
      <c r="ODH2196" s="10"/>
      <c r="ODI2196" s="10"/>
      <c r="ODJ2196" s="10"/>
      <c r="ODK2196" s="10"/>
      <c r="ODL2196" s="10"/>
      <c r="ODM2196" s="10"/>
      <c r="ODN2196" s="10"/>
      <c r="ODO2196" s="10"/>
      <c r="ODP2196" s="10"/>
      <c r="ODQ2196" s="10"/>
      <c r="ODR2196" s="10"/>
      <c r="ODS2196" s="10"/>
      <c r="ODT2196" s="10"/>
      <c r="ODU2196" s="10"/>
      <c r="ODV2196" s="10"/>
      <c r="ODW2196" s="10"/>
      <c r="ODX2196" s="10"/>
      <c r="ODY2196" s="10"/>
      <c r="ODZ2196" s="10"/>
      <c r="OEA2196" s="10"/>
      <c r="OEB2196" s="10"/>
      <c r="OEC2196" s="10"/>
      <c r="OED2196" s="10"/>
      <c r="OEE2196" s="10"/>
      <c r="OEF2196" s="10"/>
      <c r="OEG2196" s="10"/>
      <c r="OEH2196" s="10"/>
      <c r="OEI2196" s="10"/>
      <c r="OEJ2196" s="10"/>
      <c r="OEK2196" s="10"/>
      <c r="OEL2196" s="10"/>
      <c r="OEM2196" s="10"/>
      <c r="OEN2196" s="10"/>
      <c r="OEO2196" s="10"/>
      <c r="OEP2196" s="10"/>
      <c r="OEQ2196" s="10"/>
      <c r="OER2196" s="10"/>
      <c r="OES2196" s="10"/>
      <c r="OET2196" s="10"/>
      <c r="OEU2196" s="10"/>
      <c r="OEV2196" s="10"/>
      <c r="OEW2196" s="10"/>
      <c r="OEX2196" s="10"/>
      <c r="OEY2196" s="10"/>
      <c r="OEZ2196" s="10"/>
      <c r="OFA2196" s="10"/>
      <c r="OFB2196" s="10"/>
      <c r="OFC2196" s="10"/>
      <c r="OFD2196" s="10"/>
      <c r="OFE2196" s="10"/>
      <c r="OFF2196" s="10"/>
      <c r="OFG2196" s="10"/>
      <c r="OFH2196" s="10"/>
      <c r="OFI2196" s="10"/>
      <c r="OFJ2196" s="10"/>
      <c r="OFK2196" s="10"/>
      <c r="OFL2196" s="10"/>
      <c r="OFM2196" s="10"/>
      <c r="OFN2196" s="10"/>
      <c r="OFO2196" s="10"/>
      <c r="OFP2196" s="10"/>
      <c r="OFQ2196" s="10"/>
      <c r="OFR2196" s="10"/>
      <c r="OFS2196" s="10"/>
      <c r="OFT2196" s="10"/>
      <c r="OFU2196" s="10"/>
      <c r="OFV2196" s="10"/>
      <c r="OFW2196" s="10"/>
      <c r="OFX2196" s="10"/>
      <c r="OFY2196" s="10"/>
      <c r="OFZ2196" s="10"/>
      <c r="OGA2196" s="10"/>
      <c r="OGB2196" s="10"/>
      <c r="OGC2196" s="10"/>
      <c r="OGD2196" s="10"/>
      <c r="OGE2196" s="10"/>
      <c r="OGF2196" s="10"/>
      <c r="OGG2196" s="10"/>
      <c r="OGH2196" s="10"/>
      <c r="OGI2196" s="10"/>
      <c r="OGJ2196" s="10"/>
      <c r="OGK2196" s="10"/>
      <c r="OGL2196" s="10"/>
      <c r="OGM2196" s="10"/>
      <c r="OGN2196" s="10"/>
      <c r="OGO2196" s="10"/>
      <c r="OGP2196" s="10"/>
      <c r="OGQ2196" s="10"/>
      <c r="OGR2196" s="10"/>
      <c r="OGS2196" s="10"/>
      <c r="OGT2196" s="10"/>
      <c r="OGU2196" s="10"/>
      <c r="OGV2196" s="10"/>
      <c r="OGW2196" s="10"/>
      <c r="OGX2196" s="10"/>
      <c r="OGY2196" s="10"/>
      <c r="OGZ2196" s="10"/>
      <c r="OHA2196" s="10"/>
      <c r="OHB2196" s="10"/>
      <c r="OHC2196" s="10"/>
      <c r="OHD2196" s="10"/>
      <c r="OHE2196" s="10"/>
      <c r="OHF2196" s="10"/>
      <c r="OHG2196" s="10"/>
      <c r="OHH2196" s="10"/>
      <c r="OHI2196" s="10"/>
      <c r="OHJ2196" s="10"/>
      <c r="OHK2196" s="10"/>
      <c r="OHL2196" s="10"/>
      <c r="OHM2196" s="10"/>
      <c r="OHN2196" s="10"/>
      <c r="OHO2196" s="10"/>
      <c r="OHP2196" s="10"/>
      <c r="OHQ2196" s="10"/>
      <c r="OHR2196" s="10"/>
      <c r="OHS2196" s="10"/>
      <c r="OHT2196" s="10"/>
      <c r="OHU2196" s="10"/>
      <c r="OHV2196" s="10"/>
      <c r="OHW2196" s="10"/>
      <c r="OHX2196" s="10"/>
      <c r="OHY2196" s="10"/>
      <c r="OHZ2196" s="10"/>
      <c r="OIA2196" s="10"/>
      <c r="OIB2196" s="10"/>
      <c r="OIC2196" s="10"/>
      <c r="OID2196" s="10"/>
      <c r="OIE2196" s="10"/>
      <c r="OIF2196" s="10"/>
      <c r="OIG2196" s="10"/>
      <c r="OIH2196" s="10"/>
      <c r="OII2196" s="10"/>
      <c r="OIJ2196" s="10"/>
      <c r="OIK2196" s="10"/>
      <c r="OIL2196" s="10"/>
      <c r="OIM2196" s="10"/>
      <c r="OIN2196" s="10"/>
      <c r="OIO2196" s="10"/>
      <c r="OIP2196" s="10"/>
      <c r="OIQ2196" s="10"/>
      <c r="OIR2196" s="10"/>
      <c r="OIS2196" s="10"/>
      <c r="OIT2196" s="10"/>
      <c r="OIU2196" s="10"/>
      <c r="OIV2196" s="10"/>
      <c r="OIW2196" s="10"/>
      <c r="OIX2196" s="10"/>
      <c r="OIY2196" s="10"/>
      <c r="OIZ2196" s="10"/>
      <c r="OJA2196" s="10"/>
      <c r="OJB2196" s="10"/>
      <c r="OJC2196" s="10"/>
      <c r="OJD2196" s="10"/>
      <c r="OJE2196" s="10"/>
      <c r="OJF2196" s="10"/>
      <c r="OJG2196" s="10"/>
      <c r="OJH2196" s="10"/>
      <c r="OJI2196" s="10"/>
      <c r="OJJ2196" s="10"/>
      <c r="OJK2196" s="10"/>
      <c r="OJL2196" s="10"/>
      <c r="OJM2196" s="10"/>
      <c r="OJN2196" s="10"/>
      <c r="OJO2196" s="10"/>
      <c r="OJP2196" s="10"/>
      <c r="OJQ2196" s="10"/>
      <c r="OJR2196" s="10"/>
      <c r="OJS2196" s="10"/>
      <c r="OJT2196" s="10"/>
      <c r="OJU2196" s="10"/>
      <c r="OJV2196" s="10"/>
      <c r="OJW2196" s="10"/>
      <c r="OJX2196" s="10"/>
      <c r="OJY2196" s="10"/>
      <c r="OJZ2196" s="10"/>
      <c r="OKA2196" s="10"/>
      <c r="OKB2196" s="10"/>
      <c r="OKC2196" s="10"/>
      <c r="OKD2196" s="10"/>
      <c r="OKE2196" s="10"/>
      <c r="OKF2196" s="10"/>
      <c r="OKG2196" s="10"/>
      <c r="OKH2196" s="10"/>
      <c r="OKI2196" s="10"/>
      <c r="OKJ2196" s="10"/>
      <c r="OKK2196" s="10"/>
      <c r="OKL2196" s="10"/>
      <c r="OKM2196" s="10"/>
      <c r="OKN2196" s="10"/>
      <c r="OKO2196" s="10"/>
      <c r="OKP2196" s="10"/>
      <c r="OKQ2196" s="10"/>
      <c r="OKR2196" s="10"/>
      <c r="OKS2196" s="10"/>
      <c r="OKT2196" s="10"/>
      <c r="OKU2196" s="10"/>
      <c r="OKV2196" s="10"/>
      <c r="OKW2196" s="10"/>
      <c r="OKX2196" s="10"/>
      <c r="OKY2196" s="10"/>
      <c r="OKZ2196" s="10"/>
      <c r="OLA2196" s="10"/>
      <c r="OLB2196" s="10"/>
      <c r="OLC2196" s="10"/>
      <c r="OLD2196" s="10"/>
      <c r="OLE2196" s="10"/>
      <c r="OLF2196" s="10"/>
      <c r="OLG2196" s="10"/>
      <c r="OLH2196" s="10"/>
      <c r="OLI2196" s="10"/>
      <c r="OLJ2196" s="10"/>
      <c r="OLK2196" s="10"/>
      <c r="OLL2196" s="10"/>
      <c r="OLM2196" s="10"/>
      <c r="OLN2196" s="10"/>
      <c r="OLO2196" s="10"/>
      <c r="OLP2196" s="10"/>
      <c r="OLQ2196" s="10"/>
      <c r="OLR2196" s="10"/>
      <c r="OLS2196" s="10"/>
      <c r="OLT2196" s="10"/>
      <c r="OLU2196" s="10"/>
      <c r="OLV2196" s="10"/>
      <c r="OLW2196" s="10"/>
      <c r="OLX2196" s="10"/>
      <c r="OLY2196" s="10"/>
      <c r="OLZ2196" s="10"/>
      <c r="OMA2196" s="10"/>
      <c r="OMB2196" s="10"/>
      <c r="OMC2196" s="10"/>
      <c r="OMD2196" s="10"/>
      <c r="OME2196" s="10"/>
      <c r="OMF2196" s="10"/>
      <c r="OMG2196" s="10"/>
      <c r="OMH2196" s="10"/>
      <c r="OMI2196" s="10"/>
      <c r="OMJ2196" s="10"/>
      <c r="OMK2196" s="10"/>
      <c r="OML2196" s="10"/>
      <c r="OMM2196" s="10"/>
      <c r="OMN2196" s="10"/>
      <c r="OMO2196" s="10"/>
      <c r="OMP2196" s="10"/>
      <c r="OMQ2196" s="10"/>
      <c r="OMR2196" s="10"/>
      <c r="OMS2196" s="10"/>
      <c r="OMT2196" s="10"/>
      <c r="OMU2196" s="10"/>
      <c r="OMV2196" s="10"/>
      <c r="OMW2196" s="10"/>
      <c r="OMX2196" s="10"/>
      <c r="OMY2196" s="10"/>
      <c r="OMZ2196" s="10"/>
      <c r="ONA2196" s="10"/>
      <c r="ONB2196" s="10"/>
      <c r="ONC2196" s="10"/>
      <c r="OND2196" s="10"/>
      <c r="ONE2196" s="10"/>
      <c r="ONF2196" s="10"/>
      <c r="ONG2196" s="10"/>
      <c r="ONH2196" s="10"/>
      <c r="ONI2196" s="10"/>
      <c r="ONJ2196" s="10"/>
      <c r="ONK2196" s="10"/>
      <c r="ONL2196" s="10"/>
      <c r="ONM2196" s="10"/>
      <c r="ONN2196" s="10"/>
      <c r="ONO2196" s="10"/>
      <c r="ONP2196" s="10"/>
      <c r="ONQ2196" s="10"/>
      <c r="ONR2196" s="10"/>
      <c r="ONS2196" s="10"/>
      <c r="ONT2196" s="10"/>
      <c r="ONU2196" s="10"/>
      <c r="ONV2196" s="10"/>
      <c r="ONW2196" s="10"/>
      <c r="ONX2196" s="10"/>
      <c r="ONY2196" s="10"/>
      <c r="ONZ2196" s="10"/>
      <c r="OOA2196" s="10"/>
      <c r="OOB2196" s="10"/>
      <c r="OOC2196" s="10"/>
      <c r="OOD2196" s="10"/>
      <c r="OOE2196" s="10"/>
      <c r="OOF2196" s="10"/>
      <c r="OOG2196" s="10"/>
      <c r="OOH2196" s="10"/>
      <c r="OOI2196" s="10"/>
      <c r="OOJ2196" s="10"/>
      <c r="OOK2196" s="10"/>
      <c r="OOL2196" s="10"/>
      <c r="OOM2196" s="10"/>
      <c r="OON2196" s="10"/>
      <c r="OOO2196" s="10"/>
      <c r="OOP2196" s="10"/>
      <c r="OOQ2196" s="10"/>
      <c r="OOR2196" s="10"/>
      <c r="OOS2196" s="10"/>
      <c r="OOT2196" s="10"/>
      <c r="OOU2196" s="10"/>
      <c r="OOV2196" s="10"/>
      <c r="OOW2196" s="10"/>
      <c r="OOX2196" s="10"/>
      <c r="OOY2196" s="10"/>
      <c r="OOZ2196" s="10"/>
      <c r="OPA2196" s="10"/>
      <c r="OPB2196" s="10"/>
      <c r="OPC2196" s="10"/>
      <c r="OPD2196" s="10"/>
      <c r="OPE2196" s="10"/>
      <c r="OPF2196" s="10"/>
      <c r="OPG2196" s="10"/>
      <c r="OPH2196" s="10"/>
      <c r="OPI2196" s="10"/>
      <c r="OPJ2196" s="10"/>
      <c r="OPK2196" s="10"/>
      <c r="OPL2196" s="10"/>
      <c r="OPM2196" s="10"/>
      <c r="OPN2196" s="10"/>
      <c r="OPO2196" s="10"/>
      <c r="OPP2196" s="10"/>
      <c r="OPQ2196" s="10"/>
      <c r="OPR2196" s="10"/>
      <c r="OPS2196" s="10"/>
      <c r="OPT2196" s="10"/>
      <c r="OPU2196" s="10"/>
      <c r="OPV2196" s="10"/>
      <c r="OPW2196" s="10"/>
      <c r="OPX2196" s="10"/>
      <c r="OPY2196" s="10"/>
      <c r="OPZ2196" s="10"/>
      <c r="OQA2196" s="10"/>
      <c r="OQB2196" s="10"/>
      <c r="OQC2196" s="10"/>
      <c r="OQD2196" s="10"/>
      <c r="OQE2196" s="10"/>
      <c r="OQF2196" s="10"/>
      <c r="OQG2196" s="10"/>
      <c r="OQH2196" s="10"/>
      <c r="OQI2196" s="10"/>
      <c r="OQJ2196" s="10"/>
      <c r="OQK2196" s="10"/>
      <c r="OQL2196" s="10"/>
      <c r="OQM2196" s="10"/>
      <c r="OQN2196" s="10"/>
      <c r="OQO2196" s="10"/>
      <c r="OQP2196" s="10"/>
      <c r="OQQ2196" s="10"/>
      <c r="OQR2196" s="10"/>
      <c r="OQS2196" s="10"/>
      <c r="OQT2196" s="10"/>
      <c r="OQU2196" s="10"/>
      <c r="OQV2196" s="10"/>
      <c r="OQW2196" s="10"/>
      <c r="OQX2196" s="10"/>
      <c r="OQY2196" s="10"/>
      <c r="OQZ2196" s="10"/>
      <c r="ORA2196" s="10"/>
      <c r="ORB2196" s="10"/>
      <c r="ORC2196" s="10"/>
      <c r="ORD2196" s="10"/>
      <c r="ORE2196" s="10"/>
      <c r="ORF2196" s="10"/>
      <c r="ORG2196" s="10"/>
      <c r="ORH2196" s="10"/>
      <c r="ORI2196" s="10"/>
      <c r="ORJ2196" s="10"/>
      <c r="ORK2196" s="10"/>
      <c r="ORL2196" s="10"/>
      <c r="ORM2196" s="10"/>
      <c r="ORN2196" s="10"/>
      <c r="ORO2196" s="10"/>
      <c r="ORP2196" s="10"/>
      <c r="ORQ2196" s="10"/>
      <c r="ORR2196" s="10"/>
      <c r="ORS2196" s="10"/>
      <c r="ORT2196" s="10"/>
      <c r="ORU2196" s="10"/>
      <c r="ORV2196" s="10"/>
      <c r="ORW2196" s="10"/>
      <c r="ORX2196" s="10"/>
      <c r="ORY2196" s="10"/>
      <c r="ORZ2196" s="10"/>
      <c r="OSA2196" s="10"/>
      <c r="OSB2196" s="10"/>
      <c r="OSC2196" s="10"/>
      <c r="OSD2196" s="10"/>
      <c r="OSE2196" s="10"/>
      <c r="OSF2196" s="10"/>
      <c r="OSG2196" s="10"/>
      <c r="OSH2196" s="10"/>
      <c r="OSI2196" s="10"/>
      <c r="OSJ2196" s="10"/>
      <c r="OSK2196" s="10"/>
      <c r="OSL2196" s="10"/>
      <c r="OSM2196" s="10"/>
      <c r="OSN2196" s="10"/>
      <c r="OSO2196" s="10"/>
      <c r="OSP2196" s="10"/>
      <c r="OSQ2196" s="10"/>
      <c r="OSR2196" s="10"/>
      <c r="OSS2196" s="10"/>
      <c r="OST2196" s="10"/>
      <c r="OSU2196" s="10"/>
      <c r="OSV2196" s="10"/>
      <c r="OSW2196" s="10"/>
      <c r="OSX2196" s="10"/>
      <c r="OSY2196" s="10"/>
      <c r="OSZ2196" s="10"/>
      <c r="OTA2196" s="10"/>
      <c r="OTB2196" s="10"/>
      <c r="OTC2196" s="10"/>
      <c r="OTD2196" s="10"/>
      <c r="OTE2196" s="10"/>
      <c r="OTF2196" s="10"/>
      <c r="OTG2196" s="10"/>
      <c r="OTH2196" s="10"/>
      <c r="OTI2196" s="10"/>
      <c r="OTJ2196" s="10"/>
      <c r="OTK2196" s="10"/>
      <c r="OTL2196" s="10"/>
      <c r="OTM2196" s="10"/>
      <c r="OTN2196" s="10"/>
      <c r="OTO2196" s="10"/>
      <c r="OTP2196" s="10"/>
      <c r="OTQ2196" s="10"/>
      <c r="OTR2196" s="10"/>
      <c r="OTS2196" s="10"/>
      <c r="OTT2196" s="10"/>
      <c r="OTU2196" s="10"/>
      <c r="OTV2196" s="10"/>
      <c r="OTW2196" s="10"/>
      <c r="OTX2196" s="10"/>
      <c r="OTY2196" s="10"/>
      <c r="OTZ2196" s="10"/>
      <c r="OUA2196" s="10"/>
      <c r="OUB2196" s="10"/>
      <c r="OUC2196" s="10"/>
      <c r="OUD2196" s="10"/>
      <c r="OUE2196" s="10"/>
      <c r="OUF2196" s="10"/>
      <c r="OUG2196" s="10"/>
      <c r="OUH2196" s="10"/>
      <c r="OUI2196" s="10"/>
      <c r="OUJ2196" s="10"/>
      <c r="OUK2196" s="10"/>
      <c r="OUL2196" s="10"/>
      <c r="OUM2196" s="10"/>
      <c r="OUN2196" s="10"/>
      <c r="OUO2196" s="10"/>
      <c r="OUP2196" s="10"/>
      <c r="OUQ2196" s="10"/>
      <c r="OUR2196" s="10"/>
      <c r="OUS2196" s="10"/>
      <c r="OUT2196" s="10"/>
      <c r="OUU2196" s="10"/>
      <c r="OUV2196" s="10"/>
      <c r="OUW2196" s="10"/>
      <c r="OUX2196" s="10"/>
      <c r="OUY2196" s="10"/>
      <c r="OUZ2196" s="10"/>
      <c r="OVA2196" s="10"/>
      <c r="OVB2196" s="10"/>
      <c r="OVC2196" s="10"/>
      <c r="OVD2196" s="10"/>
      <c r="OVE2196" s="10"/>
      <c r="OVF2196" s="10"/>
      <c r="OVG2196" s="10"/>
      <c r="OVH2196" s="10"/>
      <c r="OVI2196" s="10"/>
      <c r="OVJ2196" s="10"/>
      <c r="OVK2196" s="10"/>
      <c r="OVL2196" s="10"/>
      <c r="OVM2196" s="10"/>
      <c r="OVN2196" s="10"/>
      <c r="OVO2196" s="10"/>
      <c r="OVP2196" s="10"/>
      <c r="OVQ2196" s="10"/>
      <c r="OVR2196" s="10"/>
      <c r="OVS2196" s="10"/>
      <c r="OVT2196" s="10"/>
      <c r="OVU2196" s="10"/>
      <c r="OVV2196" s="10"/>
      <c r="OVW2196" s="10"/>
      <c r="OVX2196" s="10"/>
      <c r="OVY2196" s="10"/>
      <c r="OVZ2196" s="10"/>
      <c r="OWA2196" s="10"/>
      <c r="OWB2196" s="10"/>
      <c r="OWC2196" s="10"/>
      <c r="OWD2196" s="10"/>
      <c r="OWE2196" s="10"/>
      <c r="OWF2196" s="10"/>
      <c r="OWG2196" s="10"/>
      <c r="OWH2196" s="10"/>
      <c r="OWI2196" s="10"/>
      <c r="OWJ2196" s="10"/>
      <c r="OWK2196" s="10"/>
      <c r="OWL2196" s="10"/>
      <c r="OWM2196" s="10"/>
      <c r="OWN2196" s="10"/>
      <c r="OWO2196" s="10"/>
      <c r="OWP2196" s="10"/>
      <c r="OWQ2196" s="10"/>
      <c r="OWR2196" s="10"/>
      <c r="OWS2196" s="10"/>
      <c r="OWT2196" s="10"/>
      <c r="OWU2196" s="10"/>
      <c r="OWV2196" s="10"/>
      <c r="OWW2196" s="10"/>
      <c r="OWX2196" s="10"/>
      <c r="OWY2196" s="10"/>
      <c r="OWZ2196" s="10"/>
      <c r="OXA2196" s="10"/>
      <c r="OXB2196" s="10"/>
      <c r="OXC2196" s="10"/>
      <c r="OXD2196" s="10"/>
      <c r="OXE2196" s="10"/>
      <c r="OXF2196" s="10"/>
      <c r="OXG2196" s="10"/>
      <c r="OXH2196" s="10"/>
      <c r="OXI2196" s="10"/>
      <c r="OXJ2196" s="10"/>
      <c r="OXK2196" s="10"/>
      <c r="OXL2196" s="10"/>
      <c r="OXM2196" s="10"/>
      <c r="OXN2196" s="10"/>
      <c r="OXO2196" s="10"/>
      <c r="OXP2196" s="10"/>
      <c r="OXQ2196" s="10"/>
      <c r="OXR2196" s="10"/>
      <c r="OXS2196" s="10"/>
      <c r="OXT2196" s="10"/>
      <c r="OXU2196" s="10"/>
      <c r="OXV2196" s="10"/>
      <c r="OXW2196" s="10"/>
      <c r="OXX2196" s="10"/>
      <c r="OXY2196" s="10"/>
      <c r="OXZ2196" s="10"/>
      <c r="OYA2196" s="10"/>
      <c r="OYB2196" s="10"/>
      <c r="OYC2196" s="10"/>
      <c r="OYD2196" s="10"/>
      <c r="OYE2196" s="10"/>
      <c r="OYF2196" s="10"/>
      <c r="OYG2196" s="10"/>
      <c r="OYH2196" s="10"/>
      <c r="OYI2196" s="10"/>
      <c r="OYJ2196" s="10"/>
      <c r="OYK2196" s="10"/>
      <c r="OYL2196" s="10"/>
      <c r="OYM2196" s="10"/>
      <c r="OYN2196" s="10"/>
      <c r="OYO2196" s="10"/>
      <c r="OYP2196" s="10"/>
      <c r="OYQ2196" s="10"/>
      <c r="OYR2196" s="10"/>
      <c r="OYS2196" s="10"/>
      <c r="OYT2196" s="10"/>
      <c r="OYU2196" s="10"/>
      <c r="OYV2196" s="10"/>
      <c r="OYW2196" s="10"/>
      <c r="OYX2196" s="10"/>
      <c r="OYY2196" s="10"/>
      <c r="OYZ2196" s="10"/>
      <c r="OZA2196" s="10"/>
      <c r="OZB2196" s="10"/>
      <c r="OZC2196" s="10"/>
      <c r="OZD2196" s="10"/>
      <c r="OZE2196" s="10"/>
      <c r="OZF2196" s="10"/>
      <c r="OZG2196" s="10"/>
      <c r="OZH2196" s="10"/>
      <c r="OZI2196" s="10"/>
      <c r="OZJ2196" s="10"/>
      <c r="OZK2196" s="10"/>
      <c r="OZL2196" s="10"/>
      <c r="OZM2196" s="10"/>
      <c r="OZN2196" s="10"/>
      <c r="OZO2196" s="10"/>
      <c r="OZP2196" s="10"/>
      <c r="OZQ2196" s="10"/>
      <c r="OZR2196" s="10"/>
      <c r="OZS2196" s="10"/>
      <c r="OZT2196" s="10"/>
      <c r="OZU2196" s="10"/>
      <c r="OZV2196" s="10"/>
      <c r="OZW2196" s="10"/>
      <c r="OZX2196" s="10"/>
      <c r="OZY2196" s="10"/>
      <c r="OZZ2196" s="10"/>
      <c r="PAA2196" s="10"/>
      <c r="PAB2196" s="10"/>
      <c r="PAC2196" s="10"/>
      <c r="PAD2196" s="10"/>
      <c r="PAE2196" s="10"/>
      <c r="PAF2196" s="10"/>
      <c r="PAG2196" s="10"/>
      <c r="PAH2196" s="10"/>
      <c r="PAI2196" s="10"/>
      <c r="PAJ2196" s="10"/>
      <c r="PAK2196" s="10"/>
      <c r="PAL2196" s="10"/>
      <c r="PAM2196" s="10"/>
      <c r="PAN2196" s="10"/>
      <c r="PAO2196" s="10"/>
      <c r="PAP2196" s="10"/>
      <c r="PAQ2196" s="10"/>
      <c r="PAR2196" s="10"/>
      <c r="PAS2196" s="10"/>
      <c r="PAT2196" s="10"/>
      <c r="PAU2196" s="10"/>
      <c r="PAV2196" s="10"/>
      <c r="PAW2196" s="10"/>
      <c r="PAX2196" s="10"/>
      <c r="PAY2196" s="10"/>
      <c r="PAZ2196" s="10"/>
      <c r="PBA2196" s="10"/>
      <c r="PBB2196" s="10"/>
      <c r="PBC2196" s="10"/>
      <c r="PBD2196" s="10"/>
      <c r="PBE2196" s="10"/>
      <c r="PBF2196" s="10"/>
      <c r="PBG2196" s="10"/>
      <c r="PBH2196" s="10"/>
      <c r="PBI2196" s="10"/>
      <c r="PBJ2196" s="10"/>
      <c r="PBK2196" s="10"/>
      <c r="PBL2196" s="10"/>
      <c r="PBM2196" s="10"/>
      <c r="PBN2196" s="10"/>
      <c r="PBO2196" s="10"/>
      <c r="PBP2196" s="10"/>
      <c r="PBQ2196" s="10"/>
      <c r="PBR2196" s="10"/>
      <c r="PBS2196" s="10"/>
      <c r="PBT2196" s="10"/>
      <c r="PBU2196" s="10"/>
      <c r="PBV2196" s="10"/>
      <c r="PBW2196" s="10"/>
      <c r="PBX2196" s="10"/>
      <c r="PBY2196" s="10"/>
      <c r="PBZ2196" s="10"/>
      <c r="PCA2196" s="10"/>
      <c r="PCB2196" s="10"/>
      <c r="PCC2196" s="10"/>
      <c r="PCD2196" s="10"/>
      <c r="PCE2196" s="10"/>
      <c r="PCF2196" s="10"/>
      <c r="PCG2196" s="10"/>
      <c r="PCH2196" s="10"/>
      <c r="PCI2196" s="10"/>
      <c r="PCJ2196" s="10"/>
      <c r="PCK2196" s="10"/>
      <c r="PCL2196" s="10"/>
      <c r="PCM2196" s="10"/>
      <c r="PCN2196" s="10"/>
      <c r="PCO2196" s="10"/>
      <c r="PCP2196" s="10"/>
      <c r="PCQ2196" s="10"/>
      <c r="PCR2196" s="10"/>
      <c r="PCS2196" s="10"/>
      <c r="PCT2196" s="10"/>
      <c r="PCU2196" s="10"/>
      <c r="PCV2196" s="10"/>
      <c r="PCW2196" s="10"/>
      <c r="PCX2196" s="10"/>
      <c r="PCY2196" s="10"/>
      <c r="PCZ2196" s="10"/>
      <c r="PDA2196" s="10"/>
      <c r="PDB2196" s="10"/>
      <c r="PDC2196" s="10"/>
      <c r="PDD2196" s="10"/>
      <c r="PDE2196" s="10"/>
      <c r="PDF2196" s="10"/>
      <c r="PDG2196" s="10"/>
      <c r="PDH2196" s="10"/>
      <c r="PDI2196" s="10"/>
      <c r="PDJ2196" s="10"/>
      <c r="PDK2196" s="10"/>
      <c r="PDL2196" s="10"/>
      <c r="PDM2196" s="10"/>
      <c r="PDN2196" s="10"/>
      <c r="PDO2196" s="10"/>
      <c r="PDP2196" s="10"/>
      <c r="PDQ2196" s="10"/>
      <c r="PDR2196" s="10"/>
      <c r="PDS2196" s="10"/>
      <c r="PDT2196" s="10"/>
      <c r="PDU2196" s="10"/>
      <c r="PDV2196" s="10"/>
      <c r="PDW2196" s="10"/>
      <c r="PDX2196" s="10"/>
      <c r="PDY2196" s="10"/>
      <c r="PDZ2196" s="10"/>
      <c r="PEA2196" s="10"/>
      <c r="PEB2196" s="10"/>
      <c r="PEC2196" s="10"/>
      <c r="PED2196" s="10"/>
      <c r="PEE2196" s="10"/>
      <c r="PEF2196" s="10"/>
      <c r="PEG2196" s="10"/>
      <c r="PEH2196" s="10"/>
      <c r="PEI2196" s="10"/>
      <c r="PEJ2196" s="10"/>
      <c r="PEK2196" s="10"/>
      <c r="PEL2196" s="10"/>
      <c r="PEM2196" s="10"/>
      <c r="PEN2196" s="10"/>
      <c r="PEO2196" s="10"/>
      <c r="PEP2196" s="10"/>
      <c r="PEQ2196" s="10"/>
      <c r="PER2196" s="10"/>
      <c r="PES2196" s="10"/>
      <c r="PET2196" s="10"/>
      <c r="PEU2196" s="10"/>
      <c r="PEV2196" s="10"/>
      <c r="PEW2196" s="10"/>
      <c r="PEX2196" s="10"/>
      <c r="PEY2196" s="10"/>
      <c r="PEZ2196" s="10"/>
      <c r="PFA2196" s="10"/>
      <c r="PFB2196" s="10"/>
      <c r="PFC2196" s="10"/>
      <c r="PFD2196" s="10"/>
      <c r="PFE2196" s="10"/>
      <c r="PFF2196" s="10"/>
      <c r="PFG2196" s="10"/>
      <c r="PFH2196" s="10"/>
      <c r="PFI2196" s="10"/>
      <c r="PFJ2196" s="10"/>
      <c r="PFK2196" s="10"/>
      <c r="PFL2196" s="10"/>
      <c r="PFM2196" s="10"/>
      <c r="PFN2196" s="10"/>
      <c r="PFO2196" s="10"/>
      <c r="PFP2196" s="10"/>
      <c r="PFQ2196" s="10"/>
      <c r="PFR2196" s="10"/>
      <c r="PFS2196" s="10"/>
      <c r="PFT2196" s="10"/>
      <c r="PFU2196" s="10"/>
      <c r="PFV2196" s="10"/>
      <c r="PFW2196" s="10"/>
      <c r="PFX2196" s="10"/>
      <c r="PFY2196" s="10"/>
      <c r="PFZ2196" s="10"/>
      <c r="PGA2196" s="10"/>
      <c r="PGB2196" s="10"/>
      <c r="PGC2196" s="10"/>
      <c r="PGD2196" s="10"/>
      <c r="PGE2196" s="10"/>
      <c r="PGF2196" s="10"/>
      <c r="PGG2196" s="10"/>
      <c r="PGH2196" s="10"/>
      <c r="PGI2196" s="10"/>
      <c r="PGJ2196" s="10"/>
      <c r="PGK2196" s="10"/>
      <c r="PGL2196" s="10"/>
      <c r="PGM2196" s="10"/>
      <c r="PGN2196" s="10"/>
      <c r="PGO2196" s="10"/>
      <c r="PGP2196" s="10"/>
      <c r="PGQ2196" s="10"/>
      <c r="PGR2196" s="10"/>
      <c r="PGS2196" s="10"/>
      <c r="PGT2196" s="10"/>
      <c r="PGU2196" s="10"/>
      <c r="PGV2196" s="10"/>
      <c r="PGW2196" s="10"/>
      <c r="PGX2196" s="10"/>
      <c r="PGY2196" s="10"/>
      <c r="PGZ2196" s="10"/>
      <c r="PHA2196" s="10"/>
      <c r="PHB2196" s="10"/>
      <c r="PHC2196" s="10"/>
      <c r="PHD2196" s="10"/>
      <c r="PHE2196" s="10"/>
      <c r="PHF2196" s="10"/>
      <c r="PHG2196" s="10"/>
      <c r="PHH2196" s="10"/>
      <c r="PHI2196" s="10"/>
      <c r="PHJ2196" s="10"/>
      <c r="PHK2196" s="10"/>
      <c r="PHL2196" s="10"/>
      <c r="PHM2196" s="10"/>
      <c r="PHN2196" s="10"/>
      <c r="PHO2196" s="10"/>
      <c r="PHP2196" s="10"/>
      <c r="PHQ2196" s="10"/>
      <c r="PHR2196" s="10"/>
      <c r="PHS2196" s="10"/>
      <c r="PHT2196" s="10"/>
      <c r="PHU2196" s="10"/>
      <c r="PHV2196" s="10"/>
      <c r="PHW2196" s="10"/>
      <c r="PHX2196" s="10"/>
      <c r="PHY2196" s="10"/>
      <c r="PHZ2196" s="10"/>
      <c r="PIA2196" s="10"/>
      <c r="PIB2196" s="10"/>
      <c r="PIC2196" s="10"/>
      <c r="PID2196" s="10"/>
      <c r="PIE2196" s="10"/>
      <c r="PIF2196" s="10"/>
      <c r="PIG2196" s="10"/>
      <c r="PIH2196" s="10"/>
      <c r="PII2196" s="10"/>
      <c r="PIJ2196" s="10"/>
      <c r="PIK2196" s="10"/>
      <c r="PIL2196" s="10"/>
      <c r="PIM2196" s="10"/>
      <c r="PIN2196" s="10"/>
      <c r="PIO2196" s="10"/>
      <c r="PIP2196" s="10"/>
      <c r="PIQ2196" s="10"/>
      <c r="PIR2196" s="10"/>
      <c r="PIS2196" s="10"/>
      <c r="PIT2196" s="10"/>
      <c r="PIU2196" s="10"/>
      <c r="PIV2196" s="10"/>
      <c r="PIW2196" s="10"/>
      <c r="PIX2196" s="10"/>
      <c r="PIY2196" s="10"/>
      <c r="PIZ2196" s="10"/>
      <c r="PJA2196" s="10"/>
      <c r="PJB2196" s="10"/>
      <c r="PJC2196" s="10"/>
      <c r="PJD2196" s="10"/>
      <c r="PJE2196" s="10"/>
      <c r="PJF2196" s="10"/>
      <c r="PJG2196" s="10"/>
      <c r="PJH2196" s="10"/>
      <c r="PJI2196" s="10"/>
      <c r="PJJ2196" s="10"/>
      <c r="PJK2196" s="10"/>
      <c r="PJL2196" s="10"/>
      <c r="PJM2196" s="10"/>
      <c r="PJN2196" s="10"/>
      <c r="PJO2196" s="10"/>
      <c r="PJP2196" s="10"/>
      <c r="PJQ2196" s="10"/>
      <c r="PJR2196" s="10"/>
      <c r="PJS2196" s="10"/>
      <c r="PJT2196" s="10"/>
      <c r="PJU2196" s="10"/>
      <c r="PJV2196" s="10"/>
      <c r="PJW2196" s="10"/>
      <c r="PJX2196" s="10"/>
      <c r="PJY2196" s="10"/>
      <c r="PJZ2196" s="10"/>
      <c r="PKA2196" s="10"/>
      <c r="PKB2196" s="10"/>
      <c r="PKC2196" s="10"/>
      <c r="PKD2196" s="10"/>
      <c r="PKE2196" s="10"/>
      <c r="PKF2196" s="10"/>
      <c r="PKG2196" s="10"/>
      <c r="PKH2196" s="10"/>
      <c r="PKI2196" s="10"/>
      <c r="PKJ2196" s="10"/>
      <c r="PKK2196" s="10"/>
      <c r="PKL2196" s="10"/>
      <c r="PKM2196" s="10"/>
      <c r="PKN2196" s="10"/>
      <c r="PKO2196" s="10"/>
      <c r="PKP2196" s="10"/>
      <c r="PKQ2196" s="10"/>
      <c r="PKR2196" s="10"/>
      <c r="PKS2196" s="10"/>
      <c r="PKT2196" s="10"/>
      <c r="PKU2196" s="10"/>
      <c r="PKV2196" s="10"/>
      <c r="PKW2196" s="10"/>
      <c r="PKX2196" s="10"/>
      <c r="PKY2196" s="10"/>
      <c r="PKZ2196" s="10"/>
      <c r="PLA2196" s="10"/>
      <c r="PLB2196" s="10"/>
      <c r="PLC2196" s="10"/>
      <c r="PLD2196" s="10"/>
      <c r="PLE2196" s="10"/>
      <c r="PLF2196" s="10"/>
      <c r="PLG2196" s="10"/>
      <c r="PLH2196" s="10"/>
      <c r="PLI2196" s="10"/>
      <c r="PLJ2196" s="10"/>
      <c r="PLK2196" s="10"/>
      <c r="PLL2196" s="10"/>
      <c r="PLM2196" s="10"/>
      <c r="PLN2196" s="10"/>
      <c r="PLO2196" s="10"/>
      <c r="PLP2196" s="10"/>
      <c r="PLQ2196" s="10"/>
      <c r="PLR2196" s="10"/>
      <c r="PLS2196" s="10"/>
      <c r="PLT2196" s="10"/>
      <c r="PLU2196" s="10"/>
      <c r="PLV2196" s="10"/>
      <c r="PLW2196" s="10"/>
      <c r="PLX2196" s="10"/>
      <c r="PLY2196" s="10"/>
      <c r="PLZ2196" s="10"/>
      <c r="PMA2196" s="10"/>
      <c r="PMB2196" s="10"/>
      <c r="PMC2196" s="10"/>
      <c r="PMD2196" s="10"/>
      <c r="PME2196" s="10"/>
      <c r="PMF2196" s="10"/>
      <c r="PMG2196" s="10"/>
      <c r="PMH2196" s="10"/>
      <c r="PMI2196" s="10"/>
      <c r="PMJ2196" s="10"/>
      <c r="PMK2196" s="10"/>
      <c r="PML2196" s="10"/>
      <c r="PMM2196" s="10"/>
      <c r="PMN2196" s="10"/>
      <c r="PMO2196" s="10"/>
      <c r="PMP2196" s="10"/>
      <c r="PMQ2196" s="10"/>
      <c r="PMR2196" s="10"/>
      <c r="PMS2196" s="10"/>
      <c r="PMT2196" s="10"/>
      <c r="PMU2196" s="10"/>
      <c r="PMV2196" s="10"/>
      <c r="PMW2196" s="10"/>
      <c r="PMX2196" s="10"/>
      <c r="PMY2196" s="10"/>
      <c r="PMZ2196" s="10"/>
      <c r="PNA2196" s="10"/>
      <c r="PNB2196" s="10"/>
      <c r="PNC2196" s="10"/>
      <c r="PND2196" s="10"/>
      <c r="PNE2196" s="10"/>
      <c r="PNF2196" s="10"/>
      <c r="PNG2196" s="10"/>
      <c r="PNH2196" s="10"/>
      <c r="PNI2196" s="10"/>
      <c r="PNJ2196" s="10"/>
      <c r="PNK2196" s="10"/>
      <c r="PNL2196" s="10"/>
      <c r="PNM2196" s="10"/>
      <c r="PNN2196" s="10"/>
      <c r="PNO2196" s="10"/>
      <c r="PNP2196" s="10"/>
      <c r="PNQ2196" s="10"/>
      <c r="PNR2196" s="10"/>
      <c r="PNS2196" s="10"/>
      <c r="PNT2196" s="10"/>
      <c r="PNU2196" s="10"/>
      <c r="PNV2196" s="10"/>
      <c r="PNW2196" s="10"/>
      <c r="PNX2196" s="10"/>
      <c r="PNY2196" s="10"/>
      <c r="PNZ2196" s="10"/>
      <c r="POA2196" s="10"/>
      <c r="POB2196" s="10"/>
      <c r="POC2196" s="10"/>
      <c r="POD2196" s="10"/>
      <c r="POE2196" s="10"/>
      <c r="POF2196" s="10"/>
      <c r="POG2196" s="10"/>
      <c r="POH2196" s="10"/>
      <c r="POI2196" s="10"/>
      <c r="POJ2196" s="10"/>
      <c r="POK2196" s="10"/>
      <c r="POL2196" s="10"/>
      <c r="POM2196" s="10"/>
      <c r="PON2196" s="10"/>
      <c r="POO2196" s="10"/>
      <c r="POP2196" s="10"/>
      <c r="POQ2196" s="10"/>
      <c r="POR2196" s="10"/>
      <c r="POS2196" s="10"/>
      <c r="POT2196" s="10"/>
      <c r="POU2196" s="10"/>
      <c r="POV2196" s="10"/>
      <c r="POW2196" s="10"/>
      <c r="POX2196" s="10"/>
      <c r="POY2196" s="10"/>
      <c r="POZ2196" s="10"/>
      <c r="PPA2196" s="10"/>
      <c r="PPB2196" s="10"/>
      <c r="PPC2196" s="10"/>
      <c r="PPD2196" s="10"/>
      <c r="PPE2196" s="10"/>
      <c r="PPF2196" s="10"/>
      <c r="PPG2196" s="10"/>
      <c r="PPH2196" s="10"/>
      <c r="PPI2196" s="10"/>
      <c r="PPJ2196" s="10"/>
      <c r="PPK2196" s="10"/>
      <c r="PPL2196" s="10"/>
      <c r="PPM2196" s="10"/>
      <c r="PPN2196" s="10"/>
      <c r="PPO2196" s="10"/>
      <c r="PPP2196" s="10"/>
      <c r="PPQ2196" s="10"/>
      <c r="PPR2196" s="10"/>
      <c r="PPS2196" s="10"/>
      <c r="PPT2196" s="10"/>
      <c r="PPU2196" s="10"/>
      <c r="PPV2196" s="10"/>
      <c r="PPW2196" s="10"/>
      <c r="PPX2196" s="10"/>
      <c r="PPY2196" s="10"/>
      <c r="PPZ2196" s="10"/>
      <c r="PQA2196" s="10"/>
      <c r="PQB2196" s="10"/>
      <c r="PQC2196" s="10"/>
      <c r="PQD2196" s="10"/>
      <c r="PQE2196" s="10"/>
      <c r="PQF2196" s="10"/>
      <c r="PQG2196" s="10"/>
      <c r="PQH2196" s="10"/>
      <c r="PQI2196" s="10"/>
      <c r="PQJ2196" s="10"/>
      <c r="PQK2196" s="10"/>
      <c r="PQL2196" s="10"/>
      <c r="PQM2196" s="10"/>
      <c r="PQN2196" s="10"/>
      <c r="PQO2196" s="10"/>
      <c r="PQP2196" s="10"/>
      <c r="PQQ2196" s="10"/>
      <c r="PQR2196" s="10"/>
      <c r="PQS2196" s="10"/>
      <c r="PQT2196" s="10"/>
      <c r="PQU2196" s="10"/>
      <c r="PQV2196" s="10"/>
      <c r="PQW2196" s="10"/>
      <c r="PQX2196" s="10"/>
      <c r="PQY2196" s="10"/>
      <c r="PQZ2196" s="10"/>
      <c r="PRA2196" s="10"/>
      <c r="PRB2196" s="10"/>
      <c r="PRC2196" s="10"/>
      <c r="PRD2196" s="10"/>
      <c r="PRE2196" s="10"/>
      <c r="PRF2196" s="10"/>
      <c r="PRG2196" s="10"/>
      <c r="PRH2196" s="10"/>
      <c r="PRI2196" s="10"/>
      <c r="PRJ2196" s="10"/>
      <c r="PRK2196" s="10"/>
      <c r="PRL2196" s="10"/>
      <c r="PRM2196" s="10"/>
      <c r="PRN2196" s="10"/>
      <c r="PRO2196" s="10"/>
      <c r="PRP2196" s="10"/>
      <c r="PRQ2196" s="10"/>
      <c r="PRR2196" s="10"/>
      <c r="PRS2196" s="10"/>
      <c r="PRT2196" s="10"/>
      <c r="PRU2196" s="10"/>
      <c r="PRV2196" s="10"/>
      <c r="PRW2196" s="10"/>
      <c r="PRX2196" s="10"/>
      <c r="PRY2196" s="10"/>
      <c r="PRZ2196" s="10"/>
      <c r="PSA2196" s="10"/>
      <c r="PSB2196" s="10"/>
      <c r="PSC2196" s="10"/>
      <c r="PSD2196" s="10"/>
      <c r="PSE2196" s="10"/>
      <c r="PSF2196" s="10"/>
      <c r="PSG2196" s="10"/>
      <c r="PSH2196" s="10"/>
      <c r="PSI2196" s="10"/>
      <c r="PSJ2196" s="10"/>
      <c r="PSK2196" s="10"/>
      <c r="PSL2196" s="10"/>
      <c r="PSM2196" s="10"/>
      <c r="PSN2196" s="10"/>
      <c r="PSO2196" s="10"/>
      <c r="PSP2196" s="10"/>
      <c r="PSQ2196" s="10"/>
      <c r="PSR2196" s="10"/>
      <c r="PSS2196" s="10"/>
      <c r="PST2196" s="10"/>
      <c r="PSU2196" s="10"/>
      <c r="PSV2196" s="10"/>
      <c r="PSW2196" s="10"/>
      <c r="PSX2196" s="10"/>
      <c r="PSY2196" s="10"/>
      <c r="PSZ2196" s="10"/>
      <c r="PTA2196" s="10"/>
      <c r="PTB2196" s="10"/>
      <c r="PTC2196" s="10"/>
      <c r="PTD2196" s="10"/>
      <c r="PTE2196" s="10"/>
      <c r="PTF2196" s="10"/>
      <c r="PTG2196" s="10"/>
      <c r="PTH2196" s="10"/>
      <c r="PTI2196" s="10"/>
      <c r="PTJ2196" s="10"/>
      <c r="PTK2196" s="10"/>
      <c r="PTL2196" s="10"/>
      <c r="PTM2196" s="10"/>
      <c r="PTN2196" s="10"/>
      <c r="PTO2196" s="10"/>
      <c r="PTP2196" s="10"/>
      <c r="PTQ2196" s="10"/>
      <c r="PTR2196" s="10"/>
      <c r="PTS2196" s="10"/>
      <c r="PTT2196" s="10"/>
      <c r="PTU2196" s="10"/>
      <c r="PTV2196" s="10"/>
      <c r="PTW2196" s="10"/>
      <c r="PTX2196" s="10"/>
      <c r="PTY2196" s="10"/>
      <c r="PTZ2196" s="10"/>
      <c r="PUA2196" s="10"/>
      <c r="PUB2196" s="10"/>
      <c r="PUC2196" s="10"/>
      <c r="PUD2196" s="10"/>
      <c r="PUE2196" s="10"/>
      <c r="PUF2196" s="10"/>
      <c r="PUG2196" s="10"/>
      <c r="PUH2196" s="10"/>
      <c r="PUI2196" s="10"/>
      <c r="PUJ2196" s="10"/>
      <c r="PUK2196" s="10"/>
      <c r="PUL2196" s="10"/>
      <c r="PUM2196" s="10"/>
      <c r="PUN2196" s="10"/>
      <c r="PUO2196" s="10"/>
      <c r="PUP2196" s="10"/>
      <c r="PUQ2196" s="10"/>
      <c r="PUR2196" s="10"/>
      <c r="PUS2196" s="10"/>
      <c r="PUT2196" s="10"/>
      <c r="PUU2196" s="10"/>
      <c r="PUV2196" s="10"/>
      <c r="PUW2196" s="10"/>
      <c r="PUX2196" s="10"/>
      <c r="PUY2196" s="10"/>
      <c r="PUZ2196" s="10"/>
      <c r="PVA2196" s="10"/>
      <c r="PVB2196" s="10"/>
      <c r="PVC2196" s="10"/>
      <c r="PVD2196" s="10"/>
      <c r="PVE2196" s="10"/>
      <c r="PVF2196" s="10"/>
      <c r="PVG2196" s="10"/>
      <c r="PVH2196" s="10"/>
      <c r="PVI2196" s="10"/>
      <c r="PVJ2196" s="10"/>
      <c r="PVK2196" s="10"/>
      <c r="PVL2196" s="10"/>
      <c r="PVM2196" s="10"/>
      <c r="PVN2196" s="10"/>
      <c r="PVO2196" s="10"/>
      <c r="PVP2196" s="10"/>
      <c r="PVQ2196" s="10"/>
      <c r="PVR2196" s="10"/>
      <c r="PVS2196" s="10"/>
      <c r="PVT2196" s="10"/>
      <c r="PVU2196" s="10"/>
      <c r="PVV2196" s="10"/>
      <c r="PVW2196" s="10"/>
      <c r="PVX2196" s="10"/>
      <c r="PVY2196" s="10"/>
      <c r="PVZ2196" s="10"/>
      <c r="PWA2196" s="10"/>
      <c r="PWB2196" s="10"/>
      <c r="PWC2196" s="10"/>
      <c r="PWD2196" s="10"/>
      <c r="PWE2196" s="10"/>
      <c r="PWF2196" s="10"/>
      <c r="PWG2196" s="10"/>
      <c r="PWH2196" s="10"/>
      <c r="PWI2196" s="10"/>
      <c r="PWJ2196" s="10"/>
      <c r="PWK2196" s="10"/>
      <c r="PWL2196" s="10"/>
      <c r="PWM2196" s="10"/>
      <c r="PWN2196" s="10"/>
      <c r="PWO2196" s="10"/>
      <c r="PWP2196" s="10"/>
      <c r="PWQ2196" s="10"/>
      <c r="PWR2196" s="10"/>
      <c r="PWS2196" s="10"/>
      <c r="PWT2196" s="10"/>
      <c r="PWU2196" s="10"/>
      <c r="PWV2196" s="10"/>
      <c r="PWW2196" s="10"/>
      <c r="PWX2196" s="10"/>
      <c r="PWY2196" s="10"/>
      <c r="PWZ2196" s="10"/>
      <c r="PXA2196" s="10"/>
      <c r="PXB2196" s="10"/>
      <c r="PXC2196" s="10"/>
      <c r="PXD2196" s="10"/>
      <c r="PXE2196" s="10"/>
      <c r="PXF2196" s="10"/>
      <c r="PXG2196" s="10"/>
      <c r="PXH2196" s="10"/>
      <c r="PXI2196" s="10"/>
      <c r="PXJ2196" s="10"/>
      <c r="PXK2196" s="10"/>
      <c r="PXL2196" s="10"/>
      <c r="PXM2196" s="10"/>
      <c r="PXN2196" s="10"/>
      <c r="PXO2196" s="10"/>
      <c r="PXP2196" s="10"/>
      <c r="PXQ2196" s="10"/>
      <c r="PXR2196" s="10"/>
      <c r="PXS2196" s="10"/>
      <c r="PXT2196" s="10"/>
      <c r="PXU2196" s="10"/>
      <c r="PXV2196" s="10"/>
      <c r="PXW2196" s="10"/>
      <c r="PXX2196" s="10"/>
      <c r="PXY2196" s="10"/>
      <c r="PXZ2196" s="10"/>
      <c r="PYA2196" s="10"/>
      <c r="PYB2196" s="10"/>
      <c r="PYC2196" s="10"/>
      <c r="PYD2196" s="10"/>
      <c r="PYE2196" s="10"/>
      <c r="PYF2196" s="10"/>
      <c r="PYG2196" s="10"/>
      <c r="PYH2196" s="10"/>
      <c r="PYI2196" s="10"/>
      <c r="PYJ2196" s="10"/>
      <c r="PYK2196" s="10"/>
      <c r="PYL2196" s="10"/>
      <c r="PYM2196" s="10"/>
      <c r="PYN2196" s="10"/>
      <c r="PYO2196" s="10"/>
      <c r="PYP2196" s="10"/>
      <c r="PYQ2196" s="10"/>
      <c r="PYR2196" s="10"/>
      <c r="PYS2196" s="10"/>
      <c r="PYT2196" s="10"/>
      <c r="PYU2196" s="10"/>
      <c r="PYV2196" s="10"/>
      <c r="PYW2196" s="10"/>
      <c r="PYX2196" s="10"/>
      <c r="PYY2196" s="10"/>
      <c r="PYZ2196" s="10"/>
      <c r="PZA2196" s="10"/>
      <c r="PZB2196" s="10"/>
      <c r="PZC2196" s="10"/>
      <c r="PZD2196" s="10"/>
      <c r="PZE2196" s="10"/>
      <c r="PZF2196" s="10"/>
      <c r="PZG2196" s="10"/>
      <c r="PZH2196" s="10"/>
      <c r="PZI2196" s="10"/>
      <c r="PZJ2196" s="10"/>
      <c r="PZK2196" s="10"/>
      <c r="PZL2196" s="10"/>
      <c r="PZM2196" s="10"/>
      <c r="PZN2196" s="10"/>
      <c r="PZO2196" s="10"/>
      <c r="PZP2196" s="10"/>
      <c r="PZQ2196" s="10"/>
      <c r="PZR2196" s="10"/>
      <c r="PZS2196" s="10"/>
      <c r="PZT2196" s="10"/>
      <c r="PZU2196" s="10"/>
      <c r="PZV2196" s="10"/>
      <c r="PZW2196" s="10"/>
      <c r="PZX2196" s="10"/>
      <c r="PZY2196" s="10"/>
      <c r="PZZ2196" s="10"/>
      <c r="QAA2196" s="10"/>
      <c r="QAB2196" s="10"/>
      <c r="QAC2196" s="10"/>
      <c r="QAD2196" s="10"/>
      <c r="QAE2196" s="10"/>
      <c r="QAF2196" s="10"/>
      <c r="QAG2196" s="10"/>
      <c r="QAH2196" s="10"/>
      <c r="QAI2196" s="10"/>
      <c r="QAJ2196" s="10"/>
      <c r="QAK2196" s="10"/>
      <c r="QAL2196" s="10"/>
      <c r="QAM2196" s="10"/>
      <c r="QAN2196" s="10"/>
      <c r="QAO2196" s="10"/>
      <c r="QAP2196" s="10"/>
      <c r="QAQ2196" s="10"/>
      <c r="QAR2196" s="10"/>
      <c r="QAS2196" s="10"/>
      <c r="QAT2196" s="10"/>
      <c r="QAU2196" s="10"/>
      <c r="QAV2196" s="10"/>
      <c r="QAW2196" s="10"/>
      <c r="QAX2196" s="10"/>
      <c r="QAY2196" s="10"/>
      <c r="QAZ2196" s="10"/>
      <c r="QBA2196" s="10"/>
      <c r="QBB2196" s="10"/>
      <c r="QBC2196" s="10"/>
      <c r="QBD2196" s="10"/>
      <c r="QBE2196" s="10"/>
      <c r="QBF2196" s="10"/>
      <c r="QBG2196" s="10"/>
      <c r="QBH2196" s="10"/>
      <c r="QBI2196" s="10"/>
      <c r="QBJ2196" s="10"/>
      <c r="QBK2196" s="10"/>
      <c r="QBL2196" s="10"/>
      <c r="QBM2196" s="10"/>
      <c r="QBN2196" s="10"/>
      <c r="QBO2196" s="10"/>
      <c r="QBP2196" s="10"/>
      <c r="QBQ2196" s="10"/>
      <c r="QBR2196" s="10"/>
      <c r="QBS2196" s="10"/>
      <c r="QBT2196" s="10"/>
      <c r="QBU2196" s="10"/>
      <c r="QBV2196" s="10"/>
      <c r="QBW2196" s="10"/>
      <c r="QBX2196" s="10"/>
      <c r="QBY2196" s="10"/>
      <c r="QBZ2196" s="10"/>
      <c r="QCA2196" s="10"/>
      <c r="QCB2196" s="10"/>
      <c r="QCC2196" s="10"/>
      <c r="QCD2196" s="10"/>
      <c r="QCE2196" s="10"/>
      <c r="QCF2196" s="10"/>
      <c r="QCG2196" s="10"/>
      <c r="QCH2196" s="10"/>
      <c r="QCI2196" s="10"/>
      <c r="QCJ2196" s="10"/>
      <c r="QCK2196" s="10"/>
      <c r="QCL2196" s="10"/>
      <c r="QCM2196" s="10"/>
      <c r="QCN2196" s="10"/>
      <c r="QCO2196" s="10"/>
      <c r="QCP2196" s="10"/>
      <c r="QCQ2196" s="10"/>
      <c r="QCR2196" s="10"/>
      <c r="QCS2196" s="10"/>
      <c r="QCT2196" s="10"/>
      <c r="QCU2196" s="10"/>
      <c r="QCV2196" s="10"/>
      <c r="QCW2196" s="10"/>
      <c r="QCX2196" s="10"/>
      <c r="QCY2196" s="10"/>
      <c r="QCZ2196" s="10"/>
      <c r="QDA2196" s="10"/>
      <c r="QDB2196" s="10"/>
      <c r="QDC2196" s="10"/>
      <c r="QDD2196" s="10"/>
      <c r="QDE2196" s="10"/>
      <c r="QDF2196" s="10"/>
      <c r="QDG2196" s="10"/>
      <c r="QDH2196" s="10"/>
      <c r="QDI2196" s="10"/>
      <c r="QDJ2196" s="10"/>
      <c r="QDK2196" s="10"/>
      <c r="QDL2196" s="10"/>
      <c r="QDM2196" s="10"/>
      <c r="QDN2196" s="10"/>
      <c r="QDO2196" s="10"/>
      <c r="QDP2196" s="10"/>
      <c r="QDQ2196" s="10"/>
      <c r="QDR2196" s="10"/>
      <c r="QDS2196" s="10"/>
      <c r="QDT2196" s="10"/>
      <c r="QDU2196" s="10"/>
      <c r="QDV2196" s="10"/>
      <c r="QDW2196" s="10"/>
      <c r="QDX2196" s="10"/>
      <c r="QDY2196" s="10"/>
      <c r="QDZ2196" s="10"/>
      <c r="QEA2196" s="10"/>
      <c r="QEB2196" s="10"/>
      <c r="QEC2196" s="10"/>
      <c r="QED2196" s="10"/>
      <c r="QEE2196" s="10"/>
      <c r="QEF2196" s="10"/>
      <c r="QEG2196" s="10"/>
      <c r="QEH2196" s="10"/>
      <c r="QEI2196" s="10"/>
      <c r="QEJ2196" s="10"/>
      <c r="QEK2196" s="10"/>
      <c r="QEL2196" s="10"/>
      <c r="QEM2196" s="10"/>
      <c r="QEN2196" s="10"/>
      <c r="QEO2196" s="10"/>
      <c r="QEP2196" s="10"/>
      <c r="QEQ2196" s="10"/>
      <c r="QER2196" s="10"/>
      <c r="QES2196" s="10"/>
      <c r="QET2196" s="10"/>
      <c r="QEU2196" s="10"/>
      <c r="QEV2196" s="10"/>
      <c r="QEW2196" s="10"/>
      <c r="QEX2196" s="10"/>
      <c r="QEY2196" s="10"/>
      <c r="QEZ2196" s="10"/>
      <c r="QFA2196" s="10"/>
      <c r="QFB2196" s="10"/>
      <c r="QFC2196" s="10"/>
      <c r="QFD2196" s="10"/>
      <c r="QFE2196" s="10"/>
      <c r="QFF2196" s="10"/>
      <c r="QFG2196" s="10"/>
      <c r="QFH2196" s="10"/>
      <c r="QFI2196" s="10"/>
      <c r="QFJ2196" s="10"/>
      <c r="QFK2196" s="10"/>
      <c r="QFL2196" s="10"/>
      <c r="QFM2196" s="10"/>
      <c r="QFN2196" s="10"/>
      <c r="QFO2196" s="10"/>
      <c r="QFP2196" s="10"/>
      <c r="QFQ2196" s="10"/>
      <c r="QFR2196" s="10"/>
      <c r="QFS2196" s="10"/>
      <c r="QFT2196" s="10"/>
      <c r="QFU2196" s="10"/>
      <c r="QFV2196" s="10"/>
      <c r="QFW2196" s="10"/>
      <c r="QFX2196" s="10"/>
      <c r="QFY2196" s="10"/>
      <c r="QFZ2196" s="10"/>
      <c r="QGA2196" s="10"/>
      <c r="QGB2196" s="10"/>
      <c r="QGC2196" s="10"/>
      <c r="QGD2196" s="10"/>
      <c r="QGE2196" s="10"/>
      <c r="QGF2196" s="10"/>
      <c r="QGG2196" s="10"/>
      <c r="QGH2196" s="10"/>
      <c r="QGI2196" s="10"/>
      <c r="QGJ2196" s="10"/>
      <c r="QGK2196" s="10"/>
      <c r="QGL2196" s="10"/>
      <c r="QGM2196" s="10"/>
      <c r="QGN2196" s="10"/>
      <c r="QGO2196" s="10"/>
      <c r="QGP2196" s="10"/>
      <c r="QGQ2196" s="10"/>
      <c r="QGR2196" s="10"/>
      <c r="QGS2196" s="10"/>
      <c r="QGT2196" s="10"/>
      <c r="QGU2196" s="10"/>
      <c r="QGV2196" s="10"/>
      <c r="QGW2196" s="10"/>
      <c r="QGX2196" s="10"/>
      <c r="QGY2196" s="10"/>
      <c r="QGZ2196" s="10"/>
      <c r="QHA2196" s="10"/>
      <c r="QHB2196" s="10"/>
      <c r="QHC2196" s="10"/>
      <c r="QHD2196" s="10"/>
      <c r="QHE2196" s="10"/>
      <c r="QHF2196" s="10"/>
      <c r="QHG2196" s="10"/>
      <c r="QHH2196" s="10"/>
      <c r="QHI2196" s="10"/>
      <c r="QHJ2196" s="10"/>
      <c r="QHK2196" s="10"/>
      <c r="QHL2196" s="10"/>
      <c r="QHM2196" s="10"/>
      <c r="QHN2196" s="10"/>
      <c r="QHO2196" s="10"/>
      <c r="QHP2196" s="10"/>
      <c r="QHQ2196" s="10"/>
      <c r="QHR2196" s="10"/>
      <c r="QHS2196" s="10"/>
      <c r="QHT2196" s="10"/>
      <c r="QHU2196" s="10"/>
      <c r="QHV2196" s="10"/>
      <c r="QHW2196" s="10"/>
      <c r="QHX2196" s="10"/>
      <c r="QHY2196" s="10"/>
      <c r="QHZ2196" s="10"/>
      <c r="QIA2196" s="10"/>
      <c r="QIB2196" s="10"/>
      <c r="QIC2196" s="10"/>
      <c r="QID2196" s="10"/>
      <c r="QIE2196" s="10"/>
      <c r="QIF2196" s="10"/>
      <c r="QIG2196" s="10"/>
      <c r="QIH2196" s="10"/>
      <c r="QII2196" s="10"/>
      <c r="QIJ2196" s="10"/>
      <c r="QIK2196" s="10"/>
      <c r="QIL2196" s="10"/>
      <c r="QIM2196" s="10"/>
      <c r="QIN2196" s="10"/>
      <c r="QIO2196" s="10"/>
      <c r="QIP2196" s="10"/>
      <c r="QIQ2196" s="10"/>
      <c r="QIR2196" s="10"/>
      <c r="QIS2196" s="10"/>
      <c r="QIT2196" s="10"/>
      <c r="QIU2196" s="10"/>
      <c r="QIV2196" s="10"/>
      <c r="QIW2196" s="10"/>
      <c r="QIX2196" s="10"/>
      <c r="QIY2196" s="10"/>
      <c r="QIZ2196" s="10"/>
      <c r="QJA2196" s="10"/>
      <c r="QJB2196" s="10"/>
      <c r="QJC2196" s="10"/>
      <c r="QJD2196" s="10"/>
      <c r="QJE2196" s="10"/>
      <c r="QJF2196" s="10"/>
      <c r="QJG2196" s="10"/>
      <c r="QJH2196" s="10"/>
      <c r="QJI2196" s="10"/>
      <c r="QJJ2196" s="10"/>
      <c r="QJK2196" s="10"/>
      <c r="QJL2196" s="10"/>
      <c r="QJM2196" s="10"/>
      <c r="QJN2196" s="10"/>
      <c r="QJO2196" s="10"/>
      <c r="QJP2196" s="10"/>
      <c r="QJQ2196" s="10"/>
      <c r="QJR2196" s="10"/>
      <c r="QJS2196" s="10"/>
      <c r="QJT2196" s="10"/>
      <c r="QJU2196" s="10"/>
      <c r="QJV2196" s="10"/>
      <c r="QJW2196" s="10"/>
      <c r="QJX2196" s="10"/>
      <c r="QJY2196" s="10"/>
      <c r="QJZ2196" s="10"/>
      <c r="QKA2196" s="10"/>
      <c r="QKB2196" s="10"/>
      <c r="QKC2196" s="10"/>
      <c r="QKD2196" s="10"/>
      <c r="QKE2196" s="10"/>
      <c r="QKF2196" s="10"/>
      <c r="QKG2196" s="10"/>
      <c r="QKH2196" s="10"/>
      <c r="QKI2196" s="10"/>
      <c r="QKJ2196" s="10"/>
      <c r="QKK2196" s="10"/>
      <c r="QKL2196" s="10"/>
      <c r="QKM2196" s="10"/>
      <c r="QKN2196" s="10"/>
      <c r="QKO2196" s="10"/>
      <c r="QKP2196" s="10"/>
      <c r="QKQ2196" s="10"/>
      <c r="QKR2196" s="10"/>
      <c r="QKS2196" s="10"/>
      <c r="QKT2196" s="10"/>
      <c r="QKU2196" s="10"/>
      <c r="QKV2196" s="10"/>
      <c r="QKW2196" s="10"/>
      <c r="QKX2196" s="10"/>
      <c r="QKY2196" s="10"/>
      <c r="QKZ2196" s="10"/>
      <c r="QLA2196" s="10"/>
      <c r="QLB2196" s="10"/>
      <c r="QLC2196" s="10"/>
      <c r="QLD2196" s="10"/>
      <c r="QLE2196" s="10"/>
      <c r="QLF2196" s="10"/>
      <c r="QLG2196" s="10"/>
      <c r="QLH2196" s="10"/>
      <c r="QLI2196" s="10"/>
      <c r="QLJ2196" s="10"/>
      <c r="QLK2196" s="10"/>
      <c r="QLL2196" s="10"/>
      <c r="QLM2196" s="10"/>
      <c r="QLN2196" s="10"/>
      <c r="QLO2196" s="10"/>
      <c r="QLP2196" s="10"/>
      <c r="QLQ2196" s="10"/>
      <c r="QLR2196" s="10"/>
      <c r="QLS2196" s="10"/>
      <c r="QLT2196" s="10"/>
      <c r="QLU2196" s="10"/>
      <c r="QLV2196" s="10"/>
      <c r="QLW2196" s="10"/>
      <c r="QLX2196" s="10"/>
      <c r="QLY2196" s="10"/>
      <c r="QLZ2196" s="10"/>
      <c r="QMA2196" s="10"/>
      <c r="QMB2196" s="10"/>
      <c r="QMC2196" s="10"/>
      <c r="QMD2196" s="10"/>
      <c r="QME2196" s="10"/>
      <c r="QMF2196" s="10"/>
      <c r="QMG2196" s="10"/>
      <c r="QMH2196" s="10"/>
      <c r="QMI2196" s="10"/>
      <c r="QMJ2196" s="10"/>
      <c r="QMK2196" s="10"/>
      <c r="QML2196" s="10"/>
      <c r="QMM2196" s="10"/>
      <c r="QMN2196" s="10"/>
      <c r="QMO2196" s="10"/>
      <c r="QMP2196" s="10"/>
      <c r="QMQ2196" s="10"/>
      <c r="QMR2196" s="10"/>
      <c r="QMS2196" s="10"/>
      <c r="QMT2196" s="10"/>
      <c r="QMU2196" s="10"/>
      <c r="QMV2196" s="10"/>
      <c r="QMW2196" s="10"/>
      <c r="QMX2196" s="10"/>
      <c r="QMY2196" s="10"/>
      <c r="QMZ2196" s="10"/>
      <c r="QNA2196" s="10"/>
      <c r="QNB2196" s="10"/>
      <c r="QNC2196" s="10"/>
      <c r="QND2196" s="10"/>
      <c r="QNE2196" s="10"/>
      <c r="QNF2196" s="10"/>
      <c r="QNG2196" s="10"/>
      <c r="QNH2196" s="10"/>
      <c r="QNI2196" s="10"/>
      <c r="QNJ2196" s="10"/>
      <c r="QNK2196" s="10"/>
      <c r="QNL2196" s="10"/>
      <c r="QNM2196" s="10"/>
      <c r="QNN2196" s="10"/>
      <c r="QNO2196" s="10"/>
      <c r="QNP2196" s="10"/>
      <c r="QNQ2196" s="10"/>
      <c r="QNR2196" s="10"/>
      <c r="QNS2196" s="10"/>
      <c r="QNT2196" s="10"/>
      <c r="QNU2196" s="10"/>
      <c r="QNV2196" s="10"/>
      <c r="QNW2196" s="10"/>
      <c r="QNX2196" s="10"/>
      <c r="QNY2196" s="10"/>
      <c r="QNZ2196" s="10"/>
      <c r="QOA2196" s="10"/>
      <c r="QOB2196" s="10"/>
      <c r="QOC2196" s="10"/>
      <c r="QOD2196" s="10"/>
      <c r="QOE2196" s="10"/>
      <c r="QOF2196" s="10"/>
      <c r="QOG2196" s="10"/>
      <c r="QOH2196" s="10"/>
      <c r="QOI2196" s="10"/>
      <c r="QOJ2196" s="10"/>
      <c r="QOK2196" s="10"/>
      <c r="QOL2196" s="10"/>
      <c r="QOM2196" s="10"/>
      <c r="QON2196" s="10"/>
      <c r="QOO2196" s="10"/>
      <c r="QOP2196" s="10"/>
      <c r="QOQ2196" s="10"/>
      <c r="QOR2196" s="10"/>
      <c r="QOS2196" s="10"/>
      <c r="QOT2196" s="10"/>
      <c r="QOU2196" s="10"/>
      <c r="QOV2196" s="10"/>
      <c r="QOW2196" s="10"/>
      <c r="QOX2196" s="10"/>
      <c r="QOY2196" s="10"/>
      <c r="QOZ2196" s="10"/>
      <c r="QPA2196" s="10"/>
      <c r="QPB2196" s="10"/>
      <c r="QPC2196" s="10"/>
      <c r="QPD2196" s="10"/>
      <c r="QPE2196" s="10"/>
      <c r="QPF2196" s="10"/>
      <c r="QPG2196" s="10"/>
      <c r="QPH2196" s="10"/>
      <c r="QPI2196" s="10"/>
      <c r="QPJ2196" s="10"/>
      <c r="QPK2196" s="10"/>
      <c r="QPL2196" s="10"/>
      <c r="QPM2196" s="10"/>
      <c r="QPN2196" s="10"/>
      <c r="QPO2196" s="10"/>
      <c r="QPP2196" s="10"/>
      <c r="QPQ2196" s="10"/>
      <c r="QPR2196" s="10"/>
      <c r="QPS2196" s="10"/>
      <c r="QPT2196" s="10"/>
      <c r="QPU2196" s="10"/>
      <c r="QPV2196" s="10"/>
      <c r="QPW2196" s="10"/>
      <c r="QPX2196" s="10"/>
      <c r="QPY2196" s="10"/>
      <c r="QPZ2196" s="10"/>
      <c r="QQA2196" s="10"/>
      <c r="QQB2196" s="10"/>
      <c r="QQC2196" s="10"/>
      <c r="QQD2196" s="10"/>
      <c r="QQE2196" s="10"/>
      <c r="QQF2196" s="10"/>
      <c r="QQG2196" s="10"/>
      <c r="QQH2196" s="10"/>
      <c r="QQI2196" s="10"/>
      <c r="QQJ2196" s="10"/>
      <c r="QQK2196" s="10"/>
      <c r="QQL2196" s="10"/>
      <c r="QQM2196" s="10"/>
      <c r="QQN2196" s="10"/>
      <c r="QQO2196" s="10"/>
      <c r="QQP2196" s="10"/>
      <c r="QQQ2196" s="10"/>
      <c r="QQR2196" s="10"/>
      <c r="QQS2196" s="10"/>
      <c r="QQT2196" s="10"/>
      <c r="QQU2196" s="10"/>
      <c r="QQV2196" s="10"/>
      <c r="QQW2196" s="10"/>
      <c r="QQX2196" s="10"/>
      <c r="QQY2196" s="10"/>
      <c r="QQZ2196" s="10"/>
      <c r="QRA2196" s="10"/>
      <c r="QRB2196" s="10"/>
      <c r="QRC2196" s="10"/>
      <c r="QRD2196" s="10"/>
      <c r="QRE2196" s="10"/>
      <c r="QRF2196" s="10"/>
      <c r="QRG2196" s="10"/>
      <c r="QRH2196" s="10"/>
      <c r="QRI2196" s="10"/>
      <c r="QRJ2196" s="10"/>
      <c r="QRK2196" s="10"/>
      <c r="QRL2196" s="10"/>
      <c r="QRM2196" s="10"/>
      <c r="QRN2196" s="10"/>
      <c r="QRO2196" s="10"/>
      <c r="QRP2196" s="10"/>
      <c r="QRQ2196" s="10"/>
      <c r="QRR2196" s="10"/>
      <c r="QRS2196" s="10"/>
      <c r="QRT2196" s="10"/>
      <c r="QRU2196" s="10"/>
      <c r="QRV2196" s="10"/>
      <c r="QRW2196" s="10"/>
      <c r="QRX2196" s="10"/>
      <c r="QRY2196" s="10"/>
      <c r="QRZ2196" s="10"/>
      <c r="QSA2196" s="10"/>
      <c r="QSB2196" s="10"/>
      <c r="QSC2196" s="10"/>
      <c r="QSD2196" s="10"/>
      <c r="QSE2196" s="10"/>
      <c r="QSF2196" s="10"/>
      <c r="QSG2196" s="10"/>
      <c r="QSH2196" s="10"/>
      <c r="QSI2196" s="10"/>
      <c r="QSJ2196" s="10"/>
      <c r="QSK2196" s="10"/>
      <c r="QSL2196" s="10"/>
      <c r="QSM2196" s="10"/>
      <c r="QSN2196" s="10"/>
      <c r="QSO2196" s="10"/>
      <c r="QSP2196" s="10"/>
      <c r="QSQ2196" s="10"/>
      <c r="QSR2196" s="10"/>
      <c r="QSS2196" s="10"/>
      <c r="QST2196" s="10"/>
      <c r="QSU2196" s="10"/>
      <c r="QSV2196" s="10"/>
      <c r="QSW2196" s="10"/>
      <c r="QSX2196" s="10"/>
      <c r="QSY2196" s="10"/>
      <c r="QSZ2196" s="10"/>
      <c r="QTA2196" s="10"/>
      <c r="QTB2196" s="10"/>
      <c r="QTC2196" s="10"/>
      <c r="QTD2196" s="10"/>
      <c r="QTE2196" s="10"/>
      <c r="QTF2196" s="10"/>
      <c r="QTG2196" s="10"/>
      <c r="QTH2196" s="10"/>
      <c r="QTI2196" s="10"/>
      <c r="QTJ2196" s="10"/>
      <c r="QTK2196" s="10"/>
      <c r="QTL2196" s="10"/>
      <c r="QTM2196" s="10"/>
      <c r="QTN2196" s="10"/>
      <c r="QTO2196" s="10"/>
      <c r="QTP2196" s="10"/>
      <c r="QTQ2196" s="10"/>
      <c r="QTR2196" s="10"/>
      <c r="QTS2196" s="10"/>
      <c r="QTT2196" s="10"/>
      <c r="QTU2196" s="10"/>
      <c r="QTV2196" s="10"/>
      <c r="QTW2196" s="10"/>
      <c r="QTX2196" s="10"/>
      <c r="QTY2196" s="10"/>
      <c r="QTZ2196" s="10"/>
      <c r="QUA2196" s="10"/>
      <c r="QUB2196" s="10"/>
      <c r="QUC2196" s="10"/>
      <c r="QUD2196" s="10"/>
      <c r="QUE2196" s="10"/>
      <c r="QUF2196" s="10"/>
      <c r="QUG2196" s="10"/>
      <c r="QUH2196" s="10"/>
      <c r="QUI2196" s="10"/>
      <c r="QUJ2196" s="10"/>
      <c r="QUK2196" s="10"/>
      <c r="QUL2196" s="10"/>
      <c r="QUM2196" s="10"/>
      <c r="QUN2196" s="10"/>
      <c r="QUO2196" s="10"/>
      <c r="QUP2196" s="10"/>
      <c r="QUQ2196" s="10"/>
      <c r="QUR2196" s="10"/>
      <c r="QUS2196" s="10"/>
      <c r="QUT2196" s="10"/>
      <c r="QUU2196" s="10"/>
      <c r="QUV2196" s="10"/>
      <c r="QUW2196" s="10"/>
      <c r="QUX2196" s="10"/>
      <c r="QUY2196" s="10"/>
      <c r="QUZ2196" s="10"/>
      <c r="QVA2196" s="10"/>
      <c r="QVB2196" s="10"/>
      <c r="QVC2196" s="10"/>
      <c r="QVD2196" s="10"/>
      <c r="QVE2196" s="10"/>
      <c r="QVF2196" s="10"/>
      <c r="QVG2196" s="10"/>
      <c r="QVH2196" s="10"/>
      <c r="QVI2196" s="10"/>
      <c r="QVJ2196" s="10"/>
      <c r="QVK2196" s="10"/>
      <c r="QVL2196" s="10"/>
      <c r="QVM2196" s="10"/>
      <c r="QVN2196" s="10"/>
      <c r="QVO2196" s="10"/>
      <c r="QVP2196" s="10"/>
      <c r="QVQ2196" s="10"/>
      <c r="QVR2196" s="10"/>
      <c r="QVS2196" s="10"/>
      <c r="QVT2196" s="10"/>
      <c r="QVU2196" s="10"/>
      <c r="QVV2196" s="10"/>
      <c r="QVW2196" s="10"/>
      <c r="QVX2196" s="10"/>
      <c r="QVY2196" s="10"/>
      <c r="QVZ2196" s="10"/>
      <c r="QWA2196" s="10"/>
      <c r="QWB2196" s="10"/>
      <c r="QWC2196" s="10"/>
      <c r="QWD2196" s="10"/>
      <c r="QWE2196" s="10"/>
      <c r="QWF2196" s="10"/>
      <c r="QWG2196" s="10"/>
      <c r="QWH2196" s="10"/>
      <c r="QWI2196" s="10"/>
      <c r="QWJ2196" s="10"/>
      <c r="QWK2196" s="10"/>
      <c r="QWL2196" s="10"/>
      <c r="QWM2196" s="10"/>
      <c r="QWN2196" s="10"/>
      <c r="QWO2196" s="10"/>
      <c r="QWP2196" s="10"/>
      <c r="QWQ2196" s="10"/>
      <c r="QWR2196" s="10"/>
      <c r="QWS2196" s="10"/>
      <c r="QWT2196" s="10"/>
      <c r="QWU2196" s="10"/>
      <c r="QWV2196" s="10"/>
      <c r="QWW2196" s="10"/>
      <c r="QWX2196" s="10"/>
      <c r="QWY2196" s="10"/>
      <c r="QWZ2196" s="10"/>
      <c r="QXA2196" s="10"/>
      <c r="QXB2196" s="10"/>
      <c r="QXC2196" s="10"/>
      <c r="QXD2196" s="10"/>
      <c r="QXE2196" s="10"/>
      <c r="QXF2196" s="10"/>
      <c r="QXG2196" s="10"/>
      <c r="QXH2196" s="10"/>
      <c r="QXI2196" s="10"/>
      <c r="QXJ2196" s="10"/>
      <c r="QXK2196" s="10"/>
      <c r="QXL2196" s="10"/>
      <c r="QXM2196" s="10"/>
      <c r="QXN2196" s="10"/>
      <c r="QXO2196" s="10"/>
      <c r="QXP2196" s="10"/>
      <c r="QXQ2196" s="10"/>
      <c r="QXR2196" s="10"/>
      <c r="QXS2196" s="10"/>
      <c r="QXT2196" s="10"/>
      <c r="QXU2196" s="10"/>
      <c r="QXV2196" s="10"/>
      <c r="QXW2196" s="10"/>
      <c r="QXX2196" s="10"/>
      <c r="QXY2196" s="10"/>
      <c r="QXZ2196" s="10"/>
      <c r="QYA2196" s="10"/>
      <c r="QYB2196" s="10"/>
      <c r="QYC2196" s="10"/>
      <c r="QYD2196" s="10"/>
      <c r="QYE2196" s="10"/>
      <c r="QYF2196" s="10"/>
      <c r="QYG2196" s="10"/>
      <c r="QYH2196" s="10"/>
      <c r="QYI2196" s="10"/>
      <c r="QYJ2196" s="10"/>
      <c r="QYK2196" s="10"/>
      <c r="QYL2196" s="10"/>
      <c r="QYM2196" s="10"/>
      <c r="QYN2196" s="10"/>
      <c r="QYO2196" s="10"/>
      <c r="QYP2196" s="10"/>
      <c r="QYQ2196" s="10"/>
      <c r="QYR2196" s="10"/>
      <c r="QYS2196" s="10"/>
      <c r="QYT2196" s="10"/>
      <c r="QYU2196" s="10"/>
      <c r="QYV2196" s="10"/>
      <c r="QYW2196" s="10"/>
      <c r="QYX2196" s="10"/>
      <c r="QYY2196" s="10"/>
      <c r="QYZ2196" s="10"/>
      <c r="QZA2196" s="10"/>
      <c r="QZB2196" s="10"/>
      <c r="QZC2196" s="10"/>
      <c r="QZD2196" s="10"/>
      <c r="QZE2196" s="10"/>
      <c r="QZF2196" s="10"/>
      <c r="QZG2196" s="10"/>
      <c r="QZH2196" s="10"/>
      <c r="QZI2196" s="10"/>
      <c r="QZJ2196" s="10"/>
      <c r="QZK2196" s="10"/>
      <c r="QZL2196" s="10"/>
      <c r="QZM2196" s="10"/>
      <c r="QZN2196" s="10"/>
      <c r="QZO2196" s="10"/>
      <c r="QZP2196" s="10"/>
      <c r="QZQ2196" s="10"/>
      <c r="QZR2196" s="10"/>
      <c r="QZS2196" s="10"/>
      <c r="QZT2196" s="10"/>
      <c r="QZU2196" s="10"/>
      <c r="QZV2196" s="10"/>
      <c r="QZW2196" s="10"/>
      <c r="QZX2196" s="10"/>
      <c r="QZY2196" s="10"/>
      <c r="QZZ2196" s="10"/>
      <c r="RAA2196" s="10"/>
      <c r="RAB2196" s="10"/>
      <c r="RAC2196" s="10"/>
      <c r="RAD2196" s="10"/>
      <c r="RAE2196" s="10"/>
      <c r="RAF2196" s="10"/>
      <c r="RAG2196" s="10"/>
      <c r="RAH2196" s="10"/>
      <c r="RAI2196" s="10"/>
      <c r="RAJ2196" s="10"/>
      <c r="RAK2196" s="10"/>
      <c r="RAL2196" s="10"/>
      <c r="RAM2196" s="10"/>
      <c r="RAN2196" s="10"/>
      <c r="RAO2196" s="10"/>
      <c r="RAP2196" s="10"/>
      <c r="RAQ2196" s="10"/>
      <c r="RAR2196" s="10"/>
      <c r="RAS2196" s="10"/>
      <c r="RAT2196" s="10"/>
      <c r="RAU2196" s="10"/>
      <c r="RAV2196" s="10"/>
      <c r="RAW2196" s="10"/>
      <c r="RAX2196" s="10"/>
      <c r="RAY2196" s="10"/>
      <c r="RAZ2196" s="10"/>
      <c r="RBA2196" s="10"/>
      <c r="RBB2196" s="10"/>
      <c r="RBC2196" s="10"/>
      <c r="RBD2196" s="10"/>
      <c r="RBE2196" s="10"/>
      <c r="RBF2196" s="10"/>
      <c r="RBG2196" s="10"/>
      <c r="RBH2196" s="10"/>
      <c r="RBI2196" s="10"/>
      <c r="RBJ2196" s="10"/>
      <c r="RBK2196" s="10"/>
      <c r="RBL2196" s="10"/>
      <c r="RBM2196" s="10"/>
      <c r="RBN2196" s="10"/>
      <c r="RBO2196" s="10"/>
      <c r="RBP2196" s="10"/>
      <c r="RBQ2196" s="10"/>
      <c r="RBR2196" s="10"/>
      <c r="RBS2196" s="10"/>
      <c r="RBT2196" s="10"/>
      <c r="RBU2196" s="10"/>
      <c r="RBV2196" s="10"/>
      <c r="RBW2196" s="10"/>
      <c r="RBX2196" s="10"/>
      <c r="RBY2196" s="10"/>
      <c r="RBZ2196" s="10"/>
      <c r="RCA2196" s="10"/>
      <c r="RCB2196" s="10"/>
      <c r="RCC2196" s="10"/>
      <c r="RCD2196" s="10"/>
      <c r="RCE2196" s="10"/>
      <c r="RCF2196" s="10"/>
      <c r="RCG2196" s="10"/>
      <c r="RCH2196" s="10"/>
      <c r="RCI2196" s="10"/>
      <c r="RCJ2196" s="10"/>
      <c r="RCK2196" s="10"/>
      <c r="RCL2196" s="10"/>
      <c r="RCM2196" s="10"/>
      <c r="RCN2196" s="10"/>
      <c r="RCO2196" s="10"/>
      <c r="RCP2196" s="10"/>
      <c r="RCQ2196" s="10"/>
      <c r="RCR2196" s="10"/>
      <c r="RCS2196" s="10"/>
      <c r="RCT2196" s="10"/>
      <c r="RCU2196" s="10"/>
      <c r="RCV2196" s="10"/>
      <c r="RCW2196" s="10"/>
      <c r="RCX2196" s="10"/>
      <c r="RCY2196" s="10"/>
      <c r="RCZ2196" s="10"/>
      <c r="RDA2196" s="10"/>
      <c r="RDB2196" s="10"/>
      <c r="RDC2196" s="10"/>
      <c r="RDD2196" s="10"/>
      <c r="RDE2196" s="10"/>
      <c r="RDF2196" s="10"/>
      <c r="RDG2196" s="10"/>
      <c r="RDH2196" s="10"/>
      <c r="RDI2196" s="10"/>
      <c r="RDJ2196" s="10"/>
      <c r="RDK2196" s="10"/>
      <c r="RDL2196" s="10"/>
      <c r="RDM2196" s="10"/>
      <c r="RDN2196" s="10"/>
      <c r="RDO2196" s="10"/>
      <c r="RDP2196" s="10"/>
      <c r="RDQ2196" s="10"/>
      <c r="RDR2196" s="10"/>
      <c r="RDS2196" s="10"/>
      <c r="RDT2196" s="10"/>
      <c r="RDU2196" s="10"/>
      <c r="RDV2196" s="10"/>
      <c r="RDW2196" s="10"/>
      <c r="RDX2196" s="10"/>
      <c r="RDY2196" s="10"/>
      <c r="RDZ2196" s="10"/>
      <c r="REA2196" s="10"/>
      <c r="REB2196" s="10"/>
      <c r="REC2196" s="10"/>
      <c r="RED2196" s="10"/>
      <c r="REE2196" s="10"/>
      <c r="REF2196" s="10"/>
      <c r="REG2196" s="10"/>
      <c r="REH2196" s="10"/>
      <c r="REI2196" s="10"/>
      <c r="REJ2196" s="10"/>
      <c r="REK2196" s="10"/>
      <c r="REL2196" s="10"/>
      <c r="REM2196" s="10"/>
      <c r="REN2196" s="10"/>
      <c r="REO2196" s="10"/>
      <c r="REP2196" s="10"/>
      <c r="REQ2196" s="10"/>
      <c r="RER2196" s="10"/>
      <c r="RES2196" s="10"/>
      <c r="RET2196" s="10"/>
      <c r="REU2196" s="10"/>
      <c r="REV2196" s="10"/>
      <c r="REW2196" s="10"/>
      <c r="REX2196" s="10"/>
      <c r="REY2196" s="10"/>
      <c r="REZ2196" s="10"/>
      <c r="RFA2196" s="10"/>
      <c r="RFB2196" s="10"/>
      <c r="RFC2196" s="10"/>
      <c r="RFD2196" s="10"/>
      <c r="RFE2196" s="10"/>
      <c r="RFF2196" s="10"/>
      <c r="RFG2196" s="10"/>
      <c r="RFH2196" s="10"/>
      <c r="RFI2196" s="10"/>
      <c r="RFJ2196" s="10"/>
      <c r="RFK2196" s="10"/>
      <c r="RFL2196" s="10"/>
      <c r="RFM2196" s="10"/>
      <c r="RFN2196" s="10"/>
      <c r="RFO2196" s="10"/>
      <c r="RFP2196" s="10"/>
      <c r="RFQ2196" s="10"/>
      <c r="RFR2196" s="10"/>
      <c r="RFS2196" s="10"/>
      <c r="RFT2196" s="10"/>
      <c r="RFU2196" s="10"/>
      <c r="RFV2196" s="10"/>
      <c r="RFW2196" s="10"/>
      <c r="RFX2196" s="10"/>
      <c r="RFY2196" s="10"/>
      <c r="RFZ2196" s="10"/>
      <c r="RGA2196" s="10"/>
      <c r="RGB2196" s="10"/>
      <c r="RGC2196" s="10"/>
      <c r="RGD2196" s="10"/>
      <c r="RGE2196" s="10"/>
      <c r="RGF2196" s="10"/>
      <c r="RGG2196" s="10"/>
      <c r="RGH2196" s="10"/>
      <c r="RGI2196" s="10"/>
      <c r="RGJ2196" s="10"/>
      <c r="RGK2196" s="10"/>
      <c r="RGL2196" s="10"/>
      <c r="RGM2196" s="10"/>
      <c r="RGN2196" s="10"/>
      <c r="RGO2196" s="10"/>
      <c r="RGP2196" s="10"/>
      <c r="RGQ2196" s="10"/>
      <c r="RGR2196" s="10"/>
      <c r="RGS2196" s="10"/>
      <c r="RGT2196" s="10"/>
      <c r="RGU2196" s="10"/>
      <c r="RGV2196" s="10"/>
      <c r="RGW2196" s="10"/>
      <c r="RGX2196" s="10"/>
      <c r="RGY2196" s="10"/>
      <c r="RGZ2196" s="10"/>
      <c r="RHA2196" s="10"/>
      <c r="RHB2196" s="10"/>
      <c r="RHC2196" s="10"/>
      <c r="RHD2196" s="10"/>
      <c r="RHE2196" s="10"/>
      <c r="RHF2196" s="10"/>
      <c r="RHG2196" s="10"/>
      <c r="RHH2196" s="10"/>
      <c r="RHI2196" s="10"/>
      <c r="RHJ2196" s="10"/>
      <c r="RHK2196" s="10"/>
      <c r="RHL2196" s="10"/>
      <c r="RHM2196" s="10"/>
      <c r="RHN2196" s="10"/>
      <c r="RHO2196" s="10"/>
      <c r="RHP2196" s="10"/>
      <c r="RHQ2196" s="10"/>
      <c r="RHR2196" s="10"/>
      <c r="RHS2196" s="10"/>
      <c r="RHT2196" s="10"/>
      <c r="RHU2196" s="10"/>
      <c r="RHV2196" s="10"/>
      <c r="RHW2196" s="10"/>
      <c r="RHX2196" s="10"/>
      <c r="RHY2196" s="10"/>
      <c r="RHZ2196" s="10"/>
      <c r="RIA2196" s="10"/>
      <c r="RIB2196" s="10"/>
      <c r="RIC2196" s="10"/>
      <c r="RID2196" s="10"/>
      <c r="RIE2196" s="10"/>
      <c r="RIF2196" s="10"/>
      <c r="RIG2196" s="10"/>
      <c r="RIH2196" s="10"/>
      <c r="RII2196" s="10"/>
      <c r="RIJ2196" s="10"/>
      <c r="RIK2196" s="10"/>
      <c r="RIL2196" s="10"/>
      <c r="RIM2196" s="10"/>
      <c r="RIN2196" s="10"/>
      <c r="RIO2196" s="10"/>
      <c r="RIP2196" s="10"/>
      <c r="RIQ2196" s="10"/>
      <c r="RIR2196" s="10"/>
      <c r="RIS2196" s="10"/>
      <c r="RIT2196" s="10"/>
      <c r="RIU2196" s="10"/>
      <c r="RIV2196" s="10"/>
      <c r="RIW2196" s="10"/>
      <c r="RIX2196" s="10"/>
      <c r="RIY2196" s="10"/>
      <c r="RIZ2196" s="10"/>
      <c r="RJA2196" s="10"/>
      <c r="RJB2196" s="10"/>
      <c r="RJC2196" s="10"/>
      <c r="RJD2196" s="10"/>
      <c r="RJE2196" s="10"/>
      <c r="RJF2196" s="10"/>
      <c r="RJG2196" s="10"/>
      <c r="RJH2196" s="10"/>
      <c r="RJI2196" s="10"/>
      <c r="RJJ2196" s="10"/>
      <c r="RJK2196" s="10"/>
      <c r="RJL2196" s="10"/>
      <c r="RJM2196" s="10"/>
      <c r="RJN2196" s="10"/>
      <c r="RJO2196" s="10"/>
      <c r="RJP2196" s="10"/>
      <c r="RJQ2196" s="10"/>
      <c r="RJR2196" s="10"/>
      <c r="RJS2196" s="10"/>
      <c r="RJT2196" s="10"/>
      <c r="RJU2196" s="10"/>
      <c r="RJV2196" s="10"/>
      <c r="RJW2196" s="10"/>
      <c r="RJX2196" s="10"/>
      <c r="RJY2196" s="10"/>
      <c r="RJZ2196" s="10"/>
      <c r="RKA2196" s="10"/>
      <c r="RKB2196" s="10"/>
      <c r="RKC2196" s="10"/>
      <c r="RKD2196" s="10"/>
      <c r="RKE2196" s="10"/>
      <c r="RKF2196" s="10"/>
      <c r="RKG2196" s="10"/>
      <c r="RKH2196" s="10"/>
      <c r="RKI2196" s="10"/>
      <c r="RKJ2196" s="10"/>
      <c r="RKK2196" s="10"/>
      <c r="RKL2196" s="10"/>
      <c r="RKM2196" s="10"/>
      <c r="RKN2196" s="10"/>
      <c r="RKO2196" s="10"/>
      <c r="RKP2196" s="10"/>
      <c r="RKQ2196" s="10"/>
      <c r="RKR2196" s="10"/>
      <c r="RKS2196" s="10"/>
      <c r="RKT2196" s="10"/>
      <c r="RKU2196" s="10"/>
      <c r="RKV2196" s="10"/>
      <c r="RKW2196" s="10"/>
      <c r="RKX2196" s="10"/>
      <c r="RKY2196" s="10"/>
      <c r="RKZ2196" s="10"/>
      <c r="RLA2196" s="10"/>
      <c r="RLB2196" s="10"/>
      <c r="RLC2196" s="10"/>
      <c r="RLD2196" s="10"/>
      <c r="RLE2196" s="10"/>
      <c r="RLF2196" s="10"/>
      <c r="RLG2196" s="10"/>
      <c r="RLH2196" s="10"/>
      <c r="RLI2196" s="10"/>
      <c r="RLJ2196" s="10"/>
      <c r="RLK2196" s="10"/>
      <c r="RLL2196" s="10"/>
      <c r="RLM2196" s="10"/>
      <c r="RLN2196" s="10"/>
      <c r="RLO2196" s="10"/>
      <c r="RLP2196" s="10"/>
      <c r="RLQ2196" s="10"/>
      <c r="RLR2196" s="10"/>
      <c r="RLS2196" s="10"/>
      <c r="RLT2196" s="10"/>
      <c r="RLU2196" s="10"/>
      <c r="RLV2196" s="10"/>
      <c r="RLW2196" s="10"/>
      <c r="RLX2196" s="10"/>
      <c r="RLY2196" s="10"/>
      <c r="RLZ2196" s="10"/>
      <c r="RMA2196" s="10"/>
      <c r="RMB2196" s="10"/>
      <c r="RMC2196" s="10"/>
      <c r="RMD2196" s="10"/>
      <c r="RME2196" s="10"/>
      <c r="RMF2196" s="10"/>
      <c r="RMG2196" s="10"/>
      <c r="RMH2196" s="10"/>
      <c r="RMI2196" s="10"/>
      <c r="RMJ2196" s="10"/>
      <c r="RMK2196" s="10"/>
      <c r="RML2196" s="10"/>
      <c r="RMM2196" s="10"/>
      <c r="RMN2196" s="10"/>
      <c r="RMO2196" s="10"/>
      <c r="RMP2196" s="10"/>
      <c r="RMQ2196" s="10"/>
      <c r="RMR2196" s="10"/>
      <c r="RMS2196" s="10"/>
      <c r="RMT2196" s="10"/>
      <c r="RMU2196" s="10"/>
      <c r="RMV2196" s="10"/>
      <c r="RMW2196" s="10"/>
      <c r="RMX2196" s="10"/>
      <c r="RMY2196" s="10"/>
      <c r="RMZ2196" s="10"/>
      <c r="RNA2196" s="10"/>
      <c r="RNB2196" s="10"/>
      <c r="RNC2196" s="10"/>
      <c r="RND2196" s="10"/>
      <c r="RNE2196" s="10"/>
      <c r="RNF2196" s="10"/>
      <c r="RNG2196" s="10"/>
      <c r="RNH2196" s="10"/>
      <c r="RNI2196" s="10"/>
      <c r="RNJ2196" s="10"/>
      <c r="RNK2196" s="10"/>
      <c r="RNL2196" s="10"/>
      <c r="RNM2196" s="10"/>
      <c r="RNN2196" s="10"/>
      <c r="RNO2196" s="10"/>
      <c r="RNP2196" s="10"/>
      <c r="RNQ2196" s="10"/>
      <c r="RNR2196" s="10"/>
      <c r="RNS2196" s="10"/>
      <c r="RNT2196" s="10"/>
      <c r="RNU2196" s="10"/>
      <c r="RNV2196" s="10"/>
      <c r="RNW2196" s="10"/>
      <c r="RNX2196" s="10"/>
      <c r="RNY2196" s="10"/>
      <c r="RNZ2196" s="10"/>
      <c r="ROA2196" s="10"/>
      <c r="ROB2196" s="10"/>
      <c r="ROC2196" s="10"/>
      <c r="ROD2196" s="10"/>
      <c r="ROE2196" s="10"/>
      <c r="ROF2196" s="10"/>
      <c r="ROG2196" s="10"/>
      <c r="ROH2196" s="10"/>
      <c r="ROI2196" s="10"/>
      <c r="ROJ2196" s="10"/>
      <c r="ROK2196" s="10"/>
      <c r="ROL2196" s="10"/>
      <c r="ROM2196" s="10"/>
      <c r="RON2196" s="10"/>
      <c r="ROO2196" s="10"/>
      <c r="ROP2196" s="10"/>
      <c r="ROQ2196" s="10"/>
      <c r="ROR2196" s="10"/>
      <c r="ROS2196" s="10"/>
      <c r="ROT2196" s="10"/>
      <c r="ROU2196" s="10"/>
      <c r="ROV2196" s="10"/>
      <c r="ROW2196" s="10"/>
      <c r="ROX2196" s="10"/>
      <c r="ROY2196" s="10"/>
      <c r="ROZ2196" s="10"/>
      <c r="RPA2196" s="10"/>
      <c r="RPB2196" s="10"/>
      <c r="RPC2196" s="10"/>
      <c r="RPD2196" s="10"/>
      <c r="RPE2196" s="10"/>
      <c r="RPF2196" s="10"/>
      <c r="RPG2196" s="10"/>
      <c r="RPH2196" s="10"/>
      <c r="RPI2196" s="10"/>
      <c r="RPJ2196" s="10"/>
      <c r="RPK2196" s="10"/>
      <c r="RPL2196" s="10"/>
      <c r="RPM2196" s="10"/>
      <c r="RPN2196" s="10"/>
      <c r="RPO2196" s="10"/>
      <c r="RPP2196" s="10"/>
      <c r="RPQ2196" s="10"/>
      <c r="RPR2196" s="10"/>
      <c r="RPS2196" s="10"/>
      <c r="RPT2196" s="10"/>
      <c r="RPU2196" s="10"/>
      <c r="RPV2196" s="10"/>
      <c r="RPW2196" s="10"/>
      <c r="RPX2196" s="10"/>
      <c r="RPY2196" s="10"/>
      <c r="RPZ2196" s="10"/>
      <c r="RQA2196" s="10"/>
      <c r="RQB2196" s="10"/>
      <c r="RQC2196" s="10"/>
      <c r="RQD2196" s="10"/>
      <c r="RQE2196" s="10"/>
      <c r="RQF2196" s="10"/>
      <c r="RQG2196" s="10"/>
      <c r="RQH2196" s="10"/>
      <c r="RQI2196" s="10"/>
      <c r="RQJ2196" s="10"/>
      <c r="RQK2196" s="10"/>
      <c r="RQL2196" s="10"/>
      <c r="RQM2196" s="10"/>
      <c r="RQN2196" s="10"/>
      <c r="RQO2196" s="10"/>
      <c r="RQP2196" s="10"/>
      <c r="RQQ2196" s="10"/>
      <c r="RQR2196" s="10"/>
      <c r="RQS2196" s="10"/>
      <c r="RQT2196" s="10"/>
      <c r="RQU2196" s="10"/>
      <c r="RQV2196" s="10"/>
      <c r="RQW2196" s="10"/>
      <c r="RQX2196" s="10"/>
      <c r="RQY2196" s="10"/>
      <c r="RQZ2196" s="10"/>
      <c r="RRA2196" s="10"/>
      <c r="RRB2196" s="10"/>
      <c r="RRC2196" s="10"/>
      <c r="RRD2196" s="10"/>
      <c r="RRE2196" s="10"/>
      <c r="RRF2196" s="10"/>
      <c r="RRG2196" s="10"/>
      <c r="RRH2196" s="10"/>
      <c r="RRI2196" s="10"/>
      <c r="RRJ2196" s="10"/>
      <c r="RRK2196" s="10"/>
      <c r="RRL2196" s="10"/>
      <c r="RRM2196" s="10"/>
      <c r="RRN2196" s="10"/>
      <c r="RRO2196" s="10"/>
      <c r="RRP2196" s="10"/>
      <c r="RRQ2196" s="10"/>
      <c r="RRR2196" s="10"/>
      <c r="RRS2196" s="10"/>
      <c r="RRT2196" s="10"/>
      <c r="RRU2196" s="10"/>
      <c r="RRV2196" s="10"/>
      <c r="RRW2196" s="10"/>
      <c r="RRX2196" s="10"/>
      <c r="RRY2196" s="10"/>
      <c r="RRZ2196" s="10"/>
      <c r="RSA2196" s="10"/>
      <c r="RSB2196" s="10"/>
      <c r="RSC2196" s="10"/>
      <c r="RSD2196" s="10"/>
      <c r="RSE2196" s="10"/>
      <c r="RSF2196" s="10"/>
      <c r="RSG2196" s="10"/>
      <c r="RSH2196" s="10"/>
      <c r="RSI2196" s="10"/>
      <c r="RSJ2196" s="10"/>
      <c r="RSK2196" s="10"/>
      <c r="RSL2196" s="10"/>
      <c r="RSM2196" s="10"/>
      <c r="RSN2196" s="10"/>
      <c r="RSO2196" s="10"/>
      <c r="RSP2196" s="10"/>
      <c r="RSQ2196" s="10"/>
      <c r="RSR2196" s="10"/>
      <c r="RSS2196" s="10"/>
      <c r="RST2196" s="10"/>
      <c r="RSU2196" s="10"/>
      <c r="RSV2196" s="10"/>
      <c r="RSW2196" s="10"/>
      <c r="RSX2196" s="10"/>
      <c r="RSY2196" s="10"/>
      <c r="RSZ2196" s="10"/>
      <c r="RTA2196" s="10"/>
      <c r="RTB2196" s="10"/>
      <c r="RTC2196" s="10"/>
      <c r="RTD2196" s="10"/>
      <c r="RTE2196" s="10"/>
      <c r="RTF2196" s="10"/>
      <c r="RTG2196" s="10"/>
      <c r="RTH2196" s="10"/>
      <c r="RTI2196" s="10"/>
      <c r="RTJ2196" s="10"/>
      <c r="RTK2196" s="10"/>
      <c r="RTL2196" s="10"/>
      <c r="RTM2196" s="10"/>
      <c r="RTN2196" s="10"/>
      <c r="RTO2196" s="10"/>
      <c r="RTP2196" s="10"/>
      <c r="RTQ2196" s="10"/>
      <c r="RTR2196" s="10"/>
      <c r="RTS2196" s="10"/>
      <c r="RTT2196" s="10"/>
      <c r="RTU2196" s="10"/>
      <c r="RTV2196" s="10"/>
      <c r="RTW2196" s="10"/>
      <c r="RTX2196" s="10"/>
      <c r="RTY2196" s="10"/>
      <c r="RTZ2196" s="10"/>
      <c r="RUA2196" s="10"/>
      <c r="RUB2196" s="10"/>
      <c r="RUC2196" s="10"/>
      <c r="RUD2196" s="10"/>
      <c r="RUE2196" s="10"/>
      <c r="RUF2196" s="10"/>
      <c r="RUG2196" s="10"/>
      <c r="RUH2196" s="10"/>
      <c r="RUI2196" s="10"/>
      <c r="RUJ2196" s="10"/>
      <c r="RUK2196" s="10"/>
      <c r="RUL2196" s="10"/>
      <c r="RUM2196" s="10"/>
      <c r="RUN2196" s="10"/>
      <c r="RUO2196" s="10"/>
      <c r="RUP2196" s="10"/>
      <c r="RUQ2196" s="10"/>
      <c r="RUR2196" s="10"/>
      <c r="RUS2196" s="10"/>
      <c r="RUT2196" s="10"/>
      <c r="RUU2196" s="10"/>
      <c r="RUV2196" s="10"/>
      <c r="RUW2196" s="10"/>
      <c r="RUX2196" s="10"/>
      <c r="RUY2196" s="10"/>
      <c r="RUZ2196" s="10"/>
      <c r="RVA2196" s="10"/>
      <c r="RVB2196" s="10"/>
      <c r="RVC2196" s="10"/>
      <c r="RVD2196" s="10"/>
      <c r="RVE2196" s="10"/>
      <c r="RVF2196" s="10"/>
      <c r="RVG2196" s="10"/>
      <c r="RVH2196" s="10"/>
      <c r="RVI2196" s="10"/>
      <c r="RVJ2196" s="10"/>
      <c r="RVK2196" s="10"/>
      <c r="RVL2196" s="10"/>
      <c r="RVM2196" s="10"/>
      <c r="RVN2196" s="10"/>
      <c r="RVO2196" s="10"/>
      <c r="RVP2196" s="10"/>
      <c r="RVQ2196" s="10"/>
      <c r="RVR2196" s="10"/>
      <c r="RVS2196" s="10"/>
      <c r="RVT2196" s="10"/>
      <c r="RVU2196" s="10"/>
      <c r="RVV2196" s="10"/>
      <c r="RVW2196" s="10"/>
      <c r="RVX2196" s="10"/>
      <c r="RVY2196" s="10"/>
      <c r="RVZ2196" s="10"/>
      <c r="RWA2196" s="10"/>
      <c r="RWB2196" s="10"/>
      <c r="RWC2196" s="10"/>
      <c r="RWD2196" s="10"/>
      <c r="RWE2196" s="10"/>
      <c r="RWF2196" s="10"/>
      <c r="RWG2196" s="10"/>
      <c r="RWH2196" s="10"/>
      <c r="RWI2196" s="10"/>
      <c r="RWJ2196" s="10"/>
      <c r="RWK2196" s="10"/>
      <c r="RWL2196" s="10"/>
      <c r="RWM2196" s="10"/>
      <c r="RWN2196" s="10"/>
      <c r="RWO2196" s="10"/>
      <c r="RWP2196" s="10"/>
      <c r="RWQ2196" s="10"/>
      <c r="RWR2196" s="10"/>
      <c r="RWS2196" s="10"/>
      <c r="RWT2196" s="10"/>
      <c r="RWU2196" s="10"/>
      <c r="RWV2196" s="10"/>
      <c r="RWW2196" s="10"/>
      <c r="RWX2196" s="10"/>
      <c r="RWY2196" s="10"/>
      <c r="RWZ2196" s="10"/>
      <c r="RXA2196" s="10"/>
      <c r="RXB2196" s="10"/>
      <c r="RXC2196" s="10"/>
      <c r="RXD2196" s="10"/>
      <c r="RXE2196" s="10"/>
      <c r="RXF2196" s="10"/>
      <c r="RXG2196" s="10"/>
      <c r="RXH2196" s="10"/>
      <c r="RXI2196" s="10"/>
      <c r="RXJ2196" s="10"/>
      <c r="RXK2196" s="10"/>
      <c r="RXL2196" s="10"/>
      <c r="RXM2196" s="10"/>
      <c r="RXN2196" s="10"/>
      <c r="RXO2196" s="10"/>
      <c r="RXP2196" s="10"/>
      <c r="RXQ2196" s="10"/>
      <c r="RXR2196" s="10"/>
      <c r="RXS2196" s="10"/>
      <c r="RXT2196" s="10"/>
      <c r="RXU2196" s="10"/>
      <c r="RXV2196" s="10"/>
      <c r="RXW2196" s="10"/>
      <c r="RXX2196" s="10"/>
      <c r="RXY2196" s="10"/>
      <c r="RXZ2196" s="10"/>
      <c r="RYA2196" s="10"/>
      <c r="RYB2196" s="10"/>
      <c r="RYC2196" s="10"/>
      <c r="RYD2196" s="10"/>
      <c r="RYE2196" s="10"/>
      <c r="RYF2196" s="10"/>
      <c r="RYG2196" s="10"/>
      <c r="RYH2196" s="10"/>
      <c r="RYI2196" s="10"/>
      <c r="RYJ2196" s="10"/>
      <c r="RYK2196" s="10"/>
      <c r="RYL2196" s="10"/>
      <c r="RYM2196" s="10"/>
      <c r="RYN2196" s="10"/>
      <c r="RYO2196" s="10"/>
      <c r="RYP2196" s="10"/>
      <c r="RYQ2196" s="10"/>
      <c r="RYR2196" s="10"/>
      <c r="RYS2196" s="10"/>
      <c r="RYT2196" s="10"/>
      <c r="RYU2196" s="10"/>
      <c r="RYV2196" s="10"/>
      <c r="RYW2196" s="10"/>
      <c r="RYX2196" s="10"/>
      <c r="RYY2196" s="10"/>
      <c r="RYZ2196" s="10"/>
      <c r="RZA2196" s="10"/>
      <c r="RZB2196" s="10"/>
      <c r="RZC2196" s="10"/>
      <c r="RZD2196" s="10"/>
      <c r="RZE2196" s="10"/>
      <c r="RZF2196" s="10"/>
      <c r="RZG2196" s="10"/>
      <c r="RZH2196" s="10"/>
      <c r="RZI2196" s="10"/>
      <c r="RZJ2196" s="10"/>
      <c r="RZK2196" s="10"/>
      <c r="RZL2196" s="10"/>
      <c r="RZM2196" s="10"/>
      <c r="RZN2196" s="10"/>
      <c r="RZO2196" s="10"/>
      <c r="RZP2196" s="10"/>
      <c r="RZQ2196" s="10"/>
      <c r="RZR2196" s="10"/>
      <c r="RZS2196" s="10"/>
      <c r="RZT2196" s="10"/>
      <c r="RZU2196" s="10"/>
      <c r="RZV2196" s="10"/>
      <c r="RZW2196" s="10"/>
      <c r="RZX2196" s="10"/>
      <c r="RZY2196" s="10"/>
      <c r="RZZ2196" s="10"/>
      <c r="SAA2196" s="10"/>
      <c r="SAB2196" s="10"/>
      <c r="SAC2196" s="10"/>
      <c r="SAD2196" s="10"/>
      <c r="SAE2196" s="10"/>
      <c r="SAF2196" s="10"/>
      <c r="SAG2196" s="10"/>
      <c r="SAH2196" s="10"/>
      <c r="SAI2196" s="10"/>
      <c r="SAJ2196" s="10"/>
      <c r="SAK2196" s="10"/>
      <c r="SAL2196" s="10"/>
      <c r="SAM2196" s="10"/>
      <c r="SAN2196" s="10"/>
      <c r="SAO2196" s="10"/>
      <c r="SAP2196" s="10"/>
      <c r="SAQ2196" s="10"/>
      <c r="SAR2196" s="10"/>
      <c r="SAS2196" s="10"/>
      <c r="SAT2196" s="10"/>
      <c r="SAU2196" s="10"/>
      <c r="SAV2196" s="10"/>
      <c r="SAW2196" s="10"/>
      <c r="SAX2196" s="10"/>
      <c r="SAY2196" s="10"/>
      <c r="SAZ2196" s="10"/>
      <c r="SBA2196" s="10"/>
      <c r="SBB2196" s="10"/>
      <c r="SBC2196" s="10"/>
      <c r="SBD2196" s="10"/>
      <c r="SBE2196" s="10"/>
      <c r="SBF2196" s="10"/>
      <c r="SBG2196" s="10"/>
      <c r="SBH2196" s="10"/>
      <c r="SBI2196" s="10"/>
      <c r="SBJ2196" s="10"/>
      <c r="SBK2196" s="10"/>
      <c r="SBL2196" s="10"/>
      <c r="SBM2196" s="10"/>
      <c r="SBN2196" s="10"/>
      <c r="SBO2196" s="10"/>
      <c r="SBP2196" s="10"/>
      <c r="SBQ2196" s="10"/>
      <c r="SBR2196" s="10"/>
      <c r="SBS2196" s="10"/>
      <c r="SBT2196" s="10"/>
      <c r="SBU2196" s="10"/>
      <c r="SBV2196" s="10"/>
      <c r="SBW2196" s="10"/>
      <c r="SBX2196" s="10"/>
      <c r="SBY2196" s="10"/>
      <c r="SBZ2196" s="10"/>
      <c r="SCA2196" s="10"/>
      <c r="SCB2196" s="10"/>
      <c r="SCC2196" s="10"/>
      <c r="SCD2196" s="10"/>
      <c r="SCE2196" s="10"/>
      <c r="SCF2196" s="10"/>
      <c r="SCG2196" s="10"/>
      <c r="SCH2196" s="10"/>
      <c r="SCI2196" s="10"/>
      <c r="SCJ2196" s="10"/>
      <c r="SCK2196" s="10"/>
      <c r="SCL2196" s="10"/>
      <c r="SCM2196" s="10"/>
      <c r="SCN2196" s="10"/>
      <c r="SCO2196" s="10"/>
      <c r="SCP2196" s="10"/>
      <c r="SCQ2196" s="10"/>
      <c r="SCR2196" s="10"/>
      <c r="SCS2196" s="10"/>
      <c r="SCT2196" s="10"/>
      <c r="SCU2196" s="10"/>
      <c r="SCV2196" s="10"/>
      <c r="SCW2196" s="10"/>
      <c r="SCX2196" s="10"/>
      <c r="SCY2196" s="10"/>
      <c r="SCZ2196" s="10"/>
      <c r="SDA2196" s="10"/>
      <c r="SDB2196" s="10"/>
      <c r="SDC2196" s="10"/>
      <c r="SDD2196" s="10"/>
      <c r="SDE2196" s="10"/>
      <c r="SDF2196" s="10"/>
      <c r="SDG2196" s="10"/>
      <c r="SDH2196" s="10"/>
      <c r="SDI2196" s="10"/>
      <c r="SDJ2196" s="10"/>
      <c r="SDK2196" s="10"/>
      <c r="SDL2196" s="10"/>
      <c r="SDM2196" s="10"/>
      <c r="SDN2196" s="10"/>
      <c r="SDO2196" s="10"/>
      <c r="SDP2196" s="10"/>
      <c r="SDQ2196" s="10"/>
      <c r="SDR2196" s="10"/>
      <c r="SDS2196" s="10"/>
      <c r="SDT2196" s="10"/>
      <c r="SDU2196" s="10"/>
      <c r="SDV2196" s="10"/>
      <c r="SDW2196" s="10"/>
      <c r="SDX2196" s="10"/>
      <c r="SDY2196" s="10"/>
      <c r="SDZ2196" s="10"/>
      <c r="SEA2196" s="10"/>
      <c r="SEB2196" s="10"/>
      <c r="SEC2196" s="10"/>
      <c r="SED2196" s="10"/>
      <c r="SEE2196" s="10"/>
      <c r="SEF2196" s="10"/>
      <c r="SEG2196" s="10"/>
      <c r="SEH2196" s="10"/>
      <c r="SEI2196" s="10"/>
      <c r="SEJ2196" s="10"/>
      <c r="SEK2196" s="10"/>
      <c r="SEL2196" s="10"/>
      <c r="SEM2196" s="10"/>
      <c r="SEN2196" s="10"/>
      <c r="SEO2196" s="10"/>
      <c r="SEP2196" s="10"/>
      <c r="SEQ2196" s="10"/>
      <c r="SER2196" s="10"/>
      <c r="SES2196" s="10"/>
      <c r="SET2196" s="10"/>
      <c r="SEU2196" s="10"/>
      <c r="SEV2196" s="10"/>
      <c r="SEW2196" s="10"/>
      <c r="SEX2196" s="10"/>
      <c r="SEY2196" s="10"/>
      <c r="SEZ2196" s="10"/>
      <c r="SFA2196" s="10"/>
      <c r="SFB2196" s="10"/>
      <c r="SFC2196" s="10"/>
      <c r="SFD2196" s="10"/>
      <c r="SFE2196" s="10"/>
      <c r="SFF2196" s="10"/>
      <c r="SFG2196" s="10"/>
      <c r="SFH2196" s="10"/>
      <c r="SFI2196" s="10"/>
      <c r="SFJ2196" s="10"/>
      <c r="SFK2196" s="10"/>
      <c r="SFL2196" s="10"/>
      <c r="SFM2196" s="10"/>
      <c r="SFN2196" s="10"/>
      <c r="SFO2196" s="10"/>
      <c r="SFP2196" s="10"/>
      <c r="SFQ2196" s="10"/>
      <c r="SFR2196" s="10"/>
      <c r="SFS2196" s="10"/>
      <c r="SFT2196" s="10"/>
      <c r="SFU2196" s="10"/>
      <c r="SFV2196" s="10"/>
      <c r="SFW2196" s="10"/>
      <c r="SFX2196" s="10"/>
      <c r="SFY2196" s="10"/>
      <c r="SFZ2196" s="10"/>
      <c r="SGA2196" s="10"/>
      <c r="SGB2196" s="10"/>
      <c r="SGC2196" s="10"/>
      <c r="SGD2196" s="10"/>
      <c r="SGE2196" s="10"/>
      <c r="SGF2196" s="10"/>
      <c r="SGG2196" s="10"/>
      <c r="SGH2196" s="10"/>
      <c r="SGI2196" s="10"/>
      <c r="SGJ2196" s="10"/>
      <c r="SGK2196" s="10"/>
      <c r="SGL2196" s="10"/>
      <c r="SGM2196" s="10"/>
      <c r="SGN2196" s="10"/>
      <c r="SGO2196" s="10"/>
      <c r="SGP2196" s="10"/>
      <c r="SGQ2196" s="10"/>
      <c r="SGR2196" s="10"/>
      <c r="SGS2196" s="10"/>
      <c r="SGT2196" s="10"/>
      <c r="SGU2196" s="10"/>
      <c r="SGV2196" s="10"/>
      <c r="SGW2196" s="10"/>
      <c r="SGX2196" s="10"/>
      <c r="SGY2196" s="10"/>
      <c r="SGZ2196" s="10"/>
      <c r="SHA2196" s="10"/>
      <c r="SHB2196" s="10"/>
      <c r="SHC2196" s="10"/>
      <c r="SHD2196" s="10"/>
      <c r="SHE2196" s="10"/>
      <c r="SHF2196" s="10"/>
      <c r="SHG2196" s="10"/>
      <c r="SHH2196" s="10"/>
      <c r="SHI2196" s="10"/>
      <c r="SHJ2196" s="10"/>
      <c r="SHK2196" s="10"/>
      <c r="SHL2196" s="10"/>
      <c r="SHM2196" s="10"/>
      <c r="SHN2196" s="10"/>
      <c r="SHO2196" s="10"/>
      <c r="SHP2196" s="10"/>
      <c r="SHQ2196" s="10"/>
      <c r="SHR2196" s="10"/>
      <c r="SHS2196" s="10"/>
      <c r="SHT2196" s="10"/>
      <c r="SHU2196" s="10"/>
      <c r="SHV2196" s="10"/>
      <c r="SHW2196" s="10"/>
      <c r="SHX2196" s="10"/>
      <c r="SHY2196" s="10"/>
      <c r="SHZ2196" s="10"/>
      <c r="SIA2196" s="10"/>
      <c r="SIB2196" s="10"/>
      <c r="SIC2196" s="10"/>
      <c r="SID2196" s="10"/>
      <c r="SIE2196" s="10"/>
      <c r="SIF2196" s="10"/>
      <c r="SIG2196" s="10"/>
      <c r="SIH2196" s="10"/>
      <c r="SII2196" s="10"/>
      <c r="SIJ2196" s="10"/>
      <c r="SIK2196" s="10"/>
      <c r="SIL2196" s="10"/>
      <c r="SIM2196" s="10"/>
      <c r="SIN2196" s="10"/>
      <c r="SIO2196" s="10"/>
      <c r="SIP2196" s="10"/>
      <c r="SIQ2196" s="10"/>
      <c r="SIR2196" s="10"/>
      <c r="SIS2196" s="10"/>
      <c r="SIT2196" s="10"/>
      <c r="SIU2196" s="10"/>
      <c r="SIV2196" s="10"/>
      <c r="SIW2196" s="10"/>
      <c r="SIX2196" s="10"/>
      <c r="SIY2196" s="10"/>
      <c r="SIZ2196" s="10"/>
      <c r="SJA2196" s="10"/>
      <c r="SJB2196" s="10"/>
      <c r="SJC2196" s="10"/>
      <c r="SJD2196" s="10"/>
      <c r="SJE2196" s="10"/>
      <c r="SJF2196" s="10"/>
      <c r="SJG2196" s="10"/>
      <c r="SJH2196" s="10"/>
      <c r="SJI2196" s="10"/>
      <c r="SJJ2196" s="10"/>
      <c r="SJK2196" s="10"/>
      <c r="SJL2196" s="10"/>
      <c r="SJM2196" s="10"/>
      <c r="SJN2196" s="10"/>
      <c r="SJO2196" s="10"/>
      <c r="SJP2196" s="10"/>
      <c r="SJQ2196" s="10"/>
      <c r="SJR2196" s="10"/>
      <c r="SJS2196" s="10"/>
      <c r="SJT2196" s="10"/>
      <c r="SJU2196" s="10"/>
      <c r="SJV2196" s="10"/>
      <c r="SJW2196" s="10"/>
      <c r="SJX2196" s="10"/>
      <c r="SJY2196" s="10"/>
      <c r="SJZ2196" s="10"/>
      <c r="SKA2196" s="10"/>
      <c r="SKB2196" s="10"/>
      <c r="SKC2196" s="10"/>
      <c r="SKD2196" s="10"/>
      <c r="SKE2196" s="10"/>
      <c r="SKF2196" s="10"/>
      <c r="SKG2196" s="10"/>
      <c r="SKH2196" s="10"/>
      <c r="SKI2196" s="10"/>
      <c r="SKJ2196" s="10"/>
      <c r="SKK2196" s="10"/>
      <c r="SKL2196" s="10"/>
      <c r="SKM2196" s="10"/>
      <c r="SKN2196" s="10"/>
      <c r="SKO2196" s="10"/>
      <c r="SKP2196" s="10"/>
      <c r="SKQ2196" s="10"/>
      <c r="SKR2196" s="10"/>
      <c r="SKS2196" s="10"/>
      <c r="SKT2196" s="10"/>
      <c r="SKU2196" s="10"/>
      <c r="SKV2196" s="10"/>
      <c r="SKW2196" s="10"/>
      <c r="SKX2196" s="10"/>
      <c r="SKY2196" s="10"/>
      <c r="SKZ2196" s="10"/>
      <c r="SLA2196" s="10"/>
      <c r="SLB2196" s="10"/>
      <c r="SLC2196" s="10"/>
      <c r="SLD2196" s="10"/>
      <c r="SLE2196" s="10"/>
      <c r="SLF2196" s="10"/>
      <c r="SLG2196" s="10"/>
      <c r="SLH2196" s="10"/>
      <c r="SLI2196" s="10"/>
      <c r="SLJ2196" s="10"/>
      <c r="SLK2196" s="10"/>
      <c r="SLL2196" s="10"/>
      <c r="SLM2196" s="10"/>
      <c r="SLN2196" s="10"/>
      <c r="SLO2196" s="10"/>
      <c r="SLP2196" s="10"/>
      <c r="SLQ2196" s="10"/>
      <c r="SLR2196" s="10"/>
      <c r="SLS2196" s="10"/>
      <c r="SLT2196" s="10"/>
      <c r="SLU2196" s="10"/>
      <c r="SLV2196" s="10"/>
      <c r="SLW2196" s="10"/>
      <c r="SLX2196" s="10"/>
      <c r="SLY2196" s="10"/>
      <c r="SLZ2196" s="10"/>
      <c r="SMA2196" s="10"/>
      <c r="SMB2196" s="10"/>
      <c r="SMC2196" s="10"/>
      <c r="SMD2196" s="10"/>
      <c r="SME2196" s="10"/>
      <c r="SMF2196" s="10"/>
      <c r="SMG2196" s="10"/>
      <c r="SMH2196" s="10"/>
      <c r="SMI2196" s="10"/>
      <c r="SMJ2196" s="10"/>
      <c r="SMK2196" s="10"/>
      <c r="SML2196" s="10"/>
      <c r="SMM2196" s="10"/>
      <c r="SMN2196" s="10"/>
      <c r="SMO2196" s="10"/>
      <c r="SMP2196" s="10"/>
      <c r="SMQ2196" s="10"/>
      <c r="SMR2196" s="10"/>
      <c r="SMS2196" s="10"/>
      <c r="SMT2196" s="10"/>
      <c r="SMU2196" s="10"/>
      <c r="SMV2196" s="10"/>
      <c r="SMW2196" s="10"/>
      <c r="SMX2196" s="10"/>
      <c r="SMY2196" s="10"/>
      <c r="SMZ2196" s="10"/>
      <c r="SNA2196" s="10"/>
      <c r="SNB2196" s="10"/>
      <c r="SNC2196" s="10"/>
      <c r="SND2196" s="10"/>
      <c r="SNE2196" s="10"/>
      <c r="SNF2196" s="10"/>
      <c r="SNG2196" s="10"/>
      <c r="SNH2196" s="10"/>
      <c r="SNI2196" s="10"/>
      <c r="SNJ2196" s="10"/>
      <c r="SNK2196" s="10"/>
      <c r="SNL2196" s="10"/>
      <c r="SNM2196" s="10"/>
      <c r="SNN2196" s="10"/>
      <c r="SNO2196" s="10"/>
      <c r="SNP2196" s="10"/>
      <c r="SNQ2196" s="10"/>
      <c r="SNR2196" s="10"/>
      <c r="SNS2196" s="10"/>
      <c r="SNT2196" s="10"/>
      <c r="SNU2196" s="10"/>
      <c r="SNV2196" s="10"/>
      <c r="SNW2196" s="10"/>
      <c r="SNX2196" s="10"/>
      <c r="SNY2196" s="10"/>
      <c r="SNZ2196" s="10"/>
      <c r="SOA2196" s="10"/>
      <c r="SOB2196" s="10"/>
      <c r="SOC2196" s="10"/>
      <c r="SOD2196" s="10"/>
      <c r="SOE2196" s="10"/>
      <c r="SOF2196" s="10"/>
      <c r="SOG2196" s="10"/>
      <c r="SOH2196" s="10"/>
      <c r="SOI2196" s="10"/>
      <c r="SOJ2196" s="10"/>
      <c r="SOK2196" s="10"/>
      <c r="SOL2196" s="10"/>
      <c r="SOM2196" s="10"/>
      <c r="SON2196" s="10"/>
      <c r="SOO2196" s="10"/>
      <c r="SOP2196" s="10"/>
      <c r="SOQ2196" s="10"/>
      <c r="SOR2196" s="10"/>
      <c r="SOS2196" s="10"/>
      <c r="SOT2196" s="10"/>
      <c r="SOU2196" s="10"/>
      <c r="SOV2196" s="10"/>
      <c r="SOW2196" s="10"/>
      <c r="SOX2196" s="10"/>
      <c r="SOY2196" s="10"/>
      <c r="SOZ2196" s="10"/>
      <c r="SPA2196" s="10"/>
      <c r="SPB2196" s="10"/>
      <c r="SPC2196" s="10"/>
      <c r="SPD2196" s="10"/>
      <c r="SPE2196" s="10"/>
      <c r="SPF2196" s="10"/>
      <c r="SPG2196" s="10"/>
      <c r="SPH2196" s="10"/>
      <c r="SPI2196" s="10"/>
      <c r="SPJ2196" s="10"/>
      <c r="SPK2196" s="10"/>
      <c r="SPL2196" s="10"/>
      <c r="SPM2196" s="10"/>
      <c r="SPN2196" s="10"/>
      <c r="SPO2196" s="10"/>
      <c r="SPP2196" s="10"/>
      <c r="SPQ2196" s="10"/>
      <c r="SPR2196" s="10"/>
      <c r="SPS2196" s="10"/>
      <c r="SPT2196" s="10"/>
      <c r="SPU2196" s="10"/>
      <c r="SPV2196" s="10"/>
      <c r="SPW2196" s="10"/>
      <c r="SPX2196" s="10"/>
      <c r="SPY2196" s="10"/>
      <c r="SPZ2196" s="10"/>
      <c r="SQA2196" s="10"/>
      <c r="SQB2196" s="10"/>
      <c r="SQC2196" s="10"/>
      <c r="SQD2196" s="10"/>
      <c r="SQE2196" s="10"/>
      <c r="SQF2196" s="10"/>
      <c r="SQG2196" s="10"/>
      <c r="SQH2196" s="10"/>
      <c r="SQI2196" s="10"/>
      <c r="SQJ2196" s="10"/>
      <c r="SQK2196" s="10"/>
      <c r="SQL2196" s="10"/>
      <c r="SQM2196" s="10"/>
      <c r="SQN2196" s="10"/>
      <c r="SQO2196" s="10"/>
      <c r="SQP2196" s="10"/>
      <c r="SQQ2196" s="10"/>
      <c r="SQR2196" s="10"/>
      <c r="SQS2196" s="10"/>
      <c r="SQT2196" s="10"/>
      <c r="SQU2196" s="10"/>
      <c r="SQV2196" s="10"/>
      <c r="SQW2196" s="10"/>
      <c r="SQX2196" s="10"/>
      <c r="SQY2196" s="10"/>
      <c r="SQZ2196" s="10"/>
      <c r="SRA2196" s="10"/>
      <c r="SRB2196" s="10"/>
      <c r="SRC2196" s="10"/>
      <c r="SRD2196" s="10"/>
      <c r="SRE2196" s="10"/>
      <c r="SRF2196" s="10"/>
      <c r="SRG2196" s="10"/>
      <c r="SRH2196" s="10"/>
      <c r="SRI2196" s="10"/>
      <c r="SRJ2196" s="10"/>
      <c r="SRK2196" s="10"/>
      <c r="SRL2196" s="10"/>
      <c r="SRM2196" s="10"/>
      <c r="SRN2196" s="10"/>
      <c r="SRO2196" s="10"/>
      <c r="SRP2196" s="10"/>
      <c r="SRQ2196" s="10"/>
      <c r="SRR2196" s="10"/>
      <c r="SRS2196" s="10"/>
      <c r="SRT2196" s="10"/>
      <c r="SRU2196" s="10"/>
      <c r="SRV2196" s="10"/>
      <c r="SRW2196" s="10"/>
      <c r="SRX2196" s="10"/>
      <c r="SRY2196" s="10"/>
      <c r="SRZ2196" s="10"/>
      <c r="SSA2196" s="10"/>
      <c r="SSB2196" s="10"/>
      <c r="SSC2196" s="10"/>
      <c r="SSD2196" s="10"/>
      <c r="SSE2196" s="10"/>
      <c r="SSF2196" s="10"/>
      <c r="SSG2196" s="10"/>
      <c r="SSH2196" s="10"/>
      <c r="SSI2196" s="10"/>
      <c r="SSJ2196" s="10"/>
      <c r="SSK2196" s="10"/>
      <c r="SSL2196" s="10"/>
      <c r="SSM2196" s="10"/>
      <c r="SSN2196" s="10"/>
      <c r="SSO2196" s="10"/>
      <c r="SSP2196" s="10"/>
      <c r="SSQ2196" s="10"/>
      <c r="SSR2196" s="10"/>
      <c r="SSS2196" s="10"/>
      <c r="SST2196" s="10"/>
      <c r="SSU2196" s="10"/>
      <c r="SSV2196" s="10"/>
      <c r="SSW2196" s="10"/>
      <c r="SSX2196" s="10"/>
      <c r="SSY2196" s="10"/>
      <c r="SSZ2196" s="10"/>
      <c r="STA2196" s="10"/>
      <c r="STB2196" s="10"/>
      <c r="STC2196" s="10"/>
      <c r="STD2196" s="10"/>
      <c r="STE2196" s="10"/>
      <c r="STF2196" s="10"/>
      <c r="STG2196" s="10"/>
      <c r="STH2196" s="10"/>
      <c r="STI2196" s="10"/>
      <c r="STJ2196" s="10"/>
      <c r="STK2196" s="10"/>
      <c r="STL2196" s="10"/>
      <c r="STM2196" s="10"/>
      <c r="STN2196" s="10"/>
      <c r="STO2196" s="10"/>
      <c r="STP2196" s="10"/>
      <c r="STQ2196" s="10"/>
      <c r="STR2196" s="10"/>
      <c r="STS2196" s="10"/>
      <c r="STT2196" s="10"/>
      <c r="STU2196" s="10"/>
      <c r="STV2196" s="10"/>
      <c r="STW2196" s="10"/>
      <c r="STX2196" s="10"/>
      <c r="STY2196" s="10"/>
      <c r="STZ2196" s="10"/>
      <c r="SUA2196" s="10"/>
      <c r="SUB2196" s="10"/>
      <c r="SUC2196" s="10"/>
      <c r="SUD2196" s="10"/>
      <c r="SUE2196" s="10"/>
      <c r="SUF2196" s="10"/>
      <c r="SUG2196" s="10"/>
      <c r="SUH2196" s="10"/>
      <c r="SUI2196" s="10"/>
      <c r="SUJ2196" s="10"/>
      <c r="SUK2196" s="10"/>
      <c r="SUL2196" s="10"/>
      <c r="SUM2196" s="10"/>
      <c r="SUN2196" s="10"/>
      <c r="SUO2196" s="10"/>
      <c r="SUP2196" s="10"/>
      <c r="SUQ2196" s="10"/>
      <c r="SUR2196" s="10"/>
      <c r="SUS2196" s="10"/>
      <c r="SUT2196" s="10"/>
      <c r="SUU2196" s="10"/>
      <c r="SUV2196" s="10"/>
      <c r="SUW2196" s="10"/>
      <c r="SUX2196" s="10"/>
      <c r="SUY2196" s="10"/>
      <c r="SUZ2196" s="10"/>
      <c r="SVA2196" s="10"/>
      <c r="SVB2196" s="10"/>
      <c r="SVC2196" s="10"/>
      <c r="SVD2196" s="10"/>
      <c r="SVE2196" s="10"/>
      <c r="SVF2196" s="10"/>
      <c r="SVG2196" s="10"/>
      <c r="SVH2196" s="10"/>
      <c r="SVI2196" s="10"/>
      <c r="SVJ2196" s="10"/>
      <c r="SVK2196" s="10"/>
      <c r="SVL2196" s="10"/>
      <c r="SVM2196" s="10"/>
      <c r="SVN2196" s="10"/>
      <c r="SVO2196" s="10"/>
      <c r="SVP2196" s="10"/>
      <c r="SVQ2196" s="10"/>
      <c r="SVR2196" s="10"/>
      <c r="SVS2196" s="10"/>
      <c r="SVT2196" s="10"/>
      <c r="SVU2196" s="10"/>
      <c r="SVV2196" s="10"/>
      <c r="SVW2196" s="10"/>
      <c r="SVX2196" s="10"/>
      <c r="SVY2196" s="10"/>
      <c r="SVZ2196" s="10"/>
      <c r="SWA2196" s="10"/>
      <c r="SWB2196" s="10"/>
      <c r="SWC2196" s="10"/>
      <c r="SWD2196" s="10"/>
      <c r="SWE2196" s="10"/>
      <c r="SWF2196" s="10"/>
      <c r="SWG2196" s="10"/>
      <c r="SWH2196" s="10"/>
      <c r="SWI2196" s="10"/>
      <c r="SWJ2196" s="10"/>
      <c r="SWK2196" s="10"/>
      <c r="SWL2196" s="10"/>
      <c r="SWM2196" s="10"/>
      <c r="SWN2196" s="10"/>
      <c r="SWO2196" s="10"/>
      <c r="SWP2196" s="10"/>
      <c r="SWQ2196" s="10"/>
      <c r="SWR2196" s="10"/>
      <c r="SWS2196" s="10"/>
      <c r="SWT2196" s="10"/>
      <c r="SWU2196" s="10"/>
      <c r="SWV2196" s="10"/>
      <c r="SWW2196" s="10"/>
      <c r="SWX2196" s="10"/>
      <c r="SWY2196" s="10"/>
      <c r="SWZ2196" s="10"/>
      <c r="SXA2196" s="10"/>
      <c r="SXB2196" s="10"/>
      <c r="SXC2196" s="10"/>
      <c r="SXD2196" s="10"/>
      <c r="SXE2196" s="10"/>
      <c r="SXF2196" s="10"/>
      <c r="SXG2196" s="10"/>
      <c r="SXH2196" s="10"/>
      <c r="SXI2196" s="10"/>
      <c r="SXJ2196" s="10"/>
      <c r="SXK2196" s="10"/>
      <c r="SXL2196" s="10"/>
      <c r="SXM2196" s="10"/>
      <c r="SXN2196" s="10"/>
      <c r="SXO2196" s="10"/>
      <c r="SXP2196" s="10"/>
      <c r="SXQ2196" s="10"/>
      <c r="SXR2196" s="10"/>
      <c r="SXS2196" s="10"/>
      <c r="SXT2196" s="10"/>
      <c r="SXU2196" s="10"/>
      <c r="SXV2196" s="10"/>
      <c r="SXW2196" s="10"/>
      <c r="SXX2196" s="10"/>
      <c r="SXY2196" s="10"/>
      <c r="SXZ2196" s="10"/>
      <c r="SYA2196" s="10"/>
      <c r="SYB2196" s="10"/>
      <c r="SYC2196" s="10"/>
      <c r="SYD2196" s="10"/>
      <c r="SYE2196" s="10"/>
      <c r="SYF2196" s="10"/>
      <c r="SYG2196" s="10"/>
      <c r="SYH2196" s="10"/>
      <c r="SYI2196" s="10"/>
      <c r="SYJ2196" s="10"/>
      <c r="SYK2196" s="10"/>
      <c r="SYL2196" s="10"/>
      <c r="SYM2196" s="10"/>
      <c r="SYN2196" s="10"/>
      <c r="SYO2196" s="10"/>
      <c r="SYP2196" s="10"/>
      <c r="SYQ2196" s="10"/>
      <c r="SYR2196" s="10"/>
      <c r="SYS2196" s="10"/>
      <c r="SYT2196" s="10"/>
      <c r="SYU2196" s="10"/>
      <c r="SYV2196" s="10"/>
      <c r="SYW2196" s="10"/>
      <c r="SYX2196" s="10"/>
      <c r="SYY2196" s="10"/>
      <c r="SYZ2196" s="10"/>
      <c r="SZA2196" s="10"/>
      <c r="SZB2196" s="10"/>
      <c r="SZC2196" s="10"/>
      <c r="SZD2196" s="10"/>
      <c r="SZE2196" s="10"/>
      <c r="SZF2196" s="10"/>
      <c r="SZG2196" s="10"/>
      <c r="SZH2196" s="10"/>
      <c r="SZI2196" s="10"/>
      <c r="SZJ2196" s="10"/>
      <c r="SZK2196" s="10"/>
      <c r="SZL2196" s="10"/>
      <c r="SZM2196" s="10"/>
      <c r="SZN2196" s="10"/>
      <c r="SZO2196" s="10"/>
      <c r="SZP2196" s="10"/>
      <c r="SZQ2196" s="10"/>
      <c r="SZR2196" s="10"/>
      <c r="SZS2196" s="10"/>
      <c r="SZT2196" s="10"/>
      <c r="SZU2196" s="10"/>
      <c r="SZV2196" s="10"/>
      <c r="SZW2196" s="10"/>
      <c r="SZX2196" s="10"/>
      <c r="SZY2196" s="10"/>
      <c r="SZZ2196" s="10"/>
      <c r="TAA2196" s="10"/>
      <c r="TAB2196" s="10"/>
      <c r="TAC2196" s="10"/>
      <c r="TAD2196" s="10"/>
      <c r="TAE2196" s="10"/>
      <c r="TAF2196" s="10"/>
      <c r="TAG2196" s="10"/>
      <c r="TAH2196" s="10"/>
      <c r="TAI2196" s="10"/>
      <c r="TAJ2196" s="10"/>
      <c r="TAK2196" s="10"/>
      <c r="TAL2196" s="10"/>
      <c r="TAM2196" s="10"/>
      <c r="TAN2196" s="10"/>
      <c r="TAO2196" s="10"/>
      <c r="TAP2196" s="10"/>
      <c r="TAQ2196" s="10"/>
      <c r="TAR2196" s="10"/>
      <c r="TAS2196" s="10"/>
      <c r="TAT2196" s="10"/>
      <c r="TAU2196" s="10"/>
      <c r="TAV2196" s="10"/>
      <c r="TAW2196" s="10"/>
      <c r="TAX2196" s="10"/>
      <c r="TAY2196" s="10"/>
      <c r="TAZ2196" s="10"/>
      <c r="TBA2196" s="10"/>
      <c r="TBB2196" s="10"/>
      <c r="TBC2196" s="10"/>
      <c r="TBD2196" s="10"/>
      <c r="TBE2196" s="10"/>
      <c r="TBF2196" s="10"/>
      <c r="TBG2196" s="10"/>
      <c r="TBH2196" s="10"/>
      <c r="TBI2196" s="10"/>
      <c r="TBJ2196" s="10"/>
      <c r="TBK2196" s="10"/>
      <c r="TBL2196" s="10"/>
      <c r="TBM2196" s="10"/>
      <c r="TBN2196" s="10"/>
      <c r="TBO2196" s="10"/>
      <c r="TBP2196" s="10"/>
      <c r="TBQ2196" s="10"/>
      <c r="TBR2196" s="10"/>
      <c r="TBS2196" s="10"/>
      <c r="TBT2196" s="10"/>
      <c r="TBU2196" s="10"/>
      <c r="TBV2196" s="10"/>
      <c r="TBW2196" s="10"/>
      <c r="TBX2196" s="10"/>
      <c r="TBY2196" s="10"/>
      <c r="TBZ2196" s="10"/>
      <c r="TCA2196" s="10"/>
      <c r="TCB2196" s="10"/>
      <c r="TCC2196" s="10"/>
      <c r="TCD2196" s="10"/>
      <c r="TCE2196" s="10"/>
      <c r="TCF2196" s="10"/>
      <c r="TCG2196" s="10"/>
      <c r="TCH2196" s="10"/>
      <c r="TCI2196" s="10"/>
      <c r="TCJ2196" s="10"/>
      <c r="TCK2196" s="10"/>
      <c r="TCL2196" s="10"/>
      <c r="TCM2196" s="10"/>
      <c r="TCN2196" s="10"/>
      <c r="TCO2196" s="10"/>
      <c r="TCP2196" s="10"/>
      <c r="TCQ2196" s="10"/>
      <c r="TCR2196" s="10"/>
      <c r="TCS2196" s="10"/>
      <c r="TCT2196" s="10"/>
      <c r="TCU2196" s="10"/>
      <c r="TCV2196" s="10"/>
      <c r="TCW2196" s="10"/>
      <c r="TCX2196" s="10"/>
      <c r="TCY2196" s="10"/>
      <c r="TCZ2196" s="10"/>
      <c r="TDA2196" s="10"/>
      <c r="TDB2196" s="10"/>
      <c r="TDC2196" s="10"/>
      <c r="TDD2196" s="10"/>
      <c r="TDE2196" s="10"/>
      <c r="TDF2196" s="10"/>
      <c r="TDG2196" s="10"/>
      <c r="TDH2196" s="10"/>
      <c r="TDI2196" s="10"/>
      <c r="TDJ2196" s="10"/>
      <c r="TDK2196" s="10"/>
      <c r="TDL2196" s="10"/>
      <c r="TDM2196" s="10"/>
      <c r="TDN2196" s="10"/>
      <c r="TDO2196" s="10"/>
      <c r="TDP2196" s="10"/>
      <c r="TDQ2196" s="10"/>
      <c r="TDR2196" s="10"/>
      <c r="TDS2196" s="10"/>
      <c r="TDT2196" s="10"/>
      <c r="TDU2196" s="10"/>
      <c r="TDV2196" s="10"/>
      <c r="TDW2196" s="10"/>
      <c r="TDX2196" s="10"/>
      <c r="TDY2196" s="10"/>
      <c r="TDZ2196" s="10"/>
      <c r="TEA2196" s="10"/>
      <c r="TEB2196" s="10"/>
      <c r="TEC2196" s="10"/>
      <c r="TED2196" s="10"/>
      <c r="TEE2196" s="10"/>
      <c r="TEF2196" s="10"/>
      <c r="TEG2196" s="10"/>
      <c r="TEH2196" s="10"/>
      <c r="TEI2196" s="10"/>
      <c r="TEJ2196" s="10"/>
      <c r="TEK2196" s="10"/>
      <c r="TEL2196" s="10"/>
      <c r="TEM2196" s="10"/>
      <c r="TEN2196" s="10"/>
      <c r="TEO2196" s="10"/>
      <c r="TEP2196" s="10"/>
      <c r="TEQ2196" s="10"/>
      <c r="TER2196" s="10"/>
      <c r="TES2196" s="10"/>
      <c r="TET2196" s="10"/>
      <c r="TEU2196" s="10"/>
      <c r="TEV2196" s="10"/>
      <c r="TEW2196" s="10"/>
      <c r="TEX2196" s="10"/>
      <c r="TEY2196" s="10"/>
      <c r="TEZ2196" s="10"/>
      <c r="TFA2196" s="10"/>
      <c r="TFB2196" s="10"/>
      <c r="TFC2196" s="10"/>
      <c r="TFD2196" s="10"/>
      <c r="TFE2196" s="10"/>
      <c r="TFF2196" s="10"/>
      <c r="TFG2196" s="10"/>
      <c r="TFH2196" s="10"/>
      <c r="TFI2196" s="10"/>
      <c r="TFJ2196" s="10"/>
      <c r="TFK2196" s="10"/>
      <c r="TFL2196" s="10"/>
      <c r="TFM2196" s="10"/>
      <c r="TFN2196" s="10"/>
      <c r="TFO2196" s="10"/>
      <c r="TFP2196" s="10"/>
      <c r="TFQ2196" s="10"/>
      <c r="TFR2196" s="10"/>
      <c r="TFS2196" s="10"/>
      <c r="TFT2196" s="10"/>
      <c r="TFU2196" s="10"/>
      <c r="TFV2196" s="10"/>
      <c r="TFW2196" s="10"/>
      <c r="TFX2196" s="10"/>
      <c r="TFY2196" s="10"/>
      <c r="TFZ2196" s="10"/>
      <c r="TGA2196" s="10"/>
      <c r="TGB2196" s="10"/>
      <c r="TGC2196" s="10"/>
      <c r="TGD2196" s="10"/>
      <c r="TGE2196" s="10"/>
      <c r="TGF2196" s="10"/>
      <c r="TGG2196" s="10"/>
      <c r="TGH2196" s="10"/>
      <c r="TGI2196" s="10"/>
      <c r="TGJ2196" s="10"/>
      <c r="TGK2196" s="10"/>
      <c r="TGL2196" s="10"/>
      <c r="TGM2196" s="10"/>
      <c r="TGN2196" s="10"/>
      <c r="TGO2196" s="10"/>
      <c r="TGP2196" s="10"/>
      <c r="TGQ2196" s="10"/>
      <c r="TGR2196" s="10"/>
      <c r="TGS2196" s="10"/>
      <c r="TGT2196" s="10"/>
      <c r="TGU2196" s="10"/>
      <c r="TGV2196" s="10"/>
      <c r="TGW2196" s="10"/>
      <c r="TGX2196" s="10"/>
      <c r="TGY2196" s="10"/>
      <c r="TGZ2196" s="10"/>
      <c r="THA2196" s="10"/>
      <c r="THB2196" s="10"/>
      <c r="THC2196" s="10"/>
      <c r="THD2196" s="10"/>
      <c r="THE2196" s="10"/>
      <c r="THF2196" s="10"/>
      <c r="THG2196" s="10"/>
      <c r="THH2196" s="10"/>
      <c r="THI2196" s="10"/>
      <c r="THJ2196" s="10"/>
      <c r="THK2196" s="10"/>
      <c r="THL2196" s="10"/>
      <c r="THM2196" s="10"/>
      <c r="THN2196" s="10"/>
      <c r="THO2196" s="10"/>
      <c r="THP2196" s="10"/>
      <c r="THQ2196" s="10"/>
      <c r="THR2196" s="10"/>
      <c r="THS2196" s="10"/>
      <c r="THT2196" s="10"/>
      <c r="THU2196" s="10"/>
      <c r="THV2196" s="10"/>
      <c r="THW2196" s="10"/>
      <c r="THX2196" s="10"/>
      <c r="THY2196" s="10"/>
      <c r="THZ2196" s="10"/>
      <c r="TIA2196" s="10"/>
      <c r="TIB2196" s="10"/>
      <c r="TIC2196" s="10"/>
      <c r="TID2196" s="10"/>
      <c r="TIE2196" s="10"/>
      <c r="TIF2196" s="10"/>
      <c r="TIG2196" s="10"/>
      <c r="TIH2196" s="10"/>
      <c r="TII2196" s="10"/>
      <c r="TIJ2196" s="10"/>
      <c r="TIK2196" s="10"/>
      <c r="TIL2196" s="10"/>
      <c r="TIM2196" s="10"/>
      <c r="TIN2196" s="10"/>
      <c r="TIO2196" s="10"/>
      <c r="TIP2196" s="10"/>
      <c r="TIQ2196" s="10"/>
      <c r="TIR2196" s="10"/>
      <c r="TIS2196" s="10"/>
      <c r="TIT2196" s="10"/>
      <c r="TIU2196" s="10"/>
      <c r="TIV2196" s="10"/>
      <c r="TIW2196" s="10"/>
      <c r="TIX2196" s="10"/>
      <c r="TIY2196" s="10"/>
      <c r="TIZ2196" s="10"/>
      <c r="TJA2196" s="10"/>
      <c r="TJB2196" s="10"/>
      <c r="TJC2196" s="10"/>
      <c r="TJD2196" s="10"/>
      <c r="TJE2196" s="10"/>
      <c r="TJF2196" s="10"/>
      <c r="TJG2196" s="10"/>
      <c r="TJH2196" s="10"/>
      <c r="TJI2196" s="10"/>
      <c r="TJJ2196" s="10"/>
      <c r="TJK2196" s="10"/>
      <c r="TJL2196" s="10"/>
      <c r="TJM2196" s="10"/>
      <c r="TJN2196" s="10"/>
      <c r="TJO2196" s="10"/>
      <c r="TJP2196" s="10"/>
      <c r="TJQ2196" s="10"/>
      <c r="TJR2196" s="10"/>
      <c r="TJS2196" s="10"/>
      <c r="TJT2196" s="10"/>
      <c r="TJU2196" s="10"/>
      <c r="TJV2196" s="10"/>
      <c r="TJW2196" s="10"/>
      <c r="TJX2196" s="10"/>
      <c r="TJY2196" s="10"/>
      <c r="TJZ2196" s="10"/>
      <c r="TKA2196" s="10"/>
      <c r="TKB2196" s="10"/>
      <c r="TKC2196" s="10"/>
      <c r="TKD2196" s="10"/>
      <c r="TKE2196" s="10"/>
      <c r="TKF2196" s="10"/>
      <c r="TKG2196" s="10"/>
      <c r="TKH2196" s="10"/>
      <c r="TKI2196" s="10"/>
      <c r="TKJ2196" s="10"/>
      <c r="TKK2196" s="10"/>
      <c r="TKL2196" s="10"/>
      <c r="TKM2196" s="10"/>
      <c r="TKN2196" s="10"/>
      <c r="TKO2196" s="10"/>
      <c r="TKP2196" s="10"/>
      <c r="TKQ2196" s="10"/>
      <c r="TKR2196" s="10"/>
      <c r="TKS2196" s="10"/>
      <c r="TKT2196" s="10"/>
      <c r="TKU2196" s="10"/>
      <c r="TKV2196" s="10"/>
      <c r="TKW2196" s="10"/>
      <c r="TKX2196" s="10"/>
      <c r="TKY2196" s="10"/>
      <c r="TKZ2196" s="10"/>
      <c r="TLA2196" s="10"/>
      <c r="TLB2196" s="10"/>
      <c r="TLC2196" s="10"/>
      <c r="TLD2196" s="10"/>
      <c r="TLE2196" s="10"/>
      <c r="TLF2196" s="10"/>
      <c r="TLG2196" s="10"/>
      <c r="TLH2196" s="10"/>
      <c r="TLI2196" s="10"/>
      <c r="TLJ2196" s="10"/>
      <c r="TLK2196" s="10"/>
      <c r="TLL2196" s="10"/>
      <c r="TLM2196" s="10"/>
      <c r="TLN2196" s="10"/>
      <c r="TLO2196" s="10"/>
      <c r="TLP2196" s="10"/>
      <c r="TLQ2196" s="10"/>
      <c r="TLR2196" s="10"/>
      <c r="TLS2196" s="10"/>
      <c r="TLT2196" s="10"/>
      <c r="TLU2196" s="10"/>
      <c r="TLV2196" s="10"/>
      <c r="TLW2196" s="10"/>
      <c r="TLX2196" s="10"/>
      <c r="TLY2196" s="10"/>
      <c r="TLZ2196" s="10"/>
      <c r="TMA2196" s="10"/>
      <c r="TMB2196" s="10"/>
      <c r="TMC2196" s="10"/>
      <c r="TMD2196" s="10"/>
      <c r="TME2196" s="10"/>
      <c r="TMF2196" s="10"/>
      <c r="TMG2196" s="10"/>
      <c r="TMH2196" s="10"/>
      <c r="TMI2196" s="10"/>
      <c r="TMJ2196" s="10"/>
      <c r="TMK2196" s="10"/>
      <c r="TML2196" s="10"/>
      <c r="TMM2196" s="10"/>
      <c r="TMN2196" s="10"/>
      <c r="TMO2196" s="10"/>
      <c r="TMP2196" s="10"/>
      <c r="TMQ2196" s="10"/>
      <c r="TMR2196" s="10"/>
      <c r="TMS2196" s="10"/>
      <c r="TMT2196" s="10"/>
      <c r="TMU2196" s="10"/>
      <c r="TMV2196" s="10"/>
      <c r="TMW2196" s="10"/>
      <c r="TMX2196" s="10"/>
      <c r="TMY2196" s="10"/>
      <c r="TMZ2196" s="10"/>
      <c r="TNA2196" s="10"/>
      <c r="TNB2196" s="10"/>
      <c r="TNC2196" s="10"/>
      <c r="TND2196" s="10"/>
      <c r="TNE2196" s="10"/>
      <c r="TNF2196" s="10"/>
      <c r="TNG2196" s="10"/>
      <c r="TNH2196" s="10"/>
      <c r="TNI2196" s="10"/>
      <c r="TNJ2196" s="10"/>
      <c r="TNK2196" s="10"/>
      <c r="TNL2196" s="10"/>
      <c r="TNM2196" s="10"/>
      <c r="TNN2196" s="10"/>
      <c r="TNO2196" s="10"/>
      <c r="TNP2196" s="10"/>
      <c r="TNQ2196" s="10"/>
      <c r="TNR2196" s="10"/>
      <c r="TNS2196" s="10"/>
      <c r="TNT2196" s="10"/>
      <c r="TNU2196" s="10"/>
      <c r="TNV2196" s="10"/>
      <c r="TNW2196" s="10"/>
      <c r="TNX2196" s="10"/>
      <c r="TNY2196" s="10"/>
      <c r="TNZ2196" s="10"/>
      <c r="TOA2196" s="10"/>
      <c r="TOB2196" s="10"/>
      <c r="TOC2196" s="10"/>
      <c r="TOD2196" s="10"/>
      <c r="TOE2196" s="10"/>
      <c r="TOF2196" s="10"/>
      <c r="TOG2196" s="10"/>
      <c r="TOH2196" s="10"/>
      <c r="TOI2196" s="10"/>
      <c r="TOJ2196" s="10"/>
      <c r="TOK2196" s="10"/>
      <c r="TOL2196" s="10"/>
      <c r="TOM2196" s="10"/>
      <c r="TON2196" s="10"/>
      <c r="TOO2196" s="10"/>
      <c r="TOP2196" s="10"/>
      <c r="TOQ2196" s="10"/>
      <c r="TOR2196" s="10"/>
      <c r="TOS2196" s="10"/>
      <c r="TOT2196" s="10"/>
      <c r="TOU2196" s="10"/>
      <c r="TOV2196" s="10"/>
      <c r="TOW2196" s="10"/>
      <c r="TOX2196" s="10"/>
      <c r="TOY2196" s="10"/>
      <c r="TOZ2196" s="10"/>
      <c r="TPA2196" s="10"/>
      <c r="TPB2196" s="10"/>
      <c r="TPC2196" s="10"/>
      <c r="TPD2196" s="10"/>
      <c r="TPE2196" s="10"/>
      <c r="TPF2196" s="10"/>
      <c r="TPG2196" s="10"/>
      <c r="TPH2196" s="10"/>
      <c r="TPI2196" s="10"/>
      <c r="TPJ2196" s="10"/>
      <c r="TPK2196" s="10"/>
      <c r="TPL2196" s="10"/>
      <c r="TPM2196" s="10"/>
      <c r="TPN2196" s="10"/>
      <c r="TPO2196" s="10"/>
      <c r="TPP2196" s="10"/>
      <c r="TPQ2196" s="10"/>
      <c r="TPR2196" s="10"/>
      <c r="TPS2196" s="10"/>
      <c r="TPT2196" s="10"/>
      <c r="TPU2196" s="10"/>
      <c r="TPV2196" s="10"/>
      <c r="TPW2196" s="10"/>
      <c r="TPX2196" s="10"/>
      <c r="TPY2196" s="10"/>
      <c r="TPZ2196" s="10"/>
      <c r="TQA2196" s="10"/>
      <c r="TQB2196" s="10"/>
      <c r="TQC2196" s="10"/>
      <c r="TQD2196" s="10"/>
      <c r="TQE2196" s="10"/>
      <c r="TQF2196" s="10"/>
      <c r="TQG2196" s="10"/>
      <c r="TQH2196" s="10"/>
      <c r="TQI2196" s="10"/>
      <c r="TQJ2196" s="10"/>
      <c r="TQK2196" s="10"/>
      <c r="TQL2196" s="10"/>
      <c r="TQM2196" s="10"/>
      <c r="TQN2196" s="10"/>
      <c r="TQO2196" s="10"/>
      <c r="TQP2196" s="10"/>
      <c r="TQQ2196" s="10"/>
      <c r="TQR2196" s="10"/>
      <c r="TQS2196" s="10"/>
      <c r="TQT2196" s="10"/>
      <c r="TQU2196" s="10"/>
      <c r="TQV2196" s="10"/>
      <c r="TQW2196" s="10"/>
      <c r="TQX2196" s="10"/>
      <c r="TQY2196" s="10"/>
      <c r="TQZ2196" s="10"/>
      <c r="TRA2196" s="10"/>
      <c r="TRB2196" s="10"/>
      <c r="TRC2196" s="10"/>
      <c r="TRD2196" s="10"/>
      <c r="TRE2196" s="10"/>
      <c r="TRF2196" s="10"/>
      <c r="TRG2196" s="10"/>
      <c r="TRH2196" s="10"/>
      <c r="TRI2196" s="10"/>
      <c r="TRJ2196" s="10"/>
      <c r="TRK2196" s="10"/>
      <c r="TRL2196" s="10"/>
      <c r="TRM2196" s="10"/>
      <c r="TRN2196" s="10"/>
      <c r="TRO2196" s="10"/>
      <c r="TRP2196" s="10"/>
      <c r="TRQ2196" s="10"/>
      <c r="TRR2196" s="10"/>
      <c r="TRS2196" s="10"/>
      <c r="TRT2196" s="10"/>
      <c r="TRU2196" s="10"/>
      <c r="TRV2196" s="10"/>
      <c r="TRW2196" s="10"/>
      <c r="TRX2196" s="10"/>
      <c r="TRY2196" s="10"/>
      <c r="TRZ2196" s="10"/>
      <c r="TSA2196" s="10"/>
      <c r="TSB2196" s="10"/>
      <c r="TSC2196" s="10"/>
      <c r="TSD2196" s="10"/>
      <c r="TSE2196" s="10"/>
      <c r="TSF2196" s="10"/>
      <c r="TSG2196" s="10"/>
      <c r="TSH2196" s="10"/>
      <c r="TSI2196" s="10"/>
      <c r="TSJ2196" s="10"/>
      <c r="TSK2196" s="10"/>
      <c r="TSL2196" s="10"/>
      <c r="TSM2196" s="10"/>
      <c r="TSN2196" s="10"/>
      <c r="TSO2196" s="10"/>
      <c r="TSP2196" s="10"/>
      <c r="TSQ2196" s="10"/>
      <c r="TSR2196" s="10"/>
      <c r="TSS2196" s="10"/>
      <c r="TST2196" s="10"/>
      <c r="TSU2196" s="10"/>
      <c r="TSV2196" s="10"/>
      <c r="TSW2196" s="10"/>
      <c r="TSX2196" s="10"/>
      <c r="TSY2196" s="10"/>
      <c r="TSZ2196" s="10"/>
      <c r="TTA2196" s="10"/>
      <c r="TTB2196" s="10"/>
      <c r="TTC2196" s="10"/>
      <c r="TTD2196" s="10"/>
      <c r="TTE2196" s="10"/>
      <c r="TTF2196" s="10"/>
      <c r="TTG2196" s="10"/>
      <c r="TTH2196" s="10"/>
      <c r="TTI2196" s="10"/>
      <c r="TTJ2196" s="10"/>
      <c r="TTK2196" s="10"/>
      <c r="TTL2196" s="10"/>
      <c r="TTM2196" s="10"/>
      <c r="TTN2196" s="10"/>
      <c r="TTO2196" s="10"/>
      <c r="TTP2196" s="10"/>
      <c r="TTQ2196" s="10"/>
      <c r="TTR2196" s="10"/>
      <c r="TTS2196" s="10"/>
      <c r="TTT2196" s="10"/>
      <c r="TTU2196" s="10"/>
      <c r="TTV2196" s="10"/>
      <c r="TTW2196" s="10"/>
      <c r="TTX2196" s="10"/>
      <c r="TTY2196" s="10"/>
      <c r="TTZ2196" s="10"/>
      <c r="TUA2196" s="10"/>
      <c r="TUB2196" s="10"/>
      <c r="TUC2196" s="10"/>
      <c r="TUD2196" s="10"/>
      <c r="TUE2196" s="10"/>
      <c r="TUF2196" s="10"/>
      <c r="TUG2196" s="10"/>
      <c r="TUH2196" s="10"/>
      <c r="TUI2196" s="10"/>
      <c r="TUJ2196" s="10"/>
      <c r="TUK2196" s="10"/>
      <c r="TUL2196" s="10"/>
      <c r="TUM2196" s="10"/>
      <c r="TUN2196" s="10"/>
      <c r="TUO2196" s="10"/>
      <c r="TUP2196" s="10"/>
      <c r="TUQ2196" s="10"/>
      <c r="TUR2196" s="10"/>
      <c r="TUS2196" s="10"/>
      <c r="TUT2196" s="10"/>
      <c r="TUU2196" s="10"/>
      <c r="TUV2196" s="10"/>
      <c r="TUW2196" s="10"/>
      <c r="TUX2196" s="10"/>
      <c r="TUY2196" s="10"/>
      <c r="TUZ2196" s="10"/>
      <c r="TVA2196" s="10"/>
      <c r="TVB2196" s="10"/>
      <c r="TVC2196" s="10"/>
      <c r="TVD2196" s="10"/>
      <c r="TVE2196" s="10"/>
      <c r="TVF2196" s="10"/>
      <c r="TVG2196" s="10"/>
      <c r="TVH2196" s="10"/>
      <c r="TVI2196" s="10"/>
      <c r="TVJ2196" s="10"/>
      <c r="TVK2196" s="10"/>
      <c r="TVL2196" s="10"/>
      <c r="TVM2196" s="10"/>
      <c r="TVN2196" s="10"/>
      <c r="TVO2196" s="10"/>
      <c r="TVP2196" s="10"/>
      <c r="TVQ2196" s="10"/>
      <c r="TVR2196" s="10"/>
      <c r="TVS2196" s="10"/>
      <c r="TVT2196" s="10"/>
      <c r="TVU2196" s="10"/>
      <c r="TVV2196" s="10"/>
      <c r="TVW2196" s="10"/>
      <c r="TVX2196" s="10"/>
      <c r="TVY2196" s="10"/>
      <c r="TVZ2196" s="10"/>
      <c r="TWA2196" s="10"/>
      <c r="TWB2196" s="10"/>
      <c r="TWC2196" s="10"/>
      <c r="TWD2196" s="10"/>
      <c r="TWE2196" s="10"/>
      <c r="TWF2196" s="10"/>
      <c r="TWG2196" s="10"/>
      <c r="TWH2196" s="10"/>
      <c r="TWI2196" s="10"/>
      <c r="TWJ2196" s="10"/>
      <c r="TWK2196" s="10"/>
      <c r="TWL2196" s="10"/>
      <c r="TWM2196" s="10"/>
      <c r="TWN2196" s="10"/>
      <c r="TWO2196" s="10"/>
      <c r="TWP2196" s="10"/>
      <c r="TWQ2196" s="10"/>
      <c r="TWR2196" s="10"/>
      <c r="TWS2196" s="10"/>
      <c r="TWT2196" s="10"/>
      <c r="TWU2196" s="10"/>
      <c r="TWV2196" s="10"/>
      <c r="TWW2196" s="10"/>
      <c r="TWX2196" s="10"/>
      <c r="TWY2196" s="10"/>
      <c r="TWZ2196" s="10"/>
      <c r="TXA2196" s="10"/>
      <c r="TXB2196" s="10"/>
      <c r="TXC2196" s="10"/>
      <c r="TXD2196" s="10"/>
      <c r="TXE2196" s="10"/>
      <c r="TXF2196" s="10"/>
      <c r="TXG2196" s="10"/>
      <c r="TXH2196" s="10"/>
      <c r="TXI2196" s="10"/>
      <c r="TXJ2196" s="10"/>
      <c r="TXK2196" s="10"/>
      <c r="TXL2196" s="10"/>
      <c r="TXM2196" s="10"/>
      <c r="TXN2196" s="10"/>
      <c r="TXO2196" s="10"/>
      <c r="TXP2196" s="10"/>
      <c r="TXQ2196" s="10"/>
      <c r="TXR2196" s="10"/>
      <c r="TXS2196" s="10"/>
      <c r="TXT2196" s="10"/>
      <c r="TXU2196" s="10"/>
      <c r="TXV2196" s="10"/>
      <c r="TXW2196" s="10"/>
      <c r="TXX2196" s="10"/>
      <c r="TXY2196" s="10"/>
      <c r="TXZ2196" s="10"/>
      <c r="TYA2196" s="10"/>
      <c r="TYB2196" s="10"/>
      <c r="TYC2196" s="10"/>
      <c r="TYD2196" s="10"/>
      <c r="TYE2196" s="10"/>
      <c r="TYF2196" s="10"/>
      <c r="TYG2196" s="10"/>
      <c r="TYH2196" s="10"/>
      <c r="TYI2196" s="10"/>
      <c r="TYJ2196" s="10"/>
      <c r="TYK2196" s="10"/>
      <c r="TYL2196" s="10"/>
      <c r="TYM2196" s="10"/>
      <c r="TYN2196" s="10"/>
      <c r="TYO2196" s="10"/>
      <c r="TYP2196" s="10"/>
      <c r="TYQ2196" s="10"/>
      <c r="TYR2196" s="10"/>
      <c r="TYS2196" s="10"/>
      <c r="TYT2196" s="10"/>
      <c r="TYU2196" s="10"/>
      <c r="TYV2196" s="10"/>
      <c r="TYW2196" s="10"/>
      <c r="TYX2196" s="10"/>
      <c r="TYY2196" s="10"/>
      <c r="TYZ2196" s="10"/>
      <c r="TZA2196" s="10"/>
      <c r="TZB2196" s="10"/>
      <c r="TZC2196" s="10"/>
      <c r="TZD2196" s="10"/>
      <c r="TZE2196" s="10"/>
      <c r="TZF2196" s="10"/>
      <c r="TZG2196" s="10"/>
      <c r="TZH2196" s="10"/>
      <c r="TZI2196" s="10"/>
      <c r="TZJ2196" s="10"/>
      <c r="TZK2196" s="10"/>
      <c r="TZL2196" s="10"/>
      <c r="TZM2196" s="10"/>
      <c r="TZN2196" s="10"/>
      <c r="TZO2196" s="10"/>
      <c r="TZP2196" s="10"/>
      <c r="TZQ2196" s="10"/>
      <c r="TZR2196" s="10"/>
      <c r="TZS2196" s="10"/>
      <c r="TZT2196" s="10"/>
      <c r="TZU2196" s="10"/>
      <c r="TZV2196" s="10"/>
      <c r="TZW2196" s="10"/>
      <c r="TZX2196" s="10"/>
      <c r="TZY2196" s="10"/>
      <c r="TZZ2196" s="10"/>
      <c r="UAA2196" s="10"/>
      <c r="UAB2196" s="10"/>
      <c r="UAC2196" s="10"/>
      <c r="UAD2196" s="10"/>
      <c r="UAE2196" s="10"/>
      <c r="UAF2196" s="10"/>
      <c r="UAG2196" s="10"/>
      <c r="UAH2196" s="10"/>
      <c r="UAI2196" s="10"/>
      <c r="UAJ2196" s="10"/>
      <c r="UAK2196" s="10"/>
      <c r="UAL2196" s="10"/>
      <c r="UAM2196" s="10"/>
      <c r="UAN2196" s="10"/>
      <c r="UAO2196" s="10"/>
      <c r="UAP2196" s="10"/>
      <c r="UAQ2196" s="10"/>
      <c r="UAR2196" s="10"/>
      <c r="UAS2196" s="10"/>
      <c r="UAT2196" s="10"/>
      <c r="UAU2196" s="10"/>
      <c r="UAV2196" s="10"/>
      <c r="UAW2196" s="10"/>
      <c r="UAX2196" s="10"/>
      <c r="UAY2196" s="10"/>
      <c r="UAZ2196" s="10"/>
      <c r="UBA2196" s="10"/>
      <c r="UBB2196" s="10"/>
      <c r="UBC2196" s="10"/>
      <c r="UBD2196" s="10"/>
      <c r="UBE2196" s="10"/>
      <c r="UBF2196" s="10"/>
      <c r="UBG2196" s="10"/>
      <c r="UBH2196" s="10"/>
      <c r="UBI2196" s="10"/>
      <c r="UBJ2196" s="10"/>
      <c r="UBK2196" s="10"/>
      <c r="UBL2196" s="10"/>
      <c r="UBM2196" s="10"/>
      <c r="UBN2196" s="10"/>
      <c r="UBO2196" s="10"/>
      <c r="UBP2196" s="10"/>
      <c r="UBQ2196" s="10"/>
      <c r="UBR2196" s="10"/>
      <c r="UBS2196" s="10"/>
      <c r="UBT2196" s="10"/>
      <c r="UBU2196" s="10"/>
      <c r="UBV2196" s="10"/>
      <c r="UBW2196" s="10"/>
      <c r="UBX2196" s="10"/>
      <c r="UBY2196" s="10"/>
      <c r="UBZ2196" s="10"/>
      <c r="UCA2196" s="10"/>
      <c r="UCB2196" s="10"/>
      <c r="UCC2196" s="10"/>
      <c r="UCD2196" s="10"/>
      <c r="UCE2196" s="10"/>
      <c r="UCF2196" s="10"/>
      <c r="UCG2196" s="10"/>
      <c r="UCH2196" s="10"/>
      <c r="UCI2196" s="10"/>
      <c r="UCJ2196" s="10"/>
      <c r="UCK2196" s="10"/>
      <c r="UCL2196" s="10"/>
      <c r="UCM2196" s="10"/>
      <c r="UCN2196" s="10"/>
      <c r="UCO2196" s="10"/>
      <c r="UCP2196" s="10"/>
      <c r="UCQ2196" s="10"/>
      <c r="UCR2196" s="10"/>
      <c r="UCS2196" s="10"/>
      <c r="UCT2196" s="10"/>
      <c r="UCU2196" s="10"/>
      <c r="UCV2196" s="10"/>
      <c r="UCW2196" s="10"/>
      <c r="UCX2196" s="10"/>
      <c r="UCY2196" s="10"/>
      <c r="UCZ2196" s="10"/>
      <c r="UDA2196" s="10"/>
      <c r="UDB2196" s="10"/>
      <c r="UDC2196" s="10"/>
      <c r="UDD2196" s="10"/>
      <c r="UDE2196" s="10"/>
      <c r="UDF2196" s="10"/>
      <c r="UDG2196" s="10"/>
      <c r="UDH2196" s="10"/>
      <c r="UDI2196" s="10"/>
      <c r="UDJ2196" s="10"/>
      <c r="UDK2196" s="10"/>
      <c r="UDL2196" s="10"/>
      <c r="UDM2196" s="10"/>
      <c r="UDN2196" s="10"/>
      <c r="UDO2196" s="10"/>
      <c r="UDP2196" s="10"/>
      <c r="UDQ2196" s="10"/>
      <c r="UDR2196" s="10"/>
      <c r="UDS2196" s="10"/>
      <c r="UDT2196" s="10"/>
      <c r="UDU2196" s="10"/>
      <c r="UDV2196" s="10"/>
      <c r="UDW2196" s="10"/>
      <c r="UDX2196" s="10"/>
      <c r="UDY2196" s="10"/>
      <c r="UDZ2196" s="10"/>
      <c r="UEA2196" s="10"/>
      <c r="UEB2196" s="10"/>
      <c r="UEC2196" s="10"/>
      <c r="UED2196" s="10"/>
      <c r="UEE2196" s="10"/>
      <c r="UEF2196" s="10"/>
      <c r="UEG2196" s="10"/>
      <c r="UEH2196" s="10"/>
      <c r="UEI2196" s="10"/>
      <c r="UEJ2196" s="10"/>
      <c r="UEK2196" s="10"/>
      <c r="UEL2196" s="10"/>
      <c r="UEM2196" s="10"/>
      <c r="UEN2196" s="10"/>
      <c r="UEO2196" s="10"/>
      <c r="UEP2196" s="10"/>
      <c r="UEQ2196" s="10"/>
      <c r="UER2196" s="10"/>
      <c r="UES2196" s="10"/>
      <c r="UET2196" s="10"/>
      <c r="UEU2196" s="10"/>
      <c r="UEV2196" s="10"/>
      <c r="UEW2196" s="10"/>
      <c r="UEX2196" s="10"/>
      <c r="UEY2196" s="10"/>
      <c r="UEZ2196" s="10"/>
      <c r="UFA2196" s="10"/>
      <c r="UFB2196" s="10"/>
      <c r="UFC2196" s="10"/>
      <c r="UFD2196" s="10"/>
      <c r="UFE2196" s="10"/>
      <c r="UFF2196" s="10"/>
      <c r="UFG2196" s="10"/>
      <c r="UFH2196" s="10"/>
      <c r="UFI2196" s="10"/>
      <c r="UFJ2196" s="10"/>
      <c r="UFK2196" s="10"/>
      <c r="UFL2196" s="10"/>
      <c r="UFM2196" s="10"/>
      <c r="UFN2196" s="10"/>
      <c r="UFO2196" s="10"/>
      <c r="UFP2196" s="10"/>
      <c r="UFQ2196" s="10"/>
      <c r="UFR2196" s="10"/>
      <c r="UFS2196" s="10"/>
      <c r="UFT2196" s="10"/>
      <c r="UFU2196" s="10"/>
      <c r="UFV2196" s="10"/>
      <c r="UFW2196" s="10"/>
      <c r="UFX2196" s="10"/>
      <c r="UFY2196" s="10"/>
      <c r="UFZ2196" s="10"/>
      <c r="UGA2196" s="10"/>
      <c r="UGB2196" s="10"/>
      <c r="UGC2196" s="10"/>
      <c r="UGD2196" s="10"/>
      <c r="UGE2196" s="10"/>
      <c r="UGF2196" s="10"/>
      <c r="UGG2196" s="10"/>
      <c r="UGH2196" s="10"/>
      <c r="UGI2196" s="10"/>
      <c r="UGJ2196" s="10"/>
      <c r="UGK2196" s="10"/>
      <c r="UGL2196" s="10"/>
      <c r="UGM2196" s="10"/>
      <c r="UGN2196" s="10"/>
      <c r="UGO2196" s="10"/>
      <c r="UGP2196" s="10"/>
      <c r="UGQ2196" s="10"/>
      <c r="UGR2196" s="10"/>
      <c r="UGS2196" s="10"/>
      <c r="UGT2196" s="10"/>
      <c r="UGU2196" s="10"/>
      <c r="UGV2196" s="10"/>
      <c r="UGW2196" s="10"/>
      <c r="UGX2196" s="10"/>
      <c r="UGY2196" s="10"/>
      <c r="UGZ2196" s="10"/>
      <c r="UHA2196" s="10"/>
      <c r="UHB2196" s="10"/>
      <c r="UHC2196" s="10"/>
      <c r="UHD2196" s="10"/>
      <c r="UHE2196" s="10"/>
      <c r="UHF2196" s="10"/>
      <c r="UHG2196" s="10"/>
      <c r="UHH2196" s="10"/>
      <c r="UHI2196" s="10"/>
      <c r="UHJ2196" s="10"/>
      <c r="UHK2196" s="10"/>
      <c r="UHL2196" s="10"/>
      <c r="UHM2196" s="10"/>
      <c r="UHN2196" s="10"/>
      <c r="UHO2196" s="10"/>
      <c r="UHP2196" s="10"/>
      <c r="UHQ2196" s="10"/>
      <c r="UHR2196" s="10"/>
      <c r="UHS2196" s="10"/>
      <c r="UHT2196" s="10"/>
      <c r="UHU2196" s="10"/>
      <c r="UHV2196" s="10"/>
      <c r="UHW2196" s="10"/>
      <c r="UHX2196" s="10"/>
      <c r="UHY2196" s="10"/>
      <c r="UHZ2196" s="10"/>
      <c r="UIA2196" s="10"/>
      <c r="UIB2196" s="10"/>
      <c r="UIC2196" s="10"/>
      <c r="UID2196" s="10"/>
      <c r="UIE2196" s="10"/>
      <c r="UIF2196" s="10"/>
      <c r="UIG2196" s="10"/>
      <c r="UIH2196" s="10"/>
      <c r="UII2196" s="10"/>
      <c r="UIJ2196" s="10"/>
      <c r="UIK2196" s="10"/>
      <c r="UIL2196" s="10"/>
      <c r="UIM2196" s="10"/>
      <c r="UIN2196" s="10"/>
      <c r="UIO2196" s="10"/>
      <c r="UIP2196" s="10"/>
      <c r="UIQ2196" s="10"/>
      <c r="UIR2196" s="10"/>
      <c r="UIS2196" s="10"/>
      <c r="UIT2196" s="10"/>
      <c r="UIU2196" s="10"/>
      <c r="UIV2196" s="10"/>
      <c r="UIW2196" s="10"/>
      <c r="UIX2196" s="10"/>
      <c r="UIY2196" s="10"/>
      <c r="UIZ2196" s="10"/>
      <c r="UJA2196" s="10"/>
      <c r="UJB2196" s="10"/>
      <c r="UJC2196" s="10"/>
      <c r="UJD2196" s="10"/>
      <c r="UJE2196" s="10"/>
      <c r="UJF2196" s="10"/>
      <c r="UJG2196" s="10"/>
      <c r="UJH2196" s="10"/>
      <c r="UJI2196" s="10"/>
      <c r="UJJ2196" s="10"/>
      <c r="UJK2196" s="10"/>
      <c r="UJL2196" s="10"/>
      <c r="UJM2196" s="10"/>
      <c r="UJN2196" s="10"/>
      <c r="UJO2196" s="10"/>
      <c r="UJP2196" s="10"/>
      <c r="UJQ2196" s="10"/>
      <c r="UJR2196" s="10"/>
      <c r="UJS2196" s="10"/>
      <c r="UJT2196" s="10"/>
      <c r="UJU2196" s="10"/>
      <c r="UJV2196" s="10"/>
      <c r="UJW2196" s="10"/>
      <c r="UJX2196" s="10"/>
      <c r="UJY2196" s="10"/>
      <c r="UJZ2196" s="10"/>
      <c r="UKA2196" s="10"/>
      <c r="UKB2196" s="10"/>
      <c r="UKC2196" s="10"/>
      <c r="UKD2196" s="10"/>
      <c r="UKE2196" s="10"/>
      <c r="UKF2196" s="10"/>
      <c r="UKG2196" s="10"/>
      <c r="UKH2196" s="10"/>
      <c r="UKI2196" s="10"/>
      <c r="UKJ2196" s="10"/>
      <c r="UKK2196" s="10"/>
      <c r="UKL2196" s="10"/>
      <c r="UKM2196" s="10"/>
      <c r="UKN2196" s="10"/>
      <c r="UKO2196" s="10"/>
      <c r="UKP2196" s="10"/>
      <c r="UKQ2196" s="10"/>
      <c r="UKR2196" s="10"/>
      <c r="UKS2196" s="10"/>
      <c r="UKT2196" s="10"/>
      <c r="UKU2196" s="10"/>
      <c r="UKV2196" s="10"/>
      <c r="UKW2196" s="10"/>
      <c r="UKX2196" s="10"/>
      <c r="UKY2196" s="10"/>
      <c r="UKZ2196" s="10"/>
      <c r="ULA2196" s="10"/>
      <c r="ULB2196" s="10"/>
      <c r="ULC2196" s="10"/>
      <c r="ULD2196" s="10"/>
      <c r="ULE2196" s="10"/>
      <c r="ULF2196" s="10"/>
      <c r="ULG2196" s="10"/>
      <c r="ULH2196" s="10"/>
      <c r="ULI2196" s="10"/>
      <c r="ULJ2196" s="10"/>
      <c r="ULK2196" s="10"/>
      <c r="ULL2196" s="10"/>
      <c r="ULM2196" s="10"/>
      <c r="ULN2196" s="10"/>
      <c r="ULO2196" s="10"/>
      <c r="ULP2196" s="10"/>
      <c r="ULQ2196" s="10"/>
      <c r="ULR2196" s="10"/>
      <c r="ULS2196" s="10"/>
      <c r="ULT2196" s="10"/>
      <c r="ULU2196" s="10"/>
      <c r="ULV2196" s="10"/>
      <c r="ULW2196" s="10"/>
      <c r="ULX2196" s="10"/>
      <c r="ULY2196" s="10"/>
      <c r="ULZ2196" s="10"/>
      <c r="UMA2196" s="10"/>
      <c r="UMB2196" s="10"/>
      <c r="UMC2196" s="10"/>
      <c r="UMD2196" s="10"/>
      <c r="UME2196" s="10"/>
      <c r="UMF2196" s="10"/>
      <c r="UMG2196" s="10"/>
      <c r="UMH2196" s="10"/>
      <c r="UMI2196" s="10"/>
      <c r="UMJ2196" s="10"/>
      <c r="UMK2196" s="10"/>
      <c r="UML2196" s="10"/>
      <c r="UMM2196" s="10"/>
      <c r="UMN2196" s="10"/>
      <c r="UMO2196" s="10"/>
      <c r="UMP2196" s="10"/>
      <c r="UMQ2196" s="10"/>
      <c r="UMR2196" s="10"/>
      <c r="UMS2196" s="10"/>
      <c r="UMT2196" s="10"/>
      <c r="UMU2196" s="10"/>
      <c r="UMV2196" s="10"/>
      <c r="UMW2196" s="10"/>
      <c r="UMX2196" s="10"/>
      <c r="UMY2196" s="10"/>
      <c r="UMZ2196" s="10"/>
      <c r="UNA2196" s="10"/>
      <c r="UNB2196" s="10"/>
      <c r="UNC2196" s="10"/>
      <c r="UND2196" s="10"/>
      <c r="UNE2196" s="10"/>
      <c r="UNF2196" s="10"/>
      <c r="UNG2196" s="10"/>
      <c r="UNH2196" s="10"/>
      <c r="UNI2196" s="10"/>
      <c r="UNJ2196" s="10"/>
      <c r="UNK2196" s="10"/>
      <c r="UNL2196" s="10"/>
      <c r="UNM2196" s="10"/>
      <c r="UNN2196" s="10"/>
      <c r="UNO2196" s="10"/>
      <c r="UNP2196" s="10"/>
      <c r="UNQ2196" s="10"/>
      <c r="UNR2196" s="10"/>
      <c r="UNS2196" s="10"/>
      <c r="UNT2196" s="10"/>
      <c r="UNU2196" s="10"/>
      <c r="UNV2196" s="10"/>
      <c r="UNW2196" s="10"/>
      <c r="UNX2196" s="10"/>
      <c r="UNY2196" s="10"/>
      <c r="UNZ2196" s="10"/>
      <c r="UOA2196" s="10"/>
      <c r="UOB2196" s="10"/>
      <c r="UOC2196" s="10"/>
      <c r="UOD2196" s="10"/>
      <c r="UOE2196" s="10"/>
      <c r="UOF2196" s="10"/>
      <c r="UOG2196" s="10"/>
      <c r="UOH2196" s="10"/>
      <c r="UOI2196" s="10"/>
      <c r="UOJ2196" s="10"/>
      <c r="UOK2196" s="10"/>
      <c r="UOL2196" s="10"/>
      <c r="UOM2196" s="10"/>
      <c r="UON2196" s="10"/>
      <c r="UOO2196" s="10"/>
      <c r="UOP2196" s="10"/>
      <c r="UOQ2196" s="10"/>
      <c r="UOR2196" s="10"/>
      <c r="UOS2196" s="10"/>
      <c r="UOT2196" s="10"/>
      <c r="UOU2196" s="10"/>
      <c r="UOV2196" s="10"/>
      <c r="UOW2196" s="10"/>
      <c r="UOX2196" s="10"/>
      <c r="UOY2196" s="10"/>
      <c r="UOZ2196" s="10"/>
      <c r="UPA2196" s="10"/>
      <c r="UPB2196" s="10"/>
      <c r="UPC2196" s="10"/>
      <c r="UPD2196" s="10"/>
      <c r="UPE2196" s="10"/>
      <c r="UPF2196" s="10"/>
      <c r="UPG2196" s="10"/>
      <c r="UPH2196" s="10"/>
      <c r="UPI2196" s="10"/>
      <c r="UPJ2196" s="10"/>
      <c r="UPK2196" s="10"/>
      <c r="UPL2196" s="10"/>
      <c r="UPM2196" s="10"/>
      <c r="UPN2196" s="10"/>
      <c r="UPO2196" s="10"/>
      <c r="UPP2196" s="10"/>
      <c r="UPQ2196" s="10"/>
      <c r="UPR2196" s="10"/>
      <c r="UPS2196" s="10"/>
      <c r="UPT2196" s="10"/>
      <c r="UPU2196" s="10"/>
      <c r="UPV2196" s="10"/>
      <c r="UPW2196" s="10"/>
      <c r="UPX2196" s="10"/>
      <c r="UPY2196" s="10"/>
      <c r="UPZ2196" s="10"/>
      <c r="UQA2196" s="10"/>
      <c r="UQB2196" s="10"/>
      <c r="UQC2196" s="10"/>
      <c r="UQD2196" s="10"/>
      <c r="UQE2196" s="10"/>
      <c r="UQF2196" s="10"/>
      <c r="UQG2196" s="10"/>
      <c r="UQH2196" s="10"/>
      <c r="UQI2196" s="10"/>
      <c r="UQJ2196" s="10"/>
      <c r="UQK2196" s="10"/>
      <c r="UQL2196" s="10"/>
      <c r="UQM2196" s="10"/>
      <c r="UQN2196" s="10"/>
      <c r="UQO2196" s="10"/>
      <c r="UQP2196" s="10"/>
      <c r="UQQ2196" s="10"/>
      <c r="UQR2196" s="10"/>
      <c r="UQS2196" s="10"/>
      <c r="UQT2196" s="10"/>
      <c r="UQU2196" s="10"/>
      <c r="UQV2196" s="10"/>
      <c r="UQW2196" s="10"/>
      <c r="UQX2196" s="10"/>
      <c r="UQY2196" s="10"/>
      <c r="UQZ2196" s="10"/>
      <c r="URA2196" s="10"/>
      <c r="URB2196" s="10"/>
      <c r="URC2196" s="10"/>
      <c r="URD2196" s="10"/>
      <c r="URE2196" s="10"/>
      <c r="URF2196" s="10"/>
      <c r="URG2196" s="10"/>
      <c r="URH2196" s="10"/>
      <c r="URI2196" s="10"/>
      <c r="URJ2196" s="10"/>
      <c r="URK2196" s="10"/>
      <c r="URL2196" s="10"/>
      <c r="URM2196" s="10"/>
      <c r="URN2196" s="10"/>
      <c r="URO2196" s="10"/>
      <c r="URP2196" s="10"/>
      <c r="URQ2196" s="10"/>
      <c r="URR2196" s="10"/>
      <c r="URS2196" s="10"/>
      <c r="URT2196" s="10"/>
      <c r="URU2196" s="10"/>
      <c r="URV2196" s="10"/>
      <c r="URW2196" s="10"/>
      <c r="URX2196" s="10"/>
      <c r="URY2196" s="10"/>
      <c r="URZ2196" s="10"/>
      <c r="USA2196" s="10"/>
      <c r="USB2196" s="10"/>
      <c r="USC2196" s="10"/>
      <c r="USD2196" s="10"/>
      <c r="USE2196" s="10"/>
      <c r="USF2196" s="10"/>
      <c r="USG2196" s="10"/>
      <c r="USH2196" s="10"/>
      <c r="USI2196" s="10"/>
      <c r="USJ2196" s="10"/>
      <c r="USK2196" s="10"/>
      <c r="USL2196" s="10"/>
      <c r="USM2196" s="10"/>
      <c r="USN2196" s="10"/>
      <c r="USO2196" s="10"/>
      <c r="USP2196" s="10"/>
      <c r="USQ2196" s="10"/>
      <c r="USR2196" s="10"/>
      <c r="USS2196" s="10"/>
      <c r="UST2196" s="10"/>
      <c r="USU2196" s="10"/>
      <c r="USV2196" s="10"/>
      <c r="USW2196" s="10"/>
      <c r="USX2196" s="10"/>
      <c r="USY2196" s="10"/>
      <c r="USZ2196" s="10"/>
      <c r="UTA2196" s="10"/>
      <c r="UTB2196" s="10"/>
      <c r="UTC2196" s="10"/>
      <c r="UTD2196" s="10"/>
      <c r="UTE2196" s="10"/>
      <c r="UTF2196" s="10"/>
      <c r="UTG2196" s="10"/>
      <c r="UTH2196" s="10"/>
      <c r="UTI2196" s="10"/>
      <c r="UTJ2196" s="10"/>
      <c r="UTK2196" s="10"/>
      <c r="UTL2196" s="10"/>
      <c r="UTM2196" s="10"/>
      <c r="UTN2196" s="10"/>
      <c r="UTO2196" s="10"/>
      <c r="UTP2196" s="10"/>
      <c r="UTQ2196" s="10"/>
      <c r="UTR2196" s="10"/>
      <c r="UTS2196" s="10"/>
      <c r="UTT2196" s="10"/>
      <c r="UTU2196" s="10"/>
      <c r="UTV2196" s="10"/>
      <c r="UTW2196" s="10"/>
      <c r="UTX2196" s="10"/>
      <c r="UTY2196" s="10"/>
      <c r="UTZ2196" s="10"/>
      <c r="UUA2196" s="10"/>
      <c r="UUB2196" s="10"/>
      <c r="UUC2196" s="10"/>
      <c r="UUD2196" s="10"/>
      <c r="UUE2196" s="10"/>
      <c r="UUF2196" s="10"/>
      <c r="UUG2196" s="10"/>
      <c r="UUH2196" s="10"/>
      <c r="UUI2196" s="10"/>
      <c r="UUJ2196" s="10"/>
      <c r="UUK2196" s="10"/>
      <c r="UUL2196" s="10"/>
      <c r="UUM2196" s="10"/>
      <c r="UUN2196" s="10"/>
      <c r="UUO2196" s="10"/>
      <c r="UUP2196" s="10"/>
      <c r="UUQ2196" s="10"/>
      <c r="UUR2196" s="10"/>
      <c r="UUS2196" s="10"/>
      <c r="UUT2196" s="10"/>
      <c r="UUU2196" s="10"/>
      <c r="UUV2196" s="10"/>
      <c r="UUW2196" s="10"/>
      <c r="UUX2196" s="10"/>
      <c r="UUY2196" s="10"/>
      <c r="UUZ2196" s="10"/>
      <c r="UVA2196" s="10"/>
      <c r="UVB2196" s="10"/>
      <c r="UVC2196" s="10"/>
      <c r="UVD2196" s="10"/>
      <c r="UVE2196" s="10"/>
      <c r="UVF2196" s="10"/>
      <c r="UVG2196" s="10"/>
      <c r="UVH2196" s="10"/>
      <c r="UVI2196" s="10"/>
      <c r="UVJ2196" s="10"/>
      <c r="UVK2196" s="10"/>
      <c r="UVL2196" s="10"/>
      <c r="UVM2196" s="10"/>
      <c r="UVN2196" s="10"/>
      <c r="UVO2196" s="10"/>
      <c r="UVP2196" s="10"/>
      <c r="UVQ2196" s="10"/>
      <c r="UVR2196" s="10"/>
      <c r="UVS2196" s="10"/>
      <c r="UVT2196" s="10"/>
      <c r="UVU2196" s="10"/>
      <c r="UVV2196" s="10"/>
      <c r="UVW2196" s="10"/>
      <c r="UVX2196" s="10"/>
      <c r="UVY2196" s="10"/>
      <c r="UVZ2196" s="10"/>
      <c r="UWA2196" s="10"/>
      <c r="UWB2196" s="10"/>
      <c r="UWC2196" s="10"/>
      <c r="UWD2196" s="10"/>
      <c r="UWE2196" s="10"/>
      <c r="UWF2196" s="10"/>
      <c r="UWG2196" s="10"/>
      <c r="UWH2196" s="10"/>
      <c r="UWI2196" s="10"/>
      <c r="UWJ2196" s="10"/>
      <c r="UWK2196" s="10"/>
      <c r="UWL2196" s="10"/>
      <c r="UWM2196" s="10"/>
      <c r="UWN2196" s="10"/>
      <c r="UWO2196" s="10"/>
      <c r="UWP2196" s="10"/>
      <c r="UWQ2196" s="10"/>
      <c r="UWR2196" s="10"/>
      <c r="UWS2196" s="10"/>
      <c r="UWT2196" s="10"/>
      <c r="UWU2196" s="10"/>
      <c r="UWV2196" s="10"/>
      <c r="UWW2196" s="10"/>
      <c r="UWX2196" s="10"/>
      <c r="UWY2196" s="10"/>
      <c r="UWZ2196" s="10"/>
      <c r="UXA2196" s="10"/>
      <c r="UXB2196" s="10"/>
      <c r="UXC2196" s="10"/>
      <c r="UXD2196" s="10"/>
      <c r="UXE2196" s="10"/>
      <c r="UXF2196" s="10"/>
      <c r="UXG2196" s="10"/>
      <c r="UXH2196" s="10"/>
      <c r="UXI2196" s="10"/>
      <c r="UXJ2196" s="10"/>
      <c r="UXK2196" s="10"/>
      <c r="UXL2196" s="10"/>
      <c r="UXM2196" s="10"/>
      <c r="UXN2196" s="10"/>
      <c r="UXO2196" s="10"/>
      <c r="UXP2196" s="10"/>
      <c r="UXQ2196" s="10"/>
      <c r="UXR2196" s="10"/>
      <c r="UXS2196" s="10"/>
      <c r="UXT2196" s="10"/>
      <c r="UXU2196" s="10"/>
      <c r="UXV2196" s="10"/>
      <c r="UXW2196" s="10"/>
      <c r="UXX2196" s="10"/>
      <c r="UXY2196" s="10"/>
      <c r="UXZ2196" s="10"/>
      <c r="UYA2196" s="10"/>
      <c r="UYB2196" s="10"/>
      <c r="UYC2196" s="10"/>
      <c r="UYD2196" s="10"/>
      <c r="UYE2196" s="10"/>
      <c r="UYF2196" s="10"/>
      <c r="UYG2196" s="10"/>
      <c r="UYH2196" s="10"/>
      <c r="UYI2196" s="10"/>
      <c r="UYJ2196" s="10"/>
      <c r="UYK2196" s="10"/>
      <c r="UYL2196" s="10"/>
      <c r="UYM2196" s="10"/>
      <c r="UYN2196" s="10"/>
      <c r="UYO2196" s="10"/>
      <c r="UYP2196" s="10"/>
      <c r="UYQ2196" s="10"/>
      <c r="UYR2196" s="10"/>
      <c r="UYS2196" s="10"/>
      <c r="UYT2196" s="10"/>
      <c r="UYU2196" s="10"/>
      <c r="UYV2196" s="10"/>
      <c r="UYW2196" s="10"/>
      <c r="UYX2196" s="10"/>
      <c r="UYY2196" s="10"/>
      <c r="UYZ2196" s="10"/>
      <c r="UZA2196" s="10"/>
      <c r="UZB2196" s="10"/>
      <c r="UZC2196" s="10"/>
      <c r="UZD2196" s="10"/>
      <c r="UZE2196" s="10"/>
      <c r="UZF2196" s="10"/>
      <c r="UZG2196" s="10"/>
      <c r="UZH2196" s="10"/>
      <c r="UZI2196" s="10"/>
      <c r="UZJ2196" s="10"/>
      <c r="UZK2196" s="10"/>
      <c r="UZL2196" s="10"/>
      <c r="UZM2196" s="10"/>
      <c r="UZN2196" s="10"/>
      <c r="UZO2196" s="10"/>
      <c r="UZP2196" s="10"/>
      <c r="UZQ2196" s="10"/>
      <c r="UZR2196" s="10"/>
      <c r="UZS2196" s="10"/>
      <c r="UZT2196" s="10"/>
      <c r="UZU2196" s="10"/>
      <c r="UZV2196" s="10"/>
      <c r="UZW2196" s="10"/>
      <c r="UZX2196" s="10"/>
      <c r="UZY2196" s="10"/>
      <c r="UZZ2196" s="10"/>
      <c r="VAA2196" s="10"/>
      <c r="VAB2196" s="10"/>
      <c r="VAC2196" s="10"/>
      <c r="VAD2196" s="10"/>
      <c r="VAE2196" s="10"/>
      <c r="VAF2196" s="10"/>
      <c r="VAG2196" s="10"/>
      <c r="VAH2196" s="10"/>
      <c r="VAI2196" s="10"/>
      <c r="VAJ2196" s="10"/>
      <c r="VAK2196" s="10"/>
      <c r="VAL2196" s="10"/>
      <c r="VAM2196" s="10"/>
      <c r="VAN2196" s="10"/>
      <c r="VAO2196" s="10"/>
      <c r="VAP2196" s="10"/>
      <c r="VAQ2196" s="10"/>
      <c r="VAR2196" s="10"/>
      <c r="VAS2196" s="10"/>
      <c r="VAT2196" s="10"/>
      <c r="VAU2196" s="10"/>
      <c r="VAV2196" s="10"/>
      <c r="VAW2196" s="10"/>
      <c r="VAX2196" s="10"/>
      <c r="VAY2196" s="10"/>
      <c r="VAZ2196" s="10"/>
      <c r="VBA2196" s="10"/>
      <c r="VBB2196" s="10"/>
      <c r="VBC2196" s="10"/>
      <c r="VBD2196" s="10"/>
      <c r="VBE2196" s="10"/>
      <c r="VBF2196" s="10"/>
      <c r="VBG2196" s="10"/>
      <c r="VBH2196" s="10"/>
      <c r="VBI2196" s="10"/>
      <c r="VBJ2196" s="10"/>
      <c r="VBK2196" s="10"/>
      <c r="VBL2196" s="10"/>
      <c r="VBM2196" s="10"/>
      <c r="VBN2196" s="10"/>
      <c r="VBO2196" s="10"/>
      <c r="VBP2196" s="10"/>
      <c r="VBQ2196" s="10"/>
      <c r="VBR2196" s="10"/>
      <c r="VBS2196" s="10"/>
      <c r="VBT2196" s="10"/>
      <c r="VBU2196" s="10"/>
      <c r="VBV2196" s="10"/>
      <c r="VBW2196" s="10"/>
      <c r="VBX2196" s="10"/>
      <c r="VBY2196" s="10"/>
      <c r="VBZ2196" s="10"/>
      <c r="VCA2196" s="10"/>
      <c r="VCB2196" s="10"/>
      <c r="VCC2196" s="10"/>
      <c r="VCD2196" s="10"/>
      <c r="VCE2196" s="10"/>
      <c r="VCF2196" s="10"/>
      <c r="VCG2196" s="10"/>
      <c r="VCH2196" s="10"/>
      <c r="VCI2196" s="10"/>
      <c r="VCJ2196" s="10"/>
      <c r="VCK2196" s="10"/>
      <c r="VCL2196" s="10"/>
      <c r="VCM2196" s="10"/>
      <c r="VCN2196" s="10"/>
      <c r="VCO2196" s="10"/>
      <c r="VCP2196" s="10"/>
      <c r="VCQ2196" s="10"/>
      <c r="VCR2196" s="10"/>
      <c r="VCS2196" s="10"/>
      <c r="VCT2196" s="10"/>
      <c r="VCU2196" s="10"/>
      <c r="VCV2196" s="10"/>
      <c r="VCW2196" s="10"/>
      <c r="VCX2196" s="10"/>
      <c r="VCY2196" s="10"/>
      <c r="VCZ2196" s="10"/>
      <c r="VDA2196" s="10"/>
      <c r="VDB2196" s="10"/>
      <c r="VDC2196" s="10"/>
      <c r="VDD2196" s="10"/>
      <c r="VDE2196" s="10"/>
      <c r="VDF2196" s="10"/>
      <c r="VDG2196" s="10"/>
      <c r="VDH2196" s="10"/>
      <c r="VDI2196" s="10"/>
      <c r="VDJ2196" s="10"/>
      <c r="VDK2196" s="10"/>
      <c r="VDL2196" s="10"/>
      <c r="VDM2196" s="10"/>
      <c r="VDN2196" s="10"/>
      <c r="VDO2196" s="10"/>
      <c r="VDP2196" s="10"/>
      <c r="VDQ2196" s="10"/>
      <c r="VDR2196" s="10"/>
      <c r="VDS2196" s="10"/>
      <c r="VDT2196" s="10"/>
      <c r="VDU2196" s="10"/>
      <c r="VDV2196" s="10"/>
      <c r="VDW2196" s="10"/>
      <c r="VDX2196" s="10"/>
      <c r="VDY2196" s="10"/>
      <c r="VDZ2196" s="10"/>
      <c r="VEA2196" s="10"/>
      <c r="VEB2196" s="10"/>
      <c r="VEC2196" s="10"/>
      <c r="VED2196" s="10"/>
      <c r="VEE2196" s="10"/>
      <c r="VEF2196" s="10"/>
      <c r="VEG2196" s="10"/>
      <c r="VEH2196" s="10"/>
      <c r="VEI2196" s="10"/>
      <c r="VEJ2196" s="10"/>
      <c r="VEK2196" s="10"/>
      <c r="VEL2196" s="10"/>
      <c r="VEM2196" s="10"/>
      <c r="VEN2196" s="10"/>
      <c r="VEO2196" s="10"/>
      <c r="VEP2196" s="10"/>
      <c r="VEQ2196" s="10"/>
      <c r="VER2196" s="10"/>
      <c r="VES2196" s="10"/>
      <c r="VET2196" s="10"/>
      <c r="VEU2196" s="10"/>
      <c r="VEV2196" s="10"/>
      <c r="VEW2196" s="10"/>
      <c r="VEX2196" s="10"/>
      <c r="VEY2196" s="10"/>
      <c r="VEZ2196" s="10"/>
      <c r="VFA2196" s="10"/>
      <c r="VFB2196" s="10"/>
      <c r="VFC2196" s="10"/>
      <c r="VFD2196" s="10"/>
      <c r="VFE2196" s="10"/>
      <c r="VFF2196" s="10"/>
      <c r="VFG2196" s="10"/>
      <c r="VFH2196" s="10"/>
      <c r="VFI2196" s="10"/>
      <c r="VFJ2196" s="10"/>
      <c r="VFK2196" s="10"/>
      <c r="VFL2196" s="10"/>
      <c r="VFM2196" s="10"/>
      <c r="VFN2196" s="10"/>
      <c r="VFO2196" s="10"/>
      <c r="VFP2196" s="10"/>
      <c r="VFQ2196" s="10"/>
      <c r="VFR2196" s="10"/>
      <c r="VFS2196" s="10"/>
      <c r="VFT2196" s="10"/>
      <c r="VFU2196" s="10"/>
      <c r="VFV2196" s="10"/>
      <c r="VFW2196" s="10"/>
      <c r="VFX2196" s="10"/>
      <c r="VFY2196" s="10"/>
      <c r="VFZ2196" s="10"/>
      <c r="VGA2196" s="10"/>
      <c r="VGB2196" s="10"/>
      <c r="VGC2196" s="10"/>
      <c r="VGD2196" s="10"/>
      <c r="VGE2196" s="10"/>
      <c r="VGF2196" s="10"/>
      <c r="VGG2196" s="10"/>
      <c r="VGH2196" s="10"/>
      <c r="VGI2196" s="10"/>
      <c r="VGJ2196" s="10"/>
      <c r="VGK2196" s="10"/>
      <c r="VGL2196" s="10"/>
      <c r="VGM2196" s="10"/>
      <c r="VGN2196" s="10"/>
      <c r="VGO2196" s="10"/>
      <c r="VGP2196" s="10"/>
      <c r="VGQ2196" s="10"/>
      <c r="VGR2196" s="10"/>
      <c r="VGS2196" s="10"/>
      <c r="VGT2196" s="10"/>
      <c r="VGU2196" s="10"/>
      <c r="VGV2196" s="10"/>
      <c r="VGW2196" s="10"/>
      <c r="VGX2196" s="10"/>
      <c r="VGY2196" s="10"/>
      <c r="VGZ2196" s="10"/>
      <c r="VHA2196" s="10"/>
      <c r="VHB2196" s="10"/>
      <c r="VHC2196" s="10"/>
      <c r="VHD2196" s="10"/>
      <c r="VHE2196" s="10"/>
      <c r="VHF2196" s="10"/>
      <c r="VHG2196" s="10"/>
      <c r="VHH2196" s="10"/>
      <c r="VHI2196" s="10"/>
      <c r="VHJ2196" s="10"/>
      <c r="VHK2196" s="10"/>
      <c r="VHL2196" s="10"/>
      <c r="VHM2196" s="10"/>
      <c r="VHN2196" s="10"/>
      <c r="VHO2196" s="10"/>
      <c r="VHP2196" s="10"/>
      <c r="VHQ2196" s="10"/>
      <c r="VHR2196" s="10"/>
      <c r="VHS2196" s="10"/>
      <c r="VHT2196" s="10"/>
      <c r="VHU2196" s="10"/>
      <c r="VHV2196" s="10"/>
      <c r="VHW2196" s="10"/>
      <c r="VHX2196" s="10"/>
      <c r="VHY2196" s="10"/>
      <c r="VHZ2196" s="10"/>
      <c r="VIA2196" s="10"/>
      <c r="VIB2196" s="10"/>
      <c r="VIC2196" s="10"/>
      <c r="VID2196" s="10"/>
      <c r="VIE2196" s="10"/>
      <c r="VIF2196" s="10"/>
      <c r="VIG2196" s="10"/>
      <c r="VIH2196" s="10"/>
      <c r="VII2196" s="10"/>
      <c r="VIJ2196" s="10"/>
      <c r="VIK2196" s="10"/>
      <c r="VIL2196" s="10"/>
      <c r="VIM2196" s="10"/>
      <c r="VIN2196" s="10"/>
      <c r="VIO2196" s="10"/>
      <c r="VIP2196" s="10"/>
      <c r="VIQ2196" s="10"/>
      <c r="VIR2196" s="10"/>
      <c r="VIS2196" s="10"/>
      <c r="VIT2196" s="10"/>
      <c r="VIU2196" s="10"/>
      <c r="VIV2196" s="10"/>
      <c r="VIW2196" s="10"/>
      <c r="VIX2196" s="10"/>
      <c r="VIY2196" s="10"/>
      <c r="VIZ2196" s="10"/>
      <c r="VJA2196" s="10"/>
      <c r="VJB2196" s="10"/>
      <c r="VJC2196" s="10"/>
      <c r="VJD2196" s="10"/>
      <c r="VJE2196" s="10"/>
      <c r="VJF2196" s="10"/>
      <c r="VJG2196" s="10"/>
      <c r="VJH2196" s="10"/>
      <c r="VJI2196" s="10"/>
      <c r="VJJ2196" s="10"/>
      <c r="VJK2196" s="10"/>
      <c r="VJL2196" s="10"/>
      <c r="VJM2196" s="10"/>
      <c r="VJN2196" s="10"/>
      <c r="VJO2196" s="10"/>
      <c r="VJP2196" s="10"/>
      <c r="VJQ2196" s="10"/>
      <c r="VJR2196" s="10"/>
      <c r="VJS2196" s="10"/>
      <c r="VJT2196" s="10"/>
      <c r="VJU2196" s="10"/>
      <c r="VJV2196" s="10"/>
      <c r="VJW2196" s="10"/>
      <c r="VJX2196" s="10"/>
      <c r="VJY2196" s="10"/>
      <c r="VJZ2196" s="10"/>
      <c r="VKA2196" s="10"/>
      <c r="VKB2196" s="10"/>
      <c r="VKC2196" s="10"/>
      <c r="VKD2196" s="10"/>
      <c r="VKE2196" s="10"/>
      <c r="VKF2196" s="10"/>
      <c r="VKG2196" s="10"/>
      <c r="VKH2196" s="10"/>
      <c r="VKI2196" s="10"/>
      <c r="VKJ2196" s="10"/>
      <c r="VKK2196" s="10"/>
      <c r="VKL2196" s="10"/>
      <c r="VKM2196" s="10"/>
      <c r="VKN2196" s="10"/>
      <c r="VKO2196" s="10"/>
      <c r="VKP2196" s="10"/>
      <c r="VKQ2196" s="10"/>
      <c r="VKR2196" s="10"/>
      <c r="VKS2196" s="10"/>
      <c r="VKT2196" s="10"/>
      <c r="VKU2196" s="10"/>
      <c r="VKV2196" s="10"/>
      <c r="VKW2196" s="10"/>
      <c r="VKX2196" s="10"/>
      <c r="VKY2196" s="10"/>
      <c r="VKZ2196" s="10"/>
      <c r="VLA2196" s="10"/>
      <c r="VLB2196" s="10"/>
      <c r="VLC2196" s="10"/>
      <c r="VLD2196" s="10"/>
      <c r="VLE2196" s="10"/>
      <c r="VLF2196" s="10"/>
      <c r="VLG2196" s="10"/>
      <c r="VLH2196" s="10"/>
      <c r="VLI2196" s="10"/>
      <c r="VLJ2196" s="10"/>
      <c r="VLK2196" s="10"/>
      <c r="VLL2196" s="10"/>
      <c r="VLM2196" s="10"/>
      <c r="VLN2196" s="10"/>
      <c r="VLO2196" s="10"/>
      <c r="VLP2196" s="10"/>
      <c r="VLQ2196" s="10"/>
      <c r="VLR2196" s="10"/>
      <c r="VLS2196" s="10"/>
      <c r="VLT2196" s="10"/>
      <c r="VLU2196" s="10"/>
      <c r="VLV2196" s="10"/>
      <c r="VLW2196" s="10"/>
      <c r="VLX2196" s="10"/>
      <c r="VLY2196" s="10"/>
      <c r="VLZ2196" s="10"/>
      <c r="VMA2196" s="10"/>
      <c r="VMB2196" s="10"/>
      <c r="VMC2196" s="10"/>
      <c r="VMD2196" s="10"/>
      <c r="VME2196" s="10"/>
      <c r="VMF2196" s="10"/>
      <c r="VMG2196" s="10"/>
      <c r="VMH2196" s="10"/>
      <c r="VMI2196" s="10"/>
      <c r="VMJ2196" s="10"/>
      <c r="VMK2196" s="10"/>
      <c r="VML2196" s="10"/>
      <c r="VMM2196" s="10"/>
      <c r="VMN2196" s="10"/>
      <c r="VMO2196" s="10"/>
      <c r="VMP2196" s="10"/>
      <c r="VMQ2196" s="10"/>
      <c r="VMR2196" s="10"/>
      <c r="VMS2196" s="10"/>
      <c r="VMT2196" s="10"/>
      <c r="VMU2196" s="10"/>
      <c r="VMV2196" s="10"/>
      <c r="VMW2196" s="10"/>
      <c r="VMX2196" s="10"/>
      <c r="VMY2196" s="10"/>
      <c r="VMZ2196" s="10"/>
      <c r="VNA2196" s="10"/>
      <c r="VNB2196" s="10"/>
      <c r="VNC2196" s="10"/>
      <c r="VND2196" s="10"/>
      <c r="VNE2196" s="10"/>
      <c r="VNF2196" s="10"/>
      <c r="VNG2196" s="10"/>
      <c r="VNH2196" s="10"/>
      <c r="VNI2196" s="10"/>
      <c r="VNJ2196" s="10"/>
      <c r="VNK2196" s="10"/>
      <c r="VNL2196" s="10"/>
      <c r="VNM2196" s="10"/>
      <c r="VNN2196" s="10"/>
      <c r="VNO2196" s="10"/>
      <c r="VNP2196" s="10"/>
      <c r="VNQ2196" s="10"/>
      <c r="VNR2196" s="10"/>
      <c r="VNS2196" s="10"/>
      <c r="VNT2196" s="10"/>
      <c r="VNU2196" s="10"/>
      <c r="VNV2196" s="10"/>
      <c r="VNW2196" s="10"/>
      <c r="VNX2196" s="10"/>
      <c r="VNY2196" s="10"/>
      <c r="VNZ2196" s="10"/>
      <c r="VOA2196" s="10"/>
      <c r="VOB2196" s="10"/>
      <c r="VOC2196" s="10"/>
      <c r="VOD2196" s="10"/>
      <c r="VOE2196" s="10"/>
      <c r="VOF2196" s="10"/>
      <c r="VOG2196" s="10"/>
      <c r="VOH2196" s="10"/>
      <c r="VOI2196" s="10"/>
      <c r="VOJ2196" s="10"/>
      <c r="VOK2196" s="10"/>
      <c r="VOL2196" s="10"/>
      <c r="VOM2196" s="10"/>
      <c r="VON2196" s="10"/>
      <c r="VOO2196" s="10"/>
      <c r="VOP2196" s="10"/>
      <c r="VOQ2196" s="10"/>
      <c r="VOR2196" s="10"/>
      <c r="VOS2196" s="10"/>
      <c r="VOT2196" s="10"/>
      <c r="VOU2196" s="10"/>
      <c r="VOV2196" s="10"/>
      <c r="VOW2196" s="10"/>
      <c r="VOX2196" s="10"/>
      <c r="VOY2196" s="10"/>
      <c r="VOZ2196" s="10"/>
      <c r="VPA2196" s="10"/>
      <c r="VPB2196" s="10"/>
      <c r="VPC2196" s="10"/>
      <c r="VPD2196" s="10"/>
      <c r="VPE2196" s="10"/>
      <c r="VPF2196" s="10"/>
      <c r="VPG2196" s="10"/>
      <c r="VPH2196" s="10"/>
      <c r="VPI2196" s="10"/>
      <c r="VPJ2196" s="10"/>
      <c r="VPK2196" s="10"/>
      <c r="VPL2196" s="10"/>
      <c r="VPM2196" s="10"/>
      <c r="VPN2196" s="10"/>
      <c r="VPO2196" s="10"/>
      <c r="VPP2196" s="10"/>
      <c r="VPQ2196" s="10"/>
      <c r="VPR2196" s="10"/>
      <c r="VPS2196" s="10"/>
      <c r="VPT2196" s="10"/>
      <c r="VPU2196" s="10"/>
      <c r="VPV2196" s="10"/>
      <c r="VPW2196" s="10"/>
      <c r="VPX2196" s="10"/>
      <c r="VPY2196" s="10"/>
      <c r="VPZ2196" s="10"/>
      <c r="VQA2196" s="10"/>
      <c r="VQB2196" s="10"/>
      <c r="VQC2196" s="10"/>
      <c r="VQD2196" s="10"/>
      <c r="VQE2196" s="10"/>
      <c r="VQF2196" s="10"/>
      <c r="VQG2196" s="10"/>
      <c r="VQH2196" s="10"/>
      <c r="VQI2196" s="10"/>
      <c r="VQJ2196" s="10"/>
      <c r="VQK2196" s="10"/>
      <c r="VQL2196" s="10"/>
      <c r="VQM2196" s="10"/>
      <c r="VQN2196" s="10"/>
      <c r="VQO2196" s="10"/>
      <c r="VQP2196" s="10"/>
      <c r="VQQ2196" s="10"/>
      <c r="VQR2196" s="10"/>
      <c r="VQS2196" s="10"/>
      <c r="VQT2196" s="10"/>
      <c r="VQU2196" s="10"/>
      <c r="VQV2196" s="10"/>
      <c r="VQW2196" s="10"/>
      <c r="VQX2196" s="10"/>
      <c r="VQY2196" s="10"/>
      <c r="VQZ2196" s="10"/>
      <c r="VRA2196" s="10"/>
      <c r="VRB2196" s="10"/>
      <c r="VRC2196" s="10"/>
      <c r="VRD2196" s="10"/>
      <c r="VRE2196" s="10"/>
      <c r="VRF2196" s="10"/>
      <c r="VRG2196" s="10"/>
      <c r="VRH2196" s="10"/>
      <c r="VRI2196" s="10"/>
      <c r="VRJ2196" s="10"/>
      <c r="VRK2196" s="10"/>
      <c r="VRL2196" s="10"/>
      <c r="VRM2196" s="10"/>
      <c r="VRN2196" s="10"/>
      <c r="VRO2196" s="10"/>
      <c r="VRP2196" s="10"/>
      <c r="VRQ2196" s="10"/>
      <c r="VRR2196" s="10"/>
      <c r="VRS2196" s="10"/>
      <c r="VRT2196" s="10"/>
      <c r="VRU2196" s="10"/>
      <c r="VRV2196" s="10"/>
      <c r="VRW2196" s="10"/>
      <c r="VRX2196" s="10"/>
      <c r="VRY2196" s="10"/>
      <c r="VRZ2196" s="10"/>
      <c r="VSA2196" s="10"/>
      <c r="VSB2196" s="10"/>
      <c r="VSC2196" s="10"/>
      <c r="VSD2196" s="10"/>
      <c r="VSE2196" s="10"/>
      <c r="VSF2196" s="10"/>
      <c r="VSG2196" s="10"/>
      <c r="VSH2196" s="10"/>
      <c r="VSI2196" s="10"/>
      <c r="VSJ2196" s="10"/>
      <c r="VSK2196" s="10"/>
      <c r="VSL2196" s="10"/>
      <c r="VSM2196" s="10"/>
      <c r="VSN2196" s="10"/>
      <c r="VSO2196" s="10"/>
      <c r="VSP2196" s="10"/>
      <c r="VSQ2196" s="10"/>
      <c r="VSR2196" s="10"/>
      <c r="VSS2196" s="10"/>
      <c r="VST2196" s="10"/>
      <c r="VSU2196" s="10"/>
      <c r="VSV2196" s="10"/>
      <c r="VSW2196" s="10"/>
      <c r="VSX2196" s="10"/>
      <c r="VSY2196" s="10"/>
      <c r="VSZ2196" s="10"/>
      <c r="VTA2196" s="10"/>
      <c r="VTB2196" s="10"/>
      <c r="VTC2196" s="10"/>
      <c r="VTD2196" s="10"/>
      <c r="VTE2196" s="10"/>
      <c r="VTF2196" s="10"/>
      <c r="VTG2196" s="10"/>
      <c r="VTH2196" s="10"/>
      <c r="VTI2196" s="10"/>
      <c r="VTJ2196" s="10"/>
      <c r="VTK2196" s="10"/>
      <c r="VTL2196" s="10"/>
      <c r="VTM2196" s="10"/>
      <c r="VTN2196" s="10"/>
      <c r="VTO2196" s="10"/>
      <c r="VTP2196" s="10"/>
      <c r="VTQ2196" s="10"/>
      <c r="VTR2196" s="10"/>
      <c r="VTS2196" s="10"/>
      <c r="VTT2196" s="10"/>
      <c r="VTU2196" s="10"/>
      <c r="VTV2196" s="10"/>
      <c r="VTW2196" s="10"/>
      <c r="VTX2196" s="10"/>
      <c r="VTY2196" s="10"/>
      <c r="VTZ2196" s="10"/>
      <c r="VUA2196" s="10"/>
      <c r="VUB2196" s="10"/>
      <c r="VUC2196" s="10"/>
      <c r="VUD2196" s="10"/>
      <c r="VUE2196" s="10"/>
      <c r="VUF2196" s="10"/>
      <c r="VUG2196" s="10"/>
      <c r="VUH2196" s="10"/>
      <c r="VUI2196" s="10"/>
      <c r="VUJ2196" s="10"/>
      <c r="VUK2196" s="10"/>
      <c r="VUL2196" s="10"/>
      <c r="VUM2196" s="10"/>
      <c r="VUN2196" s="10"/>
      <c r="VUO2196" s="10"/>
      <c r="VUP2196" s="10"/>
      <c r="VUQ2196" s="10"/>
      <c r="VUR2196" s="10"/>
      <c r="VUS2196" s="10"/>
      <c r="VUT2196" s="10"/>
      <c r="VUU2196" s="10"/>
      <c r="VUV2196" s="10"/>
      <c r="VUW2196" s="10"/>
      <c r="VUX2196" s="10"/>
      <c r="VUY2196" s="10"/>
      <c r="VUZ2196" s="10"/>
      <c r="VVA2196" s="10"/>
      <c r="VVB2196" s="10"/>
      <c r="VVC2196" s="10"/>
      <c r="VVD2196" s="10"/>
      <c r="VVE2196" s="10"/>
      <c r="VVF2196" s="10"/>
      <c r="VVG2196" s="10"/>
      <c r="VVH2196" s="10"/>
      <c r="VVI2196" s="10"/>
      <c r="VVJ2196" s="10"/>
      <c r="VVK2196" s="10"/>
      <c r="VVL2196" s="10"/>
      <c r="VVM2196" s="10"/>
      <c r="VVN2196" s="10"/>
      <c r="VVO2196" s="10"/>
      <c r="VVP2196" s="10"/>
      <c r="VVQ2196" s="10"/>
      <c r="VVR2196" s="10"/>
      <c r="VVS2196" s="10"/>
      <c r="VVT2196" s="10"/>
      <c r="VVU2196" s="10"/>
      <c r="VVV2196" s="10"/>
      <c r="VVW2196" s="10"/>
      <c r="VVX2196" s="10"/>
      <c r="VVY2196" s="10"/>
      <c r="VVZ2196" s="10"/>
      <c r="VWA2196" s="10"/>
      <c r="VWB2196" s="10"/>
      <c r="VWC2196" s="10"/>
      <c r="VWD2196" s="10"/>
      <c r="VWE2196" s="10"/>
      <c r="VWF2196" s="10"/>
      <c r="VWG2196" s="10"/>
      <c r="VWH2196" s="10"/>
      <c r="VWI2196" s="10"/>
      <c r="VWJ2196" s="10"/>
      <c r="VWK2196" s="10"/>
      <c r="VWL2196" s="10"/>
      <c r="VWM2196" s="10"/>
      <c r="VWN2196" s="10"/>
      <c r="VWO2196" s="10"/>
      <c r="VWP2196" s="10"/>
      <c r="VWQ2196" s="10"/>
      <c r="VWR2196" s="10"/>
      <c r="VWS2196" s="10"/>
      <c r="VWT2196" s="10"/>
      <c r="VWU2196" s="10"/>
      <c r="VWV2196" s="10"/>
      <c r="VWW2196" s="10"/>
      <c r="VWX2196" s="10"/>
      <c r="VWY2196" s="10"/>
      <c r="VWZ2196" s="10"/>
      <c r="VXA2196" s="10"/>
      <c r="VXB2196" s="10"/>
      <c r="VXC2196" s="10"/>
      <c r="VXD2196" s="10"/>
      <c r="VXE2196" s="10"/>
      <c r="VXF2196" s="10"/>
      <c r="VXG2196" s="10"/>
      <c r="VXH2196" s="10"/>
      <c r="VXI2196" s="10"/>
      <c r="VXJ2196" s="10"/>
      <c r="VXK2196" s="10"/>
      <c r="VXL2196" s="10"/>
      <c r="VXM2196" s="10"/>
      <c r="VXN2196" s="10"/>
      <c r="VXO2196" s="10"/>
      <c r="VXP2196" s="10"/>
      <c r="VXQ2196" s="10"/>
      <c r="VXR2196" s="10"/>
      <c r="VXS2196" s="10"/>
      <c r="VXT2196" s="10"/>
      <c r="VXU2196" s="10"/>
      <c r="VXV2196" s="10"/>
      <c r="VXW2196" s="10"/>
      <c r="VXX2196" s="10"/>
      <c r="VXY2196" s="10"/>
      <c r="VXZ2196" s="10"/>
      <c r="VYA2196" s="10"/>
      <c r="VYB2196" s="10"/>
      <c r="VYC2196" s="10"/>
      <c r="VYD2196" s="10"/>
      <c r="VYE2196" s="10"/>
      <c r="VYF2196" s="10"/>
      <c r="VYG2196" s="10"/>
      <c r="VYH2196" s="10"/>
      <c r="VYI2196" s="10"/>
      <c r="VYJ2196" s="10"/>
      <c r="VYK2196" s="10"/>
      <c r="VYL2196" s="10"/>
      <c r="VYM2196" s="10"/>
      <c r="VYN2196" s="10"/>
      <c r="VYO2196" s="10"/>
      <c r="VYP2196" s="10"/>
      <c r="VYQ2196" s="10"/>
      <c r="VYR2196" s="10"/>
      <c r="VYS2196" s="10"/>
      <c r="VYT2196" s="10"/>
      <c r="VYU2196" s="10"/>
      <c r="VYV2196" s="10"/>
      <c r="VYW2196" s="10"/>
      <c r="VYX2196" s="10"/>
      <c r="VYY2196" s="10"/>
      <c r="VYZ2196" s="10"/>
      <c r="VZA2196" s="10"/>
      <c r="VZB2196" s="10"/>
      <c r="VZC2196" s="10"/>
      <c r="VZD2196" s="10"/>
      <c r="VZE2196" s="10"/>
      <c r="VZF2196" s="10"/>
      <c r="VZG2196" s="10"/>
      <c r="VZH2196" s="10"/>
      <c r="VZI2196" s="10"/>
      <c r="VZJ2196" s="10"/>
      <c r="VZK2196" s="10"/>
      <c r="VZL2196" s="10"/>
      <c r="VZM2196" s="10"/>
      <c r="VZN2196" s="10"/>
      <c r="VZO2196" s="10"/>
      <c r="VZP2196" s="10"/>
      <c r="VZQ2196" s="10"/>
      <c r="VZR2196" s="10"/>
      <c r="VZS2196" s="10"/>
      <c r="VZT2196" s="10"/>
      <c r="VZU2196" s="10"/>
      <c r="VZV2196" s="10"/>
      <c r="VZW2196" s="10"/>
      <c r="VZX2196" s="10"/>
      <c r="VZY2196" s="10"/>
      <c r="VZZ2196" s="10"/>
      <c r="WAA2196" s="10"/>
      <c r="WAB2196" s="10"/>
      <c r="WAC2196" s="10"/>
      <c r="WAD2196" s="10"/>
      <c r="WAE2196" s="10"/>
      <c r="WAF2196" s="10"/>
      <c r="WAG2196" s="10"/>
      <c r="WAH2196" s="10"/>
      <c r="WAI2196" s="10"/>
      <c r="WAJ2196" s="10"/>
      <c r="WAK2196" s="10"/>
      <c r="WAL2196" s="10"/>
      <c r="WAM2196" s="10"/>
      <c r="WAN2196" s="10"/>
      <c r="WAO2196" s="10"/>
      <c r="WAP2196" s="10"/>
      <c r="WAQ2196" s="10"/>
      <c r="WAR2196" s="10"/>
      <c r="WAS2196" s="10"/>
      <c r="WAT2196" s="10"/>
      <c r="WAU2196" s="10"/>
      <c r="WAV2196" s="10"/>
      <c r="WAW2196" s="10"/>
      <c r="WAX2196" s="10"/>
      <c r="WAY2196" s="10"/>
      <c r="WAZ2196" s="10"/>
      <c r="WBA2196" s="10"/>
      <c r="WBB2196" s="10"/>
      <c r="WBC2196" s="10"/>
      <c r="WBD2196" s="10"/>
      <c r="WBE2196" s="10"/>
      <c r="WBF2196" s="10"/>
      <c r="WBG2196" s="10"/>
      <c r="WBH2196" s="10"/>
      <c r="WBI2196" s="10"/>
      <c r="WBJ2196" s="10"/>
      <c r="WBK2196" s="10"/>
      <c r="WBL2196" s="10"/>
      <c r="WBM2196" s="10"/>
      <c r="WBN2196" s="10"/>
      <c r="WBO2196" s="10"/>
      <c r="WBP2196" s="10"/>
      <c r="WBQ2196" s="10"/>
      <c r="WBR2196" s="10"/>
      <c r="WBS2196" s="10"/>
      <c r="WBT2196" s="10"/>
      <c r="WBU2196" s="10"/>
      <c r="WBV2196" s="10"/>
      <c r="WBW2196" s="10"/>
      <c r="WBX2196" s="10"/>
      <c r="WBY2196" s="10"/>
      <c r="WBZ2196" s="10"/>
      <c r="WCA2196" s="10"/>
      <c r="WCB2196" s="10"/>
      <c r="WCC2196" s="10"/>
      <c r="WCD2196" s="10"/>
      <c r="WCE2196" s="10"/>
      <c r="WCF2196" s="10"/>
      <c r="WCG2196" s="10"/>
      <c r="WCH2196" s="10"/>
      <c r="WCI2196" s="10"/>
      <c r="WCJ2196" s="10"/>
      <c r="WCK2196" s="10"/>
      <c r="WCL2196" s="10"/>
      <c r="WCM2196" s="10"/>
      <c r="WCN2196" s="10"/>
      <c r="WCO2196" s="10"/>
      <c r="WCP2196" s="10"/>
      <c r="WCQ2196" s="10"/>
      <c r="WCR2196" s="10"/>
      <c r="WCS2196" s="10"/>
      <c r="WCT2196" s="10"/>
      <c r="WCU2196" s="10"/>
      <c r="WCV2196" s="10"/>
      <c r="WCW2196" s="10"/>
      <c r="WCX2196" s="10"/>
      <c r="WCY2196" s="10"/>
      <c r="WCZ2196" s="10"/>
      <c r="WDA2196" s="10"/>
      <c r="WDB2196" s="10"/>
      <c r="WDC2196" s="10"/>
      <c r="WDD2196" s="10"/>
      <c r="WDE2196" s="10"/>
      <c r="WDF2196" s="10"/>
      <c r="WDG2196" s="10"/>
      <c r="WDH2196" s="10"/>
      <c r="WDI2196" s="10"/>
      <c r="WDJ2196" s="10"/>
      <c r="WDK2196" s="10"/>
      <c r="WDL2196" s="10"/>
      <c r="WDM2196" s="10"/>
      <c r="WDN2196" s="10"/>
      <c r="WDO2196" s="10"/>
      <c r="WDP2196" s="10"/>
      <c r="WDQ2196" s="10"/>
      <c r="WDR2196" s="10"/>
      <c r="WDS2196" s="10"/>
      <c r="WDT2196" s="10"/>
      <c r="WDU2196" s="10"/>
      <c r="WDV2196" s="10"/>
      <c r="WDW2196" s="10"/>
      <c r="WDX2196" s="10"/>
      <c r="WDY2196" s="10"/>
      <c r="WDZ2196" s="10"/>
      <c r="WEA2196" s="10"/>
      <c r="WEB2196" s="10"/>
      <c r="WEC2196" s="10"/>
      <c r="WED2196" s="10"/>
      <c r="WEE2196" s="10"/>
      <c r="WEF2196" s="10"/>
      <c r="WEG2196" s="10"/>
      <c r="WEH2196" s="10"/>
      <c r="WEI2196" s="10"/>
      <c r="WEJ2196" s="10"/>
      <c r="WEK2196" s="10"/>
      <c r="WEL2196" s="10"/>
      <c r="WEM2196" s="10"/>
      <c r="WEN2196" s="10"/>
      <c r="WEO2196" s="10"/>
      <c r="WEP2196" s="10"/>
      <c r="WEQ2196" s="10"/>
      <c r="WER2196" s="10"/>
      <c r="WES2196" s="10"/>
      <c r="WET2196" s="10"/>
      <c r="WEU2196" s="10"/>
      <c r="WEV2196" s="10"/>
      <c r="WEW2196" s="10"/>
      <c r="WEX2196" s="10"/>
      <c r="WEY2196" s="10"/>
      <c r="WEZ2196" s="10"/>
      <c r="WFA2196" s="10"/>
      <c r="WFB2196" s="10"/>
      <c r="WFC2196" s="10"/>
      <c r="WFD2196" s="10"/>
      <c r="WFE2196" s="10"/>
      <c r="WFF2196" s="10"/>
      <c r="WFG2196" s="10"/>
      <c r="WFH2196" s="10"/>
      <c r="WFI2196" s="10"/>
      <c r="WFJ2196" s="10"/>
      <c r="WFK2196" s="10"/>
      <c r="WFL2196" s="10"/>
      <c r="WFM2196" s="10"/>
      <c r="WFN2196" s="10"/>
      <c r="WFO2196" s="10"/>
      <c r="WFP2196" s="10"/>
      <c r="WFQ2196" s="10"/>
      <c r="WFR2196" s="10"/>
      <c r="WFS2196" s="10"/>
      <c r="WFT2196" s="10"/>
      <c r="WFU2196" s="10"/>
      <c r="WFV2196" s="10"/>
      <c r="WFW2196" s="10"/>
      <c r="WFX2196" s="10"/>
      <c r="WFY2196" s="10"/>
      <c r="WFZ2196" s="10"/>
      <c r="WGA2196" s="10"/>
      <c r="WGB2196" s="10"/>
      <c r="WGC2196" s="10"/>
      <c r="WGD2196" s="10"/>
      <c r="WGE2196" s="10"/>
      <c r="WGF2196" s="10"/>
      <c r="WGG2196" s="10"/>
      <c r="WGH2196" s="10"/>
      <c r="WGI2196" s="10"/>
      <c r="WGJ2196" s="10"/>
      <c r="WGK2196" s="10"/>
      <c r="WGL2196" s="10"/>
      <c r="WGM2196" s="10"/>
      <c r="WGN2196" s="10"/>
      <c r="WGO2196" s="10"/>
      <c r="WGP2196" s="10"/>
      <c r="WGQ2196" s="10"/>
      <c r="WGR2196" s="10"/>
      <c r="WGS2196" s="10"/>
      <c r="WGT2196" s="10"/>
      <c r="WGU2196" s="10"/>
      <c r="WGV2196" s="10"/>
      <c r="WGW2196" s="10"/>
      <c r="WGX2196" s="10"/>
      <c r="WGY2196" s="10"/>
      <c r="WGZ2196" s="10"/>
      <c r="WHA2196" s="10"/>
      <c r="WHB2196" s="10"/>
      <c r="WHC2196" s="10"/>
      <c r="WHD2196" s="10"/>
      <c r="WHE2196" s="10"/>
      <c r="WHF2196" s="10"/>
      <c r="WHG2196" s="10"/>
      <c r="WHH2196" s="10"/>
      <c r="WHI2196" s="10"/>
      <c r="WHJ2196" s="10"/>
      <c r="WHK2196" s="10"/>
      <c r="WHL2196" s="10"/>
      <c r="WHM2196" s="10"/>
      <c r="WHN2196" s="10"/>
      <c r="WHO2196" s="10"/>
      <c r="WHP2196" s="10"/>
      <c r="WHQ2196" s="10"/>
      <c r="WHR2196" s="10"/>
      <c r="WHS2196" s="10"/>
      <c r="WHT2196" s="10"/>
      <c r="WHU2196" s="10"/>
      <c r="WHV2196" s="10"/>
      <c r="WHW2196" s="10"/>
      <c r="WHX2196" s="10"/>
      <c r="WHY2196" s="10"/>
      <c r="WHZ2196" s="10"/>
      <c r="WIA2196" s="10"/>
      <c r="WIB2196" s="10"/>
      <c r="WIC2196" s="10"/>
      <c r="WID2196" s="10"/>
      <c r="WIE2196" s="10"/>
      <c r="WIF2196" s="10"/>
      <c r="WIG2196" s="10"/>
      <c r="WIH2196" s="10"/>
      <c r="WII2196" s="10"/>
      <c r="WIJ2196" s="10"/>
      <c r="WIK2196" s="10"/>
      <c r="WIL2196" s="10"/>
      <c r="WIM2196" s="10"/>
      <c r="WIN2196" s="10"/>
      <c r="WIO2196" s="10"/>
      <c r="WIP2196" s="10"/>
      <c r="WIQ2196" s="10"/>
      <c r="WIR2196" s="10"/>
      <c r="WIS2196" s="10"/>
      <c r="WIT2196" s="10"/>
      <c r="WIU2196" s="10"/>
      <c r="WIV2196" s="10"/>
      <c r="WIW2196" s="10"/>
      <c r="WIX2196" s="10"/>
      <c r="WIY2196" s="10"/>
      <c r="WIZ2196" s="10"/>
      <c r="WJA2196" s="10"/>
      <c r="WJB2196" s="10"/>
      <c r="WJC2196" s="10"/>
      <c r="WJD2196" s="10"/>
      <c r="WJE2196" s="10"/>
      <c r="WJF2196" s="10"/>
      <c r="WJG2196" s="10"/>
      <c r="WJH2196" s="10"/>
      <c r="WJI2196" s="10"/>
      <c r="WJJ2196" s="10"/>
      <c r="WJK2196" s="10"/>
      <c r="WJL2196" s="10"/>
      <c r="WJM2196" s="10"/>
      <c r="WJN2196" s="10"/>
      <c r="WJO2196" s="10"/>
      <c r="WJP2196" s="10"/>
      <c r="WJQ2196" s="10"/>
      <c r="WJR2196" s="10"/>
      <c r="WJS2196" s="10"/>
      <c r="WJT2196" s="10"/>
      <c r="WJU2196" s="10"/>
      <c r="WJV2196" s="10"/>
      <c r="WJW2196" s="10"/>
      <c r="WJX2196" s="10"/>
      <c r="WJY2196" s="10"/>
      <c r="WJZ2196" s="10"/>
      <c r="WKA2196" s="10"/>
      <c r="WKB2196" s="10"/>
      <c r="WKC2196" s="10"/>
      <c r="WKD2196" s="10"/>
      <c r="WKE2196" s="10"/>
      <c r="WKF2196" s="10"/>
      <c r="WKG2196" s="10"/>
      <c r="WKH2196" s="10"/>
      <c r="WKI2196" s="10"/>
      <c r="WKJ2196" s="10"/>
      <c r="WKK2196" s="10"/>
      <c r="WKL2196" s="10"/>
      <c r="WKM2196" s="10"/>
      <c r="WKN2196" s="10"/>
      <c r="WKO2196" s="10"/>
      <c r="WKP2196" s="10"/>
      <c r="WKQ2196" s="10"/>
      <c r="WKR2196" s="10"/>
      <c r="WKS2196" s="10"/>
      <c r="WKT2196" s="10"/>
      <c r="WKU2196" s="10"/>
      <c r="WKV2196" s="10"/>
      <c r="WKW2196" s="10"/>
      <c r="WKX2196" s="10"/>
      <c r="WKY2196" s="10"/>
      <c r="WKZ2196" s="10"/>
      <c r="WLA2196" s="10"/>
      <c r="WLB2196" s="10"/>
      <c r="WLC2196" s="10"/>
      <c r="WLD2196" s="10"/>
      <c r="WLE2196" s="10"/>
      <c r="WLF2196" s="10"/>
      <c r="WLG2196" s="10"/>
      <c r="WLH2196" s="10"/>
      <c r="WLI2196" s="10"/>
      <c r="WLJ2196" s="10"/>
      <c r="WLK2196" s="10"/>
      <c r="WLL2196" s="10"/>
      <c r="WLM2196" s="10"/>
      <c r="WLN2196" s="10"/>
      <c r="WLO2196" s="10"/>
      <c r="WLP2196" s="10"/>
      <c r="WLQ2196" s="10"/>
      <c r="WLR2196" s="10"/>
      <c r="WLS2196" s="10"/>
      <c r="WLT2196" s="10"/>
      <c r="WLU2196" s="10"/>
      <c r="WLV2196" s="10"/>
      <c r="WLW2196" s="10"/>
      <c r="WLX2196" s="10"/>
      <c r="WLY2196" s="10"/>
      <c r="WLZ2196" s="10"/>
      <c r="WMA2196" s="10"/>
      <c r="WMB2196" s="10"/>
      <c r="WMC2196" s="10"/>
      <c r="WMD2196" s="10"/>
      <c r="WME2196" s="10"/>
      <c r="WMF2196" s="10"/>
      <c r="WMG2196" s="10"/>
      <c r="WMH2196" s="10"/>
      <c r="WMI2196" s="10"/>
      <c r="WMJ2196" s="10"/>
      <c r="WMK2196" s="10"/>
      <c r="WML2196" s="10"/>
      <c r="WMM2196" s="10"/>
      <c r="WMN2196" s="10"/>
      <c r="WMO2196" s="10"/>
      <c r="WMP2196" s="10"/>
      <c r="WMQ2196" s="10"/>
      <c r="WMR2196" s="10"/>
      <c r="WMS2196" s="10"/>
      <c r="WMT2196" s="10"/>
      <c r="WMU2196" s="10"/>
      <c r="WMV2196" s="10"/>
      <c r="WMW2196" s="10"/>
      <c r="WMX2196" s="10"/>
      <c r="WMY2196" s="10"/>
      <c r="WMZ2196" s="10"/>
      <c r="WNA2196" s="10"/>
      <c r="WNB2196" s="10"/>
      <c r="WNC2196" s="10"/>
      <c r="WND2196" s="10"/>
      <c r="WNE2196" s="10"/>
      <c r="WNF2196" s="10"/>
      <c r="WNG2196" s="10"/>
      <c r="WNH2196" s="10"/>
      <c r="WNI2196" s="10"/>
      <c r="WNJ2196" s="10"/>
      <c r="WNK2196" s="10"/>
      <c r="WNL2196" s="10"/>
      <c r="WNM2196" s="10"/>
      <c r="WNN2196" s="10"/>
      <c r="WNO2196" s="10"/>
      <c r="WNP2196" s="10"/>
      <c r="WNQ2196" s="10"/>
      <c r="WNR2196" s="10"/>
      <c r="WNS2196" s="10"/>
      <c r="WNT2196" s="10"/>
      <c r="WNU2196" s="10"/>
      <c r="WNV2196" s="10"/>
      <c r="WNW2196" s="10"/>
      <c r="WNX2196" s="10"/>
      <c r="WNY2196" s="10"/>
      <c r="WNZ2196" s="10"/>
      <c r="WOA2196" s="10"/>
      <c r="WOB2196" s="10"/>
      <c r="WOC2196" s="10"/>
      <c r="WOD2196" s="10"/>
      <c r="WOE2196" s="10"/>
      <c r="WOF2196" s="10"/>
      <c r="WOG2196" s="10"/>
      <c r="WOH2196" s="10"/>
      <c r="WOI2196" s="10"/>
      <c r="WOJ2196" s="10"/>
      <c r="WOK2196" s="10"/>
      <c r="WOL2196" s="10"/>
      <c r="WOM2196" s="10"/>
      <c r="WON2196" s="10"/>
      <c r="WOO2196" s="10"/>
      <c r="WOP2196" s="10"/>
      <c r="WOQ2196" s="10"/>
      <c r="WOR2196" s="10"/>
      <c r="WOS2196" s="10"/>
      <c r="WOT2196" s="10"/>
      <c r="WOU2196" s="10"/>
      <c r="WOV2196" s="10"/>
      <c r="WOW2196" s="10"/>
      <c r="WOX2196" s="10"/>
      <c r="WOY2196" s="10"/>
      <c r="WOZ2196" s="10"/>
      <c r="WPA2196" s="10"/>
      <c r="WPB2196" s="10"/>
      <c r="WPC2196" s="10"/>
      <c r="WPD2196" s="10"/>
      <c r="WPE2196" s="10"/>
      <c r="WPF2196" s="10"/>
      <c r="WPG2196" s="10"/>
      <c r="WPH2196" s="10"/>
      <c r="WPI2196" s="10"/>
      <c r="WPJ2196" s="10"/>
      <c r="WPK2196" s="10"/>
      <c r="WPL2196" s="10"/>
      <c r="WPM2196" s="10"/>
      <c r="WPN2196" s="10"/>
      <c r="WPO2196" s="10"/>
      <c r="WPP2196" s="10"/>
      <c r="WPQ2196" s="10"/>
      <c r="WPR2196" s="10"/>
      <c r="WPS2196" s="10"/>
      <c r="WPT2196" s="10"/>
      <c r="WPU2196" s="10"/>
      <c r="WPV2196" s="10"/>
      <c r="WPW2196" s="10"/>
      <c r="WPX2196" s="10"/>
      <c r="WPY2196" s="10"/>
      <c r="WPZ2196" s="10"/>
      <c r="WQA2196" s="10"/>
      <c r="WQB2196" s="10"/>
      <c r="WQC2196" s="10"/>
      <c r="WQD2196" s="10"/>
      <c r="WQE2196" s="10"/>
      <c r="WQF2196" s="10"/>
      <c r="WQG2196" s="10"/>
      <c r="WQH2196" s="10"/>
      <c r="WQI2196" s="10"/>
      <c r="WQJ2196" s="10"/>
      <c r="WQK2196" s="10"/>
      <c r="WQL2196" s="10"/>
      <c r="WQM2196" s="10"/>
      <c r="WQN2196" s="10"/>
      <c r="WQO2196" s="10"/>
      <c r="WQP2196" s="10"/>
      <c r="WQQ2196" s="10"/>
      <c r="WQR2196" s="10"/>
      <c r="WQS2196" s="10"/>
      <c r="WQT2196" s="10"/>
      <c r="WQU2196" s="10"/>
      <c r="WQV2196" s="10"/>
      <c r="WQW2196" s="10"/>
      <c r="WQX2196" s="10"/>
      <c r="WQY2196" s="10"/>
      <c r="WQZ2196" s="10"/>
      <c r="WRA2196" s="10"/>
      <c r="WRB2196" s="10"/>
      <c r="WRC2196" s="10"/>
      <c r="WRD2196" s="10"/>
      <c r="WRE2196" s="10"/>
      <c r="WRF2196" s="10"/>
      <c r="WRG2196" s="10"/>
      <c r="WRH2196" s="10"/>
      <c r="WRI2196" s="10"/>
      <c r="WRJ2196" s="10"/>
      <c r="WRK2196" s="10"/>
      <c r="WRL2196" s="10"/>
      <c r="WRM2196" s="10"/>
      <c r="WRN2196" s="10"/>
      <c r="WRO2196" s="10"/>
      <c r="WRP2196" s="10"/>
      <c r="WRQ2196" s="10"/>
      <c r="WRR2196" s="10"/>
      <c r="WRS2196" s="10"/>
      <c r="WRT2196" s="10"/>
      <c r="WRU2196" s="10"/>
      <c r="WRV2196" s="10"/>
      <c r="WRW2196" s="10"/>
      <c r="WRX2196" s="10"/>
      <c r="WRY2196" s="10"/>
      <c r="WRZ2196" s="10"/>
      <c r="WSA2196" s="10"/>
      <c r="WSB2196" s="10"/>
      <c r="WSC2196" s="10"/>
      <c r="WSD2196" s="10"/>
      <c r="WSE2196" s="10"/>
      <c r="WSF2196" s="10"/>
      <c r="WSG2196" s="10"/>
      <c r="WSH2196" s="10"/>
      <c r="WSI2196" s="10"/>
      <c r="WSJ2196" s="10"/>
      <c r="WSK2196" s="10"/>
      <c r="WSL2196" s="10"/>
      <c r="WSM2196" s="10"/>
      <c r="WSN2196" s="10"/>
      <c r="WSO2196" s="10"/>
      <c r="WSP2196" s="10"/>
      <c r="WSQ2196" s="10"/>
      <c r="WSR2196" s="10"/>
      <c r="WSS2196" s="10"/>
      <c r="WST2196" s="10"/>
      <c r="WSU2196" s="10"/>
      <c r="WSV2196" s="10"/>
      <c r="WSW2196" s="10"/>
      <c r="WSX2196" s="10"/>
      <c r="WSY2196" s="10"/>
      <c r="WSZ2196" s="10"/>
      <c r="WTA2196" s="10"/>
      <c r="WTB2196" s="10"/>
      <c r="WTC2196" s="10"/>
      <c r="WTD2196" s="10"/>
      <c r="WTE2196" s="10"/>
      <c r="WTF2196" s="10"/>
      <c r="WTG2196" s="10"/>
      <c r="WTH2196" s="10"/>
      <c r="WTI2196" s="10"/>
      <c r="WTJ2196" s="10"/>
      <c r="WTK2196" s="10"/>
      <c r="WTL2196" s="10"/>
      <c r="WTM2196" s="10"/>
      <c r="WTN2196" s="10"/>
      <c r="WTO2196" s="10"/>
      <c r="WTP2196" s="10"/>
      <c r="WTQ2196" s="10"/>
      <c r="WTR2196" s="10"/>
      <c r="WTS2196" s="10"/>
      <c r="WTT2196" s="10"/>
      <c r="WTU2196" s="10"/>
      <c r="WTV2196" s="10"/>
      <c r="WTW2196" s="10"/>
      <c r="WTX2196" s="10"/>
      <c r="WTY2196" s="10"/>
      <c r="WTZ2196" s="10"/>
      <c r="WUA2196" s="10"/>
      <c r="WUB2196" s="10"/>
      <c r="WUC2196" s="10"/>
      <c r="WUD2196" s="10"/>
      <c r="WUE2196" s="10"/>
      <c r="WUF2196" s="10"/>
      <c r="WUG2196" s="10"/>
      <c r="WUH2196" s="10"/>
      <c r="WUI2196" s="10"/>
      <c r="WUJ2196" s="10"/>
      <c r="WUK2196" s="10"/>
      <c r="WUL2196" s="10"/>
      <c r="WUM2196" s="10"/>
      <c r="WUN2196" s="10"/>
      <c r="WUO2196" s="10"/>
      <c r="WUP2196" s="10"/>
      <c r="WUQ2196" s="10"/>
      <c r="WUR2196" s="10"/>
      <c r="WUS2196" s="10"/>
      <c r="WUT2196" s="10"/>
      <c r="WUU2196" s="10"/>
      <c r="WUV2196" s="10"/>
      <c r="WUW2196" s="10"/>
      <c r="WUX2196" s="10"/>
      <c r="WUY2196" s="10"/>
      <c r="WUZ2196" s="10"/>
      <c r="WVA2196" s="10"/>
      <c r="WVB2196" s="10"/>
      <c r="WVC2196" s="10"/>
      <c r="WVD2196" s="10"/>
      <c r="WVE2196" s="10"/>
      <c r="WVF2196" s="10"/>
      <c r="WVG2196" s="10"/>
      <c r="WVH2196" s="10"/>
      <c r="WVI2196" s="10"/>
      <c r="WVJ2196" s="10"/>
      <c r="WVK2196" s="10"/>
      <c r="WVL2196" s="10"/>
      <c r="WVM2196" s="10"/>
      <c r="WVN2196" s="10"/>
      <c r="WVO2196" s="10"/>
      <c r="WVP2196" s="10"/>
      <c r="WVQ2196" s="10"/>
      <c r="WVR2196" s="10"/>
      <c r="WVS2196" s="10"/>
      <c r="WVT2196" s="10"/>
      <c r="WVU2196" s="10"/>
      <c r="WVV2196" s="10"/>
      <c r="WVW2196" s="10"/>
      <c r="WVX2196" s="10"/>
      <c r="WVY2196" s="10"/>
      <c r="WVZ2196" s="10"/>
      <c r="WWA2196" s="10"/>
      <c r="WWB2196" s="10"/>
      <c r="WWC2196" s="10"/>
      <c r="WWD2196" s="10"/>
      <c r="WWE2196" s="10"/>
      <c r="WWF2196" s="10"/>
      <c r="WWG2196" s="10"/>
      <c r="WWH2196" s="10"/>
      <c r="WWI2196" s="10"/>
      <c r="WWJ2196" s="10"/>
      <c r="WWK2196" s="10"/>
      <c r="WWL2196" s="10"/>
      <c r="WWM2196" s="10"/>
      <c r="WWN2196" s="10"/>
      <c r="WWO2196" s="10"/>
      <c r="WWP2196" s="10"/>
      <c r="WWQ2196" s="10"/>
      <c r="WWR2196" s="10"/>
      <c r="WWS2196" s="10"/>
      <c r="WWT2196" s="10"/>
      <c r="WWU2196" s="10"/>
      <c r="WWV2196" s="10"/>
      <c r="WWW2196" s="10"/>
      <c r="WWX2196" s="10"/>
      <c r="WWY2196" s="10"/>
      <c r="WWZ2196" s="10"/>
      <c r="WXA2196" s="10"/>
      <c r="WXB2196" s="10"/>
      <c r="WXC2196" s="10"/>
      <c r="WXD2196" s="10"/>
      <c r="WXE2196" s="10"/>
      <c r="WXF2196" s="10"/>
      <c r="WXG2196" s="10"/>
      <c r="WXH2196" s="10"/>
      <c r="WXI2196" s="10"/>
      <c r="WXJ2196" s="10"/>
      <c r="WXK2196" s="10"/>
      <c r="WXL2196" s="10"/>
      <c r="WXM2196" s="10"/>
      <c r="WXN2196" s="10"/>
      <c r="WXO2196" s="10"/>
      <c r="WXP2196" s="10"/>
      <c r="WXQ2196" s="10"/>
      <c r="WXR2196" s="10"/>
      <c r="WXS2196" s="10"/>
      <c r="WXT2196" s="10"/>
      <c r="WXU2196" s="10"/>
      <c r="WXV2196" s="10"/>
      <c r="WXW2196" s="10"/>
      <c r="WXX2196" s="10"/>
      <c r="WXY2196" s="10"/>
      <c r="WXZ2196" s="10"/>
      <c r="WYA2196" s="10"/>
      <c r="WYB2196" s="10"/>
      <c r="WYC2196" s="10"/>
      <c r="WYD2196" s="10"/>
      <c r="WYE2196" s="10"/>
      <c r="WYF2196" s="10"/>
      <c r="WYG2196" s="10"/>
      <c r="WYH2196" s="10"/>
      <c r="WYI2196" s="10"/>
      <c r="WYJ2196" s="10"/>
      <c r="WYK2196" s="10"/>
      <c r="WYL2196" s="10"/>
      <c r="WYM2196" s="10"/>
      <c r="WYN2196" s="10"/>
      <c r="WYO2196" s="10"/>
      <c r="WYP2196" s="10"/>
      <c r="WYQ2196" s="10"/>
      <c r="WYR2196" s="10"/>
      <c r="WYS2196" s="10"/>
      <c r="WYT2196" s="10"/>
      <c r="WYU2196" s="10"/>
      <c r="WYV2196" s="10"/>
      <c r="WYW2196" s="10"/>
      <c r="WYX2196" s="10"/>
      <c r="WYY2196" s="10"/>
      <c r="WYZ2196" s="10"/>
      <c r="WZA2196" s="10"/>
      <c r="WZB2196" s="10"/>
      <c r="WZC2196" s="10"/>
      <c r="WZD2196" s="10"/>
      <c r="WZE2196" s="10"/>
      <c r="WZF2196" s="10"/>
      <c r="WZG2196" s="10"/>
      <c r="WZH2196" s="10"/>
      <c r="WZI2196" s="10"/>
      <c r="WZJ2196" s="10"/>
      <c r="WZK2196" s="10"/>
      <c r="WZL2196" s="10"/>
      <c r="WZM2196" s="10"/>
      <c r="WZN2196" s="10"/>
      <c r="WZO2196" s="10"/>
      <c r="WZP2196" s="10"/>
      <c r="WZQ2196" s="10"/>
      <c r="WZR2196" s="10"/>
      <c r="WZS2196" s="10"/>
      <c r="WZT2196" s="10"/>
      <c r="WZU2196" s="10"/>
      <c r="WZV2196" s="10"/>
      <c r="WZW2196" s="10"/>
      <c r="WZX2196" s="10"/>
      <c r="WZY2196" s="10"/>
      <c r="WZZ2196" s="10"/>
      <c r="XAA2196" s="10"/>
      <c r="XAB2196" s="10"/>
      <c r="XAC2196" s="10"/>
      <c r="XAD2196" s="10"/>
      <c r="XAE2196" s="10"/>
      <c r="XAF2196" s="10"/>
      <c r="XAG2196" s="10"/>
      <c r="XAH2196" s="10"/>
      <c r="XAI2196" s="10"/>
      <c r="XAJ2196" s="10"/>
      <c r="XAK2196" s="10"/>
      <c r="XAL2196" s="10"/>
      <c r="XAM2196" s="10"/>
      <c r="XAN2196" s="10"/>
      <c r="XAO2196" s="10"/>
      <c r="XAP2196" s="10"/>
      <c r="XAQ2196" s="10"/>
      <c r="XAR2196" s="10"/>
      <c r="XAS2196" s="10"/>
      <c r="XAT2196" s="10"/>
      <c r="XAU2196" s="10"/>
      <c r="XAV2196" s="10"/>
      <c r="XAW2196" s="10"/>
      <c r="XAX2196" s="10"/>
      <c r="XAY2196" s="10"/>
      <c r="XAZ2196" s="10"/>
      <c r="XBA2196" s="10"/>
      <c r="XBB2196" s="10"/>
      <c r="XBC2196" s="10"/>
      <c r="XBD2196" s="10"/>
      <c r="XBE2196" s="10"/>
      <c r="XBF2196" s="10"/>
      <c r="XBG2196" s="10"/>
      <c r="XBH2196" s="10"/>
      <c r="XBI2196" s="10"/>
      <c r="XBJ2196" s="10"/>
      <c r="XBK2196" s="10"/>
      <c r="XBL2196" s="10"/>
      <c r="XBM2196" s="10"/>
      <c r="XBN2196" s="10"/>
      <c r="XBO2196" s="10"/>
      <c r="XBP2196" s="10"/>
      <c r="XBQ2196" s="10"/>
      <c r="XBR2196" s="10"/>
      <c r="XBS2196" s="10"/>
      <c r="XBT2196" s="10"/>
      <c r="XBU2196" s="10"/>
      <c r="XBV2196" s="10"/>
      <c r="XBW2196" s="10"/>
      <c r="XBX2196" s="10"/>
      <c r="XBY2196" s="10"/>
      <c r="XBZ2196" s="10"/>
      <c r="XCA2196" s="10"/>
      <c r="XCB2196" s="10"/>
      <c r="XCC2196" s="10"/>
      <c r="XCD2196" s="10"/>
      <c r="XCE2196" s="10"/>
      <c r="XCF2196" s="10"/>
      <c r="XCG2196" s="10"/>
      <c r="XCH2196" s="10"/>
      <c r="XCI2196" s="10"/>
      <c r="XCJ2196" s="10"/>
      <c r="XCK2196" s="10"/>
      <c r="XCL2196" s="10"/>
      <c r="XCM2196" s="10"/>
      <c r="XCN2196" s="10"/>
      <c r="XCO2196" s="10"/>
      <c r="XCP2196" s="10"/>
      <c r="XCQ2196" s="10"/>
      <c r="XCR2196" s="10"/>
      <c r="XCS2196" s="10"/>
      <c r="XCT2196" s="10"/>
      <c r="XCU2196" s="10"/>
      <c r="XCV2196" s="10"/>
      <c r="XCW2196" s="10"/>
      <c r="XCX2196" s="10"/>
      <c r="XCY2196" s="10"/>
      <c r="XCZ2196" s="10"/>
      <c r="XDA2196" s="10"/>
      <c r="XDB2196" s="10"/>
      <c r="XDC2196" s="10"/>
      <c r="XDD2196" s="10"/>
      <c r="XDE2196" s="10"/>
      <c r="XDF2196" s="10"/>
      <c r="XDG2196" s="10"/>
      <c r="XDH2196" s="10"/>
      <c r="XDI2196" s="10"/>
      <c r="XDJ2196" s="10"/>
      <c r="XDK2196" s="10"/>
      <c r="XDL2196" s="10"/>
      <c r="XDM2196" s="10"/>
      <c r="XDN2196" s="10"/>
      <c r="XDO2196" s="10"/>
      <c r="XDP2196" s="10"/>
      <c r="XDQ2196" s="10"/>
      <c r="XDR2196" s="10"/>
      <c r="XDS2196" s="10"/>
      <c r="XDT2196" s="10"/>
      <c r="XDU2196" s="10"/>
      <c r="XDV2196" s="10"/>
      <c r="XDW2196" s="10"/>
      <c r="XDX2196" s="10"/>
      <c r="XDY2196" s="10"/>
      <c r="XDZ2196" s="10"/>
      <c r="XEA2196" s="10"/>
      <c r="XEB2196" s="10"/>
      <c r="XEC2196" s="10"/>
      <c r="XED2196" s="10"/>
      <c r="XEE2196" s="10"/>
      <c r="XEF2196" s="10"/>
      <c r="XEG2196" s="10"/>
      <c r="XEH2196" s="10"/>
      <c r="XEI2196" s="10"/>
      <c r="XEJ2196" s="10"/>
      <c r="XEK2196" s="10"/>
      <c r="XEL2196" s="10"/>
      <c r="XEM2196" s="10"/>
      <c r="XEN2196" s="10"/>
      <c r="XEO2196" s="10"/>
      <c r="XEP2196" s="10"/>
      <c r="XEQ2196" s="10"/>
      <c r="XER2196" s="10"/>
      <c r="XES2196" s="10"/>
      <c r="XET2196" s="10"/>
      <c r="XEU2196" s="10"/>
      <c r="XEV2196" s="10"/>
      <c r="XEW2196" s="10"/>
      <c r="XEX2196" s="10"/>
      <c r="XEY2196" s="10"/>
      <c r="XEZ2196" s="10"/>
    </row>
    <row r="2197" spans="1:16380">
      <c r="A2197" s="7">
        <f>IF(B2197="","",SUBTOTAL(103,$B$2:B2197))</f>
        <v>2196</v>
      </c>
      <c r="B2197" s="8" t="s">
        <v>5953</v>
      </c>
      <c r="C2197" s="7"/>
      <c r="D2197" s="9" t="s">
        <v>5956</v>
      </c>
      <c r="E2197" s="7"/>
      <c r="F2197" s="7"/>
      <c r="G2197" s="7" t="s">
        <v>5953</v>
      </c>
      <c r="H2197" s="7">
        <v>0.17100000000000001</v>
      </c>
      <c r="I2197" s="7">
        <v>28</v>
      </c>
      <c r="J2197" s="7">
        <v>800</v>
      </c>
      <c r="K2197" s="7">
        <v>600</v>
      </c>
      <c r="L2197" s="7">
        <v>150</v>
      </c>
      <c r="M2197" s="7">
        <v>30</v>
      </c>
      <c r="N2197" s="7">
        <v>120</v>
      </c>
      <c r="O2197" s="7">
        <v>300</v>
      </c>
      <c r="P2197" s="7">
        <v>700</v>
      </c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0"/>
      <c r="BC2197" s="10"/>
      <c r="BD2197" s="10"/>
      <c r="BE2197" s="10"/>
      <c r="BF2197" s="10"/>
      <c r="BG2197" s="10"/>
      <c r="BH2197" s="10"/>
      <c r="BI2197" s="10"/>
      <c r="BJ2197" s="10"/>
      <c r="BK2197" s="10"/>
      <c r="BL2197" s="10"/>
      <c r="BM2197" s="10"/>
      <c r="BN2197" s="10"/>
      <c r="BO2197" s="10"/>
      <c r="BP2197" s="10"/>
      <c r="BQ2197" s="10"/>
      <c r="BR2197" s="10"/>
      <c r="BS2197" s="10"/>
      <c r="BT2197" s="10"/>
      <c r="BU2197" s="10"/>
      <c r="BV2197" s="10"/>
      <c r="BW2197" s="10"/>
      <c r="BX2197" s="10"/>
      <c r="BY2197" s="10"/>
      <c r="BZ2197" s="10"/>
      <c r="CA2197" s="10"/>
      <c r="CB2197" s="10"/>
      <c r="CC2197" s="10"/>
      <c r="CD2197" s="10"/>
      <c r="CE2197" s="10"/>
      <c r="CF2197" s="10"/>
      <c r="CG2197" s="10"/>
      <c r="CH2197" s="10"/>
      <c r="CI2197" s="10"/>
      <c r="CJ2197" s="10"/>
      <c r="CK2197" s="10"/>
      <c r="CL2197" s="10"/>
      <c r="CM2197" s="10"/>
      <c r="CN2197" s="10"/>
      <c r="CO2197" s="10"/>
      <c r="CP2197" s="10"/>
      <c r="CQ2197" s="10"/>
      <c r="CR2197" s="10"/>
      <c r="CS2197" s="10"/>
      <c r="CT2197" s="10"/>
      <c r="CU2197" s="10"/>
      <c r="CV2197" s="10"/>
      <c r="CW2197" s="10"/>
      <c r="CX2197" s="10"/>
      <c r="CY2197" s="10"/>
      <c r="CZ2197" s="10"/>
      <c r="DA2197" s="10"/>
      <c r="DB2197" s="10"/>
      <c r="DC2197" s="10"/>
      <c r="DD2197" s="10"/>
      <c r="DE2197" s="10"/>
      <c r="DF2197" s="10"/>
      <c r="DG2197" s="10"/>
      <c r="DH2197" s="10"/>
      <c r="DI2197" s="10"/>
      <c r="DJ2197" s="10"/>
      <c r="DK2197" s="10"/>
      <c r="DL2197" s="10"/>
      <c r="DM2197" s="10"/>
      <c r="DN2197" s="10"/>
      <c r="DO2197" s="10"/>
      <c r="DP2197" s="10"/>
      <c r="DQ2197" s="10"/>
      <c r="DR2197" s="10"/>
      <c r="DS2197" s="10"/>
      <c r="DT2197" s="10"/>
      <c r="DU2197" s="10"/>
      <c r="DV2197" s="10"/>
      <c r="DW2197" s="10"/>
      <c r="DX2197" s="10"/>
      <c r="DY2197" s="10"/>
      <c r="DZ2197" s="10"/>
      <c r="EA2197" s="10"/>
      <c r="EB2197" s="10"/>
      <c r="EC2197" s="10"/>
      <c r="ED2197" s="10"/>
      <c r="EE2197" s="10"/>
      <c r="EF2197" s="10"/>
      <c r="EG2197" s="10"/>
      <c r="EH2197" s="10"/>
      <c r="EI2197" s="10"/>
      <c r="EJ2197" s="10"/>
      <c r="EK2197" s="10"/>
      <c r="EL2197" s="10"/>
      <c r="EM2197" s="10"/>
      <c r="EN2197" s="10"/>
      <c r="EO2197" s="10"/>
      <c r="EP2197" s="10"/>
      <c r="EQ2197" s="10"/>
      <c r="ER2197" s="10"/>
      <c r="ES2197" s="10"/>
      <c r="ET2197" s="10"/>
      <c r="EU2197" s="10"/>
      <c r="EV2197" s="10"/>
      <c r="EW2197" s="10"/>
      <c r="EX2197" s="10"/>
      <c r="EY2197" s="10"/>
      <c r="EZ2197" s="10"/>
      <c r="FA2197" s="10"/>
      <c r="FB2197" s="10"/>
      <c r="FC2197" s="10"/>
      <c r="FD2197" s="10"/>
      <c r="FE2197" s="10"/>
      <c r="FF2197" s="10"/>
      <c r="FG2197" s="10"/>
      <c r="FH2197" s="10"/>
      <c r="FI2197" s="10"/>
      <c r="FJ2197" s="10"/>
      <c r="FK2197" s="10"/>
      <c r="FL2197" s="10"/>
      <c r="FM2197" s="10"/>
      <c r="FN2197" s="10"/>
      <c r="FO2197" s="10"/>
      <c r="FP2197" s="10"/>
      <c r="FQ2197" s="10"/>
      <c r="FR2197" s="10"/>
      <c r="FS2197" s="10"/>
      <c r="FT2197" s="10"/>
      <c r="FU2197" s="10"/>
      <c r="FV2197" s="10"/>
      <c r="FW2197" s="10"/>
      <c r="FX2197" s="10"/>
      <c r="FY2197" s="10"/>
      <c r="FZ2197" s="10"/>
      <c r="GA2197" s="10"/>
      <c r="GB2197" s="10"/>
      <c r="GC2197" s="10"/>
      <c r="GD2197" s="10"/>
      <c r="GE2197" s="10"/>
      <c r="GF2197" s="10"/>
      <c r="GG2197" s="10"/>
      <c r="GH2197" s="10"/>
      <c r="GI2197" s="10"/>
      <c r="GJ2197" s="10"/>
      <c r="GK2197" s="10"/>
      <c r="GL2197" s="10"/>
      <c r="GM2197" s="10"/>
      <c r="GN2197" s="10"/>
      <c r="GO2197" s="10"/>
      <c r="GP2197" s="10"/>
      <c r="GQ2197" s="10"/>
      <c r="GR2197" s="10"/>
      <c r="GS2197" s="10"/>
      <c r="GT2197" s="10"/>
      <c r="GU2197" s="10"/>
      <c r="GV2197" s="10"/>
      <c r="GW2197" s="10"/>
      <c r="GX2197" s="10"/>
      <c r="GY2197" s="10"/>
      <c r="GZ2197" s="10"/>
      <c r="HA2197" s="10"/>
      <c r="HB2197" s="10"/>
      <c r="HC2197" s="10"/>
      <c r="HD2197" s="10"/>
      <c r="HE2197" s="10"/>
      <c r="HF2197" s="10"/>
      <c r="HG2197" s="10"/>
      <c r="HH2197" s="10"/>
      <c r="HI2197" s="10"/>
      <c r="HJ2197" s="10"/>
      <c r="HK2197" s="10"/>
      <c r="HL2197" s="10"/>
      <c r="HM2197" s="10"/>
      <c r="HN2197" s="10"/>
      <c r="HO2197" s="10"/>
      <c r="HP2197" s="10"/>
      <c r="HQ2197" s="10"/>
      <c r="HR2197" s="10"/>
      <c r="HS2197" s="10"/>
      <c r="HT2197" s="10"/>
      <c r="HU2197" s="10"/>
      <c r="HV2197" s="10"/>
      <c r="HW2197" s="10"/>
      <c r="HX2197" s="10"/>
      <c r="HY2197" s="10"/>
      <c r="HZ2197" s="10"/>
      <c r="IA2197" s="10"/>
      <c r="IB2197" s="10"/>
      <c r="IC2197" s="10"/>
      <c r="ID2197" s="10"/>
      <c r="IE2197" s="10"/>
      <c r="IF2197" s="10"/>
      <c r="IG2197" s="10"/>
      <c r="IH2197" s="10"/>
      <c r="II2197" s="10"/>
      <c r="IJ2197" s="10"/>
      <c r="IK2197" s="10"/>
      <c r="IL2197" s="10"/>
      <c r="IM2197" s="10"/>
      <c r="IN2197" s="10"/>
      <c r="IO2197" s="10"/>
      <c r="IP2197" s="10"/>
      <c r="IQ2197" s="10"/>
      <c r="IR2197" s="10"/>
      <c r="IS2197" s="10"/>
      <c r="IT2197" s="10"/>
      <c r="IU2197" s="10"/>
      <c r="IV2197" s="10"/>
      <c r="IW2197" s="10"/>
      <c r="IX2197" s="10"/>
      <c r="IY2197" s="10"/>
      <c r="IZ2197" s="10"/>
      <c r="JA2197" s="10"/>
      <c r="JB2197" s="10"/>
      <c r="JC2197" s="10"/>
      <c r="JD2197" s="10"/>
      <c r="JE2197" s="10"/>
      <c r="JF2197" s="10"/>
      <c r="JG2197" s="10"/>
      <c r="JH2197" s="10"/>
      <c r="JI2197" s="10"/>
      <c r="JJ2197" s="10"/>
      <c r="JK2197" s="10"/>
      <c r="JL2197" s="10"/>
      <c r="JM2197" s="10"/>
      <c r="JN2197" s="10"/>
      <c r="JO2197" s="10"/>
      <c r="JP2197" s="10"/>
      <c r="JQ2197" s="10"/>
      <c r="JR2197" s="10"/>
      <c r="JS2197" s="10"/>
      <c r="JT2197" s="10"/>
      <c r="JU2197" s="10"/>
      <c r="JV2197" s="10"/>
      <c r="JW2197" s="10"/>
      <c r="JX2197" s="10"/>
      <c r="JY2197" s="10"/>
      <c r="JZ2197" s="10"/>
      <c r="KA2197" s="10"/>
      <c r="KB2197" s="10"/>
      <c r="KC2197" s="10"/>
      <c r="KD2197" s="10"/>
      <c r="KE2197" s="10"/>
      <c r="KF2197" s="10"/>
      <c r="KG2197" s="10"/>
      <c r="KH2197" s="10"/>
      <c r="KI2197" s="10"/>
      <c r="KJ2197" s="10"/>
      <c r="KK2197" s="10"/>
      <c r="KL2197" s="10"/>
      <c r="KM2197" s="10"/>
      <c r="KN2197" s="10"/>
      <c r="KO2197" s="10"/>
      <c r="KP2197" s="10"/>
      <c r="KQ2197" s="10"/>
      <c r="KR2197" s="10"/>
      <c r="KS2197" s="10"/>
      <c r="KT2197" s="10"/>
      <c r="KU2197" s="10"/>
      <c r="KV2197" s="10"/>
      <c r="KW2197" s="10"/>
      <c r="KX2197" s="10"/>
      <c r="KY2197" s="10"/>
      <c r="KZ2197" s="10"/>
      <c r="LA2197" s="10"/>
      <c r="LB2197" s="10"/>
      <c r="LC2197" s="10"/>
      <c r="LD2197" s="10"/>
      <c r="LE2197" s="10"/>
      <c r="LF2197" s="10"/>
      <c r="LG2197" s="10"/>
      <c r="LH2197" s="10"/>
      <c r="LI2197" s="10"/>
      <c r="LJ2197" s="10"/>
      <c r="LK2197" s="10"/>
      <c r="LL2197" s="10"/>
      <c r="LM2197" s="10"/>
      <c r="LN2197" s="10"/>
      <c r="LO2197" s="10"/>
      <c r="LP2197" s="10"/>
      <c r="LQ2197" s="10"/>
      <c r="LR2197" s="10"/>
      <c r="LS2197" s="10"/>
      <c r="LT2197" s="10"/>
      <c r="LU2197" s="10"/>
      <c r="LV2197" s="10"/>
      <c r="LW2197" s="10"/>
      <c r="LX2197" s="10"/>
      <c r="LY2197" s="10"/>
      <c r="LZ2197" s="10"/>
      <c r="MA2197" s="10"/>
      <c r="MB2197" s="10"/>
      <c r="MC2197" s="10"/>
      <c r="MD2197" s="10"/>
      <c r="ME2197" s="10"/>
      <c r="MF2197" s="10"/>
      <c r="MG2197" s="10"/>
      <c r="MH2197" s="10"/>
      <c r="MI2197" s="10"/>
      <c r="MJ2197" s="10"/>
      <c r="MK2197" s="10"/>
      <c r="ML2197" s="10"/>
      <c r="MM2197" s="10"/>
      <c r="MN2197" s="10"/>
      <c r="MO2197" s="10"/>
      <c r="MP2197" s="10"/>
      <c r="MQ2197" s="10"/>
      <c r="MR2197" s="10"/>
      <c r="MS2197" s="10"/>
      <c r="MT2197" s="10"/>
      <c r="MU2197" s="10"/>
      <c r="MV2197" s="10"/>
      <c r="MW2197" s="10"/>
      <c r="MX2197" s="10"/>
      <c r="MY2197" s="10"/>
      <c r="MZ2197" s="10"/>
      <c r="NA2197" s="10"/>
      <c r="NB2197" s="10"/>
      <c r="NC2197" s="10"/>
      <c r="ND2197" s="10"/>
      <c r="NE2197" s="10"/>
      <c r="NF2197" s="10"/>
      <c r="NG2197" s="10"/>
      <c r="NH2197" s="10"/>
      <c r="NI2197" s="10"/>
      <c r="NJ2197" s="10"/>
      <c r="NK2197" s="10"/>
      <c r="NL2197" s="10"/>
      <c r="NM2197" s="10"/>
      <c r="NN2197" s="10"/>
      <c r="NO2197" s="10"/>
      <c r="NP2197" s="10"/>
      <c r="NQ2197" s="10"/>
      <c r="NR2197" s="10"/>
      <c r="NS2197" s="10"/>
      <c r="NT2197" s="10"/>
      <c r="NU2197" s="10"/>
      <c r="NV2197" s="10"/>
      <c r="NW2197" s="10"/>
      <c r="NX2197" s="10"/>
      <c r="NY2197" s="10"/>
      <c r="NZ2197" s="10"/>
      <c r="OA2197" s="10"/>
      <c r="OB2197" s="10"/>
      <c r="OC2197" s="10"/>
      <c r="OD2197" s="10"/>
      <c r="OE2197" s="10"/>
      <c r="OF2197" s="10"/>
      <c r="OG2197" s="10"/>
      <c r="OH2197" s="10"/>
      <c r="OI2197" s="10"/>
      <c r="OJ2197" s="10"/>
      <c r="OK2197" s="10"/>
      <c r="OL2197" s="10"/>
      <c r="OM2197" s="10"/>
      <c r="ON2197" s="10"/>
      <c r="OO2197" s="10"/>
      <c r="OP2197" s="10"/>
      <c r="OQ2197" s="10"/>
      <c r="OR2197" s="10"/>
      <c r="OS2197" s="10"/>
      <c r="OT2197" s="10"/>
      <c r="OU2197" s="10"/>
      <c r="OV2197" s="10"/>
      <c r="OW2197" s="10"/>
      <c r="OX2197" s="10"/>
      <c r="OY2197" s="10"/>
      <c r="OZ2197" s="10"/>
      <c r="PA2197" s="10"/>
      <c r="PB2197" s="10"/>
      <c r="PC2197" s="10"/>
      <c r="PD2197" s="10"/>
      <c r="PE2197" s="10"/>
      <c r="PF2197" s="10"/>
      <c r="PG2197" s="10"/>
      <c r="PH2197" s="10"/>
      <c r="PI2197" s="10"/>
      <c r="PJ2197" s="10"/>
      <c r="PK2197" s="10"/>
      <c r="PL2197" s="10"/>
      <c r="PM2197" s="10"/>
      <c r="PN2197" s="10"/>
      <c r="PO2197" s="10"/>
      <c r="PP2197" s="10"/>
      <c r="PQ2197" s="10"/>
      <c r="PR2197" s="10"/>
      <c r="PS2197" s="10"/>
      <c r="PT2197" s="10"/>
      <c r="PU2197" s="10"/>
      <c r="PV2197" s="10"/>
      <c r="PW2197" s="10"/>
      <c r="PX2197" s="10"/>
      <c r="PY2197" s="10"/>
      <c r="PZ2197" s="10"/>
      <c r="QA2197" s="10"/>
      <c r="QB2197" s="10"/>
      <c r="QC2197" s="10"/>
      <c r="QD2197" s="10"/>
      <c r="QE2197" s="10"/>
      <c r="QF2197" s="10"/>
      <c r="QG2197" s="10"/>
      <c r="QH2197" s="10"/>
      <c r="QI2197" s="10"/>
      <c r="QJ2197" s="10"/>
      <c r="QK2197" s="10"/>
      <c r="QL2197" s="10"/>
      <c r="QM2197" s="10"/>
      <c r="QN2197" s="10"/>
      <c r="QO2197" s="10"/>
      <c r="QP2197" s="10"/>
      <c r="QQ2197" s="10"/>
      <c r="QR2197" s="10"/>
      <c r="QS2197" s="10"/>
      <c r="QT2197" s="10"/>
      <c r="QU2197" s="10"/>
      <c r="QV2197" s="10"/>
      <c r="QW2197" s="10"/>
      <c r="QX2197" s="10"/>
      <c r="QY2197" s="10"/>
      <c r="QZ2197" s="10"/>
      <c r="RA2197" s="10"/>
      <c r="RB2197" s="10"/>
      <c r="RC2197" s="10"/>
      <c r="RD2197" s="10"/>
      <c r="RE2197" s="10"/>
      <c r="RF2197" s="10"/>
      <c r="RG2197" s="10"/>
      <c r="RH2197" s="10"/>
      <c r="RI2197" s="10"/>
      <c r="RJ2197" s="10"/>
      <c r="RK2197" s="10"/>
      <c r="RL2197" s="10"/>
      <c r="RM2197" s="10"/>
      <c r="RN2197" s="10"/>
      <c r="RO2197" s="10"/>
      <c r="RP2197" s="10"/>
      <c r="RQ2197" s="10"/>
      <c r="RR2197" s="10"/>
      <c r="RS2197" s="10"/>
      <c r="RT2197" s="10"/>
      <c r="RU2197" s="10"/>
      <c r="RV2197" s="10"/>
      <c r="RW2197" s="10"/>
      <c r="RX2197" s="10"/>
      <c r="RY2197" s="10"/>
      <c r="RZ2197" s="10"/>
      <c r="SA2197" s="10"/>
      <c r="SB2197" s="10"/>
      <c r="SC2197" s="10"/>
      <c r="SD2197" s="10"/>
      <c r="SE2197" s="10"/>
      <c r="SF2197" s="10"/>
      <c r="SG2197" s="10"/>
      <c r="SH2197" s="10"/>
      <c r="SI2197" s="10"/>
      <c r="SJ2197" s="10"/>
      <c r="SK2197" s="10"/>
      <c r="SL2197" s="10"/>
      <c r="SM2197" s="10"/>
      <c r="SN2197" s="10"/>
      <c r="SO2197" s="10"/>
      <c r="SP2197" s="10"/>
      <c r="SQ2197" s="10"/>
      <c r="SR2197" s="10"/>
      <c r="SS2197" s="10"/>
      <c r="ST2197" s="10"/>
      <c r="SU2197" s="10"/>
      <c r="SV2197" s="10"/>
      <c r="SW2197" s="10"/>
      <c r="SX2197" s="10"/>
      <c r="SY2197" s="10"/>
      <c r="SZ2197" s="10"/>
      <c r="TA2197" s="10"/>
      <c r="TB2197" s="10"/>
      <c r="TC2197" s="10"/>
      <c r="TD2197" s="10"/>
      <c r="TE2197" s="10"/>
      <c r="TF2197" s="10"/>
      <c r="TG2197" s="10"/>
      <c r="TH2197" s="10"/>
      <c r="TI2197" s="10"/>
      <c r="TJ2197" s="10"/>
      <c r="TK2197" s="10"/>
      <c r="TL2197" s="10"/>
      <c r="TM2197" s="10"/>
      <c r="TN2197" s="10"/>
      <c r="TO2197" s="10"/>
      <c r="TP2197" s="10"/>
      <c r="TQ2197" s="10"/>
      <c r="TR2197" s="10"/>
      <c r="TS2197" s="10"/>
      <c r="TT2197" s="10"/>
      <c r="TU2197" s="10"/>
      <c r="TV2197" s="10"/>
      <c r="TW2197" s="10"/>
      <c r="TX2197" s="10"/>
      <c r="TY2197" s="10"/>
      <c r="TZ2197" s="10"/>
      <c r="UA2197" s="10"/>
      <c r="UB2197" s="10"/>
      <c r="UC2197" s="10"/>
      <c r="UD2197" s="10"/>
      <c r="UE2197" s="10"/>
      <c r="UF2197" s="10"/>
      <c r="UG2197" s="10"/>
      <c r="UH2197" s="10"/>
      <c r="UI2197" s="10"/>
      <c r="UJ2197" s="10"/>
      <c r="UK2197" s="10"/>
      <c r="UL2197" s="10"/>
      <c r="UM2197" s="10"/>
      <c r="UN2197" s="10"/>
      <c r="UO2197" s="10"/>
      <c r="UP2197" s="10"/>
      <c r="UQ2197" s="10"/>
      <c r="UR2197" s="10"/>
      <c r="US2197" s="10"/>
      <c r="UT2197" s="10"/>
      <c r="UU2197" s="10"/>
      <c r="UV2197" s="10"/>
      <c r="UW2197" s="10"/>
      <c r="UX2197" s="10"/>
      <c r="UY2197" s="10"/>
      <c r="UZ2197" s="10"/>
      <c r="VA2197" s="10"/>
      <c r="VB2197" s="10"/>
      <c r="VC2197" s="10"/>
      <c r="VD2197" s="10"/>
      <c r="VE2197" s="10"/>
      <c r="VF2197" s="10"/>
      <c r="VG2197" s="10"/>
      <c r="VH2197" s="10"/>
      <c r="VI2197" s="10"/>
      <c r="VJ2197" s="10"/>
      <c r="VK2197" s="10"/>
      <c r="VL2197" s="10"/>
      <c r="VM2197" s="10"/>
      <c r="VN2197" s="10"/>
      <c r="VO2197" s="10"/>
      <c r="VP2197" s="10"/>
      <c r="VQ2197" s="10"/>
      <c r="VR2197" s="10"/>
      <c r="VS2197" s="10"/>
      <c r="VT2197" s="10"/>
      <c r="VU2197" s="10"/>
      <c r="VV2197" s="10"/>
      <c r="VW2197" s="10"/>
      <c r="VX2197" s="10"/>
      <c r="VY2197" s="10"/>
      <c r="VZ2197" s="10"/>
      <c r="WA2197" s="10"/>
      <c r="WB2197" s="10"/>
      <c r="WC2197" s="10"/>
      <c r="WD2197" s="10"/>
      <c r="WE2197" s="10"/>
      <c r="WF2197" s="10"/>
      <c r="WG2197" s="10"/>
      <c r="WH2197" s="10"/>
      <c r="WI2197" s="10"/>
      <c r="WJ2197" s="10"/>
      <c r="WK2197" s="10"/>
      <c r="WL2197" s="10"/>
      <c r="WM2197" s="10"/>
      <c r="WN2197" s="10"/>
      <c r="WO2197" s="10"/>
      <c r="WP2197" s="10"/>
      <c r="WQ2197" s="10"/>
      <c r="WR2197" s="10"/>
      <c r="WS2197" s="10"/>
      <c r="WT2197" s="10"/>
      <c r="WU2197" s="10"/>
      <c r="WV2197" s="10"/>
      <c r="WW2197" s="10"/>
      <c r="WX2197" s="10"/>
      <c r="WY2197" s="10"/>
      <c r="WZ2197" s="10"/>
      <c r="XA2197" s="10"/>
      <c r="XB2197" s="10"/>
      <c r="XC2197" s="10"/>
      <c r="XD2197" s="10"/>
      <c r="XE2197" s="10"/>
      <c r="XF2197" s="10"/>
      <c r="XG2197" s="10"/>
      <c r="XH2197" s="10"/>
      <c r="XI2197" s="10"/>
      <c r="XJ2197" s="10"/>
      <c r="XK2197" s="10"/>
      <c r="XL2197" s="10"/>
      <c r="XM2197" s="10"/>
      <c r="XN2197" s="10"/>
      <c r="XO2197" s="10"/>
      <c r="XP2197" s="10"/>
      <c r="XQ2197" s="10"/>
      <c r="XR2197" s="10"/>
      <c r="XS2197" s="10"/>
      <c r="XT2197" s="10"/>
      <c r="XU2197" s="10"/>
      <c r="XV2197" s="10"/>
      <c r="XW2197" s="10"/>
      <c r="XX2197" s="10"/>
      <c r="XY2197" s="10"/>
      <c r="XZ2197" s="10"/>
      <c r="YA2197" s="10"/>
      <c r="YB2197" s="10"/>
      <c r="YC2197" s="10"/>
      <c r="YD2197" s="10"/>
      <c r="YE2197" s="10"/>
      <c r="YF2197" s="10"/>
      <c r="YG2197" s="10"/>
      <c r="YH2197" s="10"/>
      <c r="YI2197" s="10"/>
      <c r="YJ2197" s="10"/>
      <c r="YK2197" s="10"/>
      <c r="YL2197" s="10"/>
      <c r="YM2197" s="10"/>
      <c r="YN2197" s="10"/>
      <c r="YO2197" s="10"/>
      <c r="YP2197" s="10"/>
      <c r="YQ2197" s="10"/>
      <c r="YR2197" s="10"/>
      <c r="YS2197" s="10"/>
      <c r="YT2197" s="10"/>
      <c r="YU2197" s="10"/>
      <c r="YV2197" s="10"/>
      <c r="YW2197" s="10"/>
      <c r="YX2197" s="10"/>
      <c r="YY2197" s="10"/>
      <c r="YZ2197" s="10"/>
      <c r="ZA2197" s="10"/>
      <c r="ZB2197" s="10"/>
      <c r="ZC2197" s="10"/>
      <c r="ZD2197" s="10"/>
      <c r="ZE2197" s="10"/>
      <c r="ZF2197" s="10"/>
      <c r="ZG2197" s="10"/>
      <c r="ZH2197" s="10"/>
      <c r="ZI2197" s="10"/>
      <c r="ZJ2197" s="10"/>
      <c r="ZK2197" s="10"/>
      <c r="ZL2197" s="10"/>
      <c r="ZM2197" s="10"/>
      <c r="ZN2197" s="10"/>
      <c r="ZO2197" s="10"/>
      <c r="ZP2197" s="10"/>
      <c r="ZQ2197" s="10"/>
      <c r="ZR2197" s="10"/>
      <c r="ZS2197" s="10"/>
      <c r="ZT2197" s="10"/>
      <c r="ZU2197" s="10"/>
      <c r="ZV2197" s="10"/>
      <c r="ZW2197" s="10"/>
      <c r="ZX2197" s="10"/>
      <c r="ZY2197" s="10"/>
      <c r="ZZ2197" s="10"/>
      <c r="AAA2197" s="10"/>
      <c r="AAB2197" s="10"/>
      <c r="AAC2197" s="10"/>
      <c r="AAD2197" s="10"/>
      <c r="AAE2197" s="10"/>
      <c r="AAF2197" s="10"/>
      <c r="AAG2197" s="10"/>
      <c r="AAH2197" s="10"/>
      <c r="AAI2197" s="10"/>
      <c r="AAJ2197" s="10"/>
      <c r="AAK2197" s="10"/>
      <c r="AAL2197" s="10"/>
      <c r="AAM2197" s="10"/>
      <c r="AAN2197" s="10"/>
      <c r="AAO2197" s="10"/>
      <c r="AAP2197" s="10"/>
      <c r="AAQ2197" s="10"/>
      <c r="AAR2197" s="10"/>
      <c r="AAS2197" s="10"/>
      <c r="AAT2197" s="10"/>
      <c r="AAU2197" s="10"/>
      <c r="AAV2197" s="10"/>
      <c r="AAW2197" s="10"/>
      <c r="AAX2197" s="10"/>
      <c r="AAY2197" s="10"/>
      <c r="AAZ2197" s="10"/>
      <c r="ABA2197" s="10"/>
      <c r="ABB2197" s="10"/>
      <c r="ABC2197" s="10"/>
      <c r="ABD2197" s="10"/>
      <c r="ABE2197" s="10"/>
      <c r="ABF2197" s="10"/>
      <c r="ABG2197" s="10"/>
      <c r="ABH2197" s="10"/>
      <c r="ABI2197" s="10"/>
      <c r="ABJ2197" s="10"/>
      <c r="ABK2197" s="10"/>
      <c r="ABL2197" s="10"/>
      <c r="ABM2197" s="10"/>
      <c r="ABN2197" s="10"/>
      <c r="ABO2197" s="10"/>
      <c r="ABP2197" s="10"/>
      <c r="ABQ2197" s="10"/>
      <c r="ABR2197" s="10"/>
      <c r="ABS2197" s="10"/>
      <c r="ABT2197" s="10"/>
      <c r="ABU2197" s="10"/>
      <c r="ABV2197" s="10"/>
      <c r="ABW2197" s="10"/>
      <c r="ABX2197" s="10"/>
      <c r="ABY2197" s="10"/>
      <c r="ABZ2197" s="10"/>
      <c r="ACA2197" s="10"/>
      <c r="ACB2197" s="10"/>
      <c r="ACC2197" s="10"/>
      <c r="ACD2197" s="10"/>
      <c r="ACE2197" s="10"/>
      <c r="ACF2197" s="10"/>
      <c r="ACG2197" s="10"/>
      <c r="ACH2197" s="10"/>
      <c r="ACI2197" s="10"/>
      <c r="ACJ2197" s="10"/>
      <c r="ACK2197" s="10"/>
      <c r="ACL2197" s="10"/>
      <c r="ACM2197" s="10"/>
      <c r="ACN2197" s="10"/>
      <c r="ACO2197" s="10"/>
      <c r="ACP2197" s="10"/>
      <c r="ACQ2197" s="10"/>
      <c r="ACR2197" s="10"/>
      <c r="ACS2197" s="10"/>
      <c r="ACT2197" s="10"/>
      <c r="ACU2197" s="10"/>
      <c r="ACV2197" s="10"/>
      <c r="ACW2197" s="10"/>
      <c r="ACX2197" s="10"/>
      <c r="ACY2197" s="10"/>
      <c r="ACZ2197" s="10"/>
      <c r="ADA2197" s="10"/>
      <c r="ADB2197" s="10"/>
      <c r="ADC2197" s="10"/>
      <c r="ADD2197" s="10"/>
      <c r="ADE2197" s="10"/>
      <c r="ADF2197" s="10"/>
      <c r="ADG2197" s="10"/>
      <c r="ADH2197" s="10"/>
      <c r="ADI2197" s="10"/>
      <c r="ADJ2197" s="10"/>
      <c r="ADK2197" s="10"/>
      <c r="ADL2197" s="10"/>
      <c r="ADM2197" s="10"/>
      <c r="ADN2197" s="10"/>
      <c r="ADO2197" s="10"/>
      <c r="ADP2197" s="10"/>
      <c r="ADQ2197" s="10"/>
      <c r="ADR2197" s="10"/>
      <c r="ADS2197" s="10"/>
      <c r="ADT2197" s="10"/>
      <c r="ADU2197" s="10"/>
      <c r="ADV2197" s="10"/>
      <c r="ADW2197" s="10"/>
      <c r="ADX2197" s="10"/>
      <c r="ADY2197" s="10"/>
      <c r="ADZ2197" s="10"/>
      <c r="AEA2197" s="10"/>
      <c r="AEB2197" s="10"/>
      <c r="AEC2197" s="10"/>
      <c r="AED2197" s="10"/>
      <c r="AEE2197" s="10"/>
      <c r="AEF2197" s="10"/>
      <c r="AEG2197" s="10"/>
      <c r="AEH2197" s="10"/>
      <c r="AEI2197" s="10"/>
      <c r="AEJ2197" s="10"/>
      <c r="AEK2197" s="10"/>
      <c r="AEL2197" s="10"/>
      <c r="AEM2197" s="10"/>
      <c r="AEN2197" s="10"/>
      <c r="AEO2197" s="10"/>
      <c r="AEP2197" s="10"/>
      <c r="AEQ2197" s="10"/>
      <c r="AER2197" s="10"/>
      <c r="AES2197" s="10"/>
      <c r="AET2197" s="10"/>
      <c r="AEU2197" s="10"/>
      <c r="AEV2197" s="10"/>
      <c r="AEW2197" s="10"/>
      <c r="AEX2197" s="10"/>
      <c r="AEY2197" s="10"/>
      <c r="AEZ2197" s="10"/>
      <c r="AFA2197" s="10"/>
      <c r="AFB2197" s="10"/>
      <c r="AFC2197" s="10"/>
      <c r="AFD2197" s="10"/>
      <c r="AFE2197" s="10"/>
      <c r="AFF2197" s="10"/>
      <c r="AFG2197" s="10"/>
      <c r="AFH2197" s="10"/>
      <c r="AFI2197" s="10"/>
      <c r="AFJ2197" s="10"/>
      <c r="AFK2197" s="10"/>
      <c r="AFL2197" s="10"/>
      <c r="AFM2197" s="10"/>
      <c r="AFN2197" s="10"/>
      <c r="AFO2197" s="10"/>
      <c r="AFP2197" s="10"/>
      <c r="AFQ2197" s="10"/>
      <c r="AFR2197" s="10"/>
      <c r="AFS2197" s="10"/>
      <c r="AFT2197" s="10"/>
      <c r="AFU2197" s="10"/>
      <c r="AFV2197" s="10"/>
      <c r="AFW2197" s="10"/>
      <c r="AFX2197" s="10"/>
      <c r="AFY2197" s="10"/>
      <c r="AFZ2197" s="10"/>
      <c r="AGA2197" s="10"/>
      <c r="AGB2197" s="10"/>
      <c r="AGC2197" s="10"/>
      <c r="AGD2197" s="10"/>
      <c r="AGE2197" s="10"/>
      <c r="AGF2197" s="10"/>
      <c r="AGG2197" s="10"/>
      <c r="AGH2197" s="10"/>
      <c r="AGI2197" s="10"/>
      <c r="AGJ2197" s="10"/>
      <c r="AGK2197" s="10"/>
      <c r="AGL2197" s="10"/>
      <c r="AGM2197" s="10"/>
      <c r="AGN2197" s="10"/>
      <c r="AGO2197" s="10"/>
      <c r="AGP2197" s="10"/>
      <c r="AGQ2197" s="10"/>
      <c r="AGR2197" s="10"/>
      <c r="AGS2197" s="10"/>
      <c r="AGT2197" s="10"/>
      <c r="AGU2197" s="10"/>
      <c r="AGV2197" s="10"/>
      <c r="AGW2197" s="10"/>
      <c r="AGX2197" s="10"/>
      <c r="AGY2197" s="10"/>
      <c r="AGZ2197" s="10"/>
      <c r="AHA2197" s="10"/>
      <c r="AHB2197" s="10"/>
      <c r="AHC2197" s="10"/>
      <c r="AHD2197" s="10"/>
      <c r="AHE2197" s="10"/>
      <c r="AHF2197" s="10"/>
      <c r="AHG2197" s="10"/>
      <c r="AHH2197" s="10"/>
      <c r="AHI2197" s="10"/>
      <c r="AHJ2197" s="10"/>
      <c r="AHK2197" s="10"/>
      <c r="AHL2197" s="10"/>
      <c r="AHM2197" s="10"/>
      <c r="AHN2197" s="10"/>
      <c r="AHO2197" s="10"/>
      <c r="AHP2197" s="10"/>
      <c r="AHQ2197" s="10"/>
      <c r="AHR2197" s="10"/>
      <c r="AHS2197" s="10"/>
      <c r="AHT2197" s="10"/>
      <c r="AHU2197" s="10"/>
      <c r="AHV2197" s="10"/>
      <c r="AHW2197" s="10"/>
      <c r="AHX2197" s="10"/>
      <c r="AHY2197" s="10"/>
      <c r="AHZ2197" s="10"/>
      <c r="AIA2197" s="10"/>
      <c r="AIB2197" s="10"/>
      <c r="AIC2197" s="10"/>
      <c r="AID2197" s="10"/>
      <c r="AIE2197" s="10"/>
      <c r="AIF2197" s="10"/>
      <c r="AIG2197" s="10"/>
      <c r="AIH2197" s="10"/>
      <c r="AII2197" s="10"/>
      <c r="AIJ2197" s="10"/>
      <c r="AIK2197" s="10"/>
      <c r="AIL2197" s="10"/>
      <c r="AIM2197" s="10"/>
      <c r="AIN2197" s="10"/>
      <c r="AIO2197" s="10"/>
      <c r="AIP2197" s="10"/>
      <c r="AIQ2197" s="10"/>
      <c r="AIR2197" s="10"/>
      <c r="AIS2197" s="10"/>
      <c r="AIT2197" s="10"/>
      <c r="AIU2197" s="10"/>
      <c r="AIV2197" s="10"/>
      <c r="AIW2197" s="10"/>
      <c r="AIX2197" s="10"/>
      <c r="AIY2197" s="10"/>
      <c r="AIZ2197" s="10"/>
      <c r="AJA2197" s="10"/>
      <c r="AJB2197" s="10"/>
      <c r="AJC2197" s="10"/>
      <c r="AJD2197" s="10"/>
      <c r="AJE2197" s="10"/>
      <c r="AJF2197" s="10"/>
      <c r="AJG2197" s="10"/>
      <c r="AJH2197" s="10"/>
      <c r="AJI2197" s="10"/>
      <c r="AJJ2197" s="10"/>
      <c r="AJK2197" s="10"/>
      <c r="AJL2197" s="10"/>
      <c r="AJM2197" s="10"/>
      <c r="AJN2197" s="10"/>
      <c r="AJO2197" s="10"/>
      <c r="AJP2197" s="10"/>
      <c r="AJQ2197" s="10"/>
      <c r="AJR2197" s="10"/>
      <c r="AJS2197" s="10"/>
      <c r="AJT2197" s="10"/>
      <c r="AJU2197" s="10"/>
      <c r="AJV2197" s="10"/>
      <c r="AJW2197" s="10"/>
      <c r="AJX2197" s="10"/>
      <c r="AJY2197" s="10"/>
      <c r="AJZ2197" s="10"/>
      <c r="AKA2197" s="10"/>
      <c r="AKB2197" s="10"/>
      <c r="AKC2197" s="10"/>
      <c r="AKD2197" s="10"/>
      <c r="AKE2197" s="10"/>
      <c r="AKF2197" s="10"/>
      <c r="AKG2197" s="10"/>
      <c r="AKH2197" s="10"/>
      <c r="AKI2197" s="10"/>
      <c r="AKJ2197" s="10"/>
      <c r="AKK2197" s="10"/>
      <c r="AKL2197" s="10"/>
      <c r="AKM2197" s="10"/>
      <c r="AKN2197" s="10"/>
      <c r="AKO2197" s="10"/>
      <c r="AKP2197" s="10"/>
      <c r="AKQ2197" s="10"/>
      <c r="AKR2197" s="10"/>
      <c r="AKS2197" s="10"/>
      <c r="AKT2197" s="10"/>
      <c r="AKU2197" s="10"/>
      <c r="AKV2197" s="10"/>
      <c r="AKW2197" s="10"/>
      <c r="AKX2197" s="10"/>
      <c r="AKY2197" s="10"/>
      <c r="AKZ2197" s="10"/>
      <c r="ALA2197" s="10"/>
      <c r="ALB2197" s="10"/>
      <c r="ALC2197" s="10"/>
      <c r="ALD2197" s="10"/>
      <c r="ALE2197" s="10"/>
      <c r="ALF2197" s="10"/>
      <c r="ALG2197" s="10"/>
      <c r="ALH2197" s="10"/>
      <c r="ALI2197" s="10"/>
      <c r="ALJ2197" s="10"/>
      <c r="ALK2197" s="10"/>
      <c r="ALL2197" s="10"/>
      <c r="ALM2197" s="10"/>
      <c r="ALN2197" s="10"/>
      <c r="ALO2197" s="10"/>
      <c r="ALP2197" s="10"/>
      <c r="ALQ2197" s="10"/>
      <c r="ALR2197" s="10"/>
      <c r="ALS2197" s="10"/>
      <c r="ALT2197" s="10"/>
      <c r="ALU2197" s="10"/>
      <c r="ALV2197" s="10"/>
      <c r="ALW2197" s="10"/>
      <c r="ALX2197" s="10"/>
      <c r="ALY2197" s="10"/>
      <c r="ALZ2197" s="10"/>
      <c r="AMA2197" s="10"/>
      <c r="AMB2197" s="10"/>
      <c r="AMC2197" s="10"/>
      <c r="AMD2197" s="10"/>
      <c r="AME2197" s="10"/>
      <c r="AMF2197" s="10"/>
      <c r="AMG2197" s="10"/>
      <c r="AMH2197" s="10"/>
      <c r="AMI2197" s="10"/>
      <c r="AMJ2197" s="10"/>
      <c r="AMK2197" s="10"/>
      <c r="AML2197" s="10"/>
      <c r="AMM2197" s="10"/>
      <c r="AMN2197" s="10"/>
      <c r="AMO2197" s="10"/>
      <c r="AMP2197" s="10"/>
      <c r="AMQ2197" s="10"/>
      <c r="AMR2197" s="10"/>
      <c r="AMS2197" s="10"/>
      <c r="AMT2197" s="10"/>
      <c r="AMU2197" s="10"/>
      <c r="AMV2197" s="10"/>
      <c r="AMW2197" s="10"/>
      <c r="AMX2197" s="10"/>
      <c r="AMY2197" s="10"/>
      <c r="AMZ2197" s="10"/>
      <c r="ANA2197" s="10"/>
      <c r="ANB2197" s="10"/>
      <c r="ANC2197" s="10"/>
      <c r="AND2197" s="10"/>
      <c r="ANE2197" s="10"/>
      <c r="ANF2197" s="10"/>
      <c r="ANG2197" s="10"/>
      <c r="ANH2197" s="10"/>
      <c r="ANI2197" s="10"/>
      <c r="ANJ2197" s="10"/>
      <c r="ANK2197" s="10"/>
      <c r="ANL2197" s="10"/>
      <c r="ANM2197" s="10"/>
      <c r="ANN2197" s="10"/>
      <c r="ANO2197" s="10"/>
      <c r="ANP2197" s="10"/>
      <c r="ANQ2197" s="10"/>
      <c r="ANR2197" s="10"/>
      <c r="ANS2197" s="10"/>
      <c r="ANT2197" s="10"/>
      <c r="ANU2197" s="10"/>
      <c r="ANV2197" s="10"/>
      <c r="ANW2197" s="10"/>
      <c r="ANX2197" s="10"/>
      <c r="ANY2197" s="10"/>
      <c r="ANZ2197" s="10"/>
      <c r="AOA2197" s="10"/>
      <c r="AOB2197" s="10"/>
      <c r="AOC2197" s="10"/>
      <c r="AOD2197" s="10"/>
      <c r="AOE2197" s="10"/>
      <c r="AOF2197" s="10"/>
      <c r="AOG2197" s="10"/>
      <c r="AOH2197" s="10"/>
      <c r="AOI2197" s="10"/>
      <c r="AOJ2197" s="10"/>
      <c r="AOK2197" s="10"/>
      <c r="AOL2197" s="10"/>
      <c r="AOM2197" s="10"/>
      <c r="AON2197" s="10"/>
      <c r="AOO2197" s="10"/>
      <c r="AOP2197" s="10"/>
      <c r="AOQ2197" s="10"/>
      <c r="AOR2197" s="10"/>
      <c r="AOS2197" s="10"/>
      <c r="AOT2197" s="10"/>
      <c r="AOU2197" s="10"/>
      <c r="AOV2197" s="10"/>
      <c r="AOW2197" s="10"/>
      <c r="AOX2197" s="10"/>
      <c r="AOY2197" s="10"/>
      <c r="AOZ2197" s="10"/>
      <c r="APA2197" s="10"/>
      <c r="APB2197" s="10"/>
      <c r="APC2197" s="10"/>
      <c r="APD2197" s="10"/>
      <c r="APE2197" s="10"/>
      <c r="APF2197" s="10"/>
      <c r="APG2197" s="10"/>
      <c r="APH2197" s="10"/>
      <c r="API2197" s="10"/>
      <c r="APJ2197" s="10"/>
      <c r="APK2197" s="10"/>
      <c r="APL2197" s="10"/>
      <c r="APM2197" s="10"/>
      <c r="APN2197" s="10"/>
      <c r="APO2197" s="10"/>
      <c r="APP2197" s="10"/>
      <c r="APQ2197" s="10"/>
      <c r="APR2197" s="10"/>
      <c r="APS2197" s="10"/>
      <c r="APT2197" s="10"/>
      <c r="APU2197" s="10"/>
      <c r="APV2197" s="10"/>
      <c r="APW2197" s="10"/>
      <c r="APX2197" s="10"/>
      <c r="APY2197" s="10"/>
      <c r="APZ2197" s="10"/>
      <c r="AQA2197" s="10"/>
      <c r="AQB2197" s="10"/>
      <c r="AQC2197" s="10"/>
      <c r="AQD2197" s="10"/>
      <c r="AQE2197" s="10"/>
      <c r="AQF2197" s="10"/>
      <c r="AQG2197" s="10"/>
      <c r="AQH2197" s="10"/>
      <c r="AQI2197" s="10"/>
      <c r="AQJ2197" s="10"/>
      <c r="AQK2197" s="10"/>
      <c r="AQL2197" s="10"/>
      <c r="AQM2197" s="10"/>
      <c r="AQN2197" s="10"/>
      <c r="AQO2197" s="10"/>
      <c r="AQP2197" s="10"/>
      <c r="AQQ2197" s="10"/>
      <c r="AQR2197" s="10"/>
      <c r="AQS2197" s="10"/>
      <c r="AQT2197" s="10"/>
      <c r="AQU2197" s="10"/>
      <c r="AQV2197" s="10"/>
      <c r="AQW2197" s="10"/>
      <c r="AQX2197" s="10"/>
      <c r="AQY2197" s="10"/>
      <c r="AQZ2197" s="10"/>
      <c r="ARA2197" s="10"/>
      <c r="ARB2197" s="10"/>
      <c r="ARC2197" s="10"/>
      <c r="ARD2197" s="10"/>
      <c r="ARE2197" s="10"/>
      <c r="ARF2197" s="10"/>
      <c r="ARG2197" s="10"/>
      <c r="ARH2197" s="10"/>
      <c r="ARI2197" s="10"/>
      <c r="ARJ2197" s="10"/>
      <c r="ARK2197" s="10"/>
      <c r="ARL2197" s="10"/>
      <c r="ARM2197" s="10"/>
      <c r="ARN2197" s="10"/>
      <c r="ARO2197" s="10"/>
      <c r="ARP2197" s="10"/>
      <c r="ARQ2197" s="10"/>
      <c r="ARR2197" s="10"/>
      <c r="ARS2197" s="10"/>
      <c r="ART2197" s="10"/>
      <c r="ARU2197" s="10"/>
      <c r="ARV2197" s="10"/>
      <c r="ARW2197" s="10"/>
      <c r="ARX2197" s="10"/>
      <c r="ARY2197" s="10"/>
      <c r="ARZ2197" s="10"/>
      <c r="ASA2197" s="10"/>
      <c r="ASB2197" s="10"/>
      <c r="ASC2197" s="10"/>
      <c r="ASD2197" s="10"/>
      <c r="ASE2197" s="10"/>
      <c r="ASF2197" s="10"/>
      <c r="ASG2197" s="10"/>
      <c r="ASH2197" s="10"/>
      <c r="ASI2197" s="10"/>
      <c r="ASJ2197" s="10"/>
      <c r="ASK2197" s="10"/>
      <c r="ASL2197" s="10"/>
      <c r="ASM2197" s="10"/>
      <c r="ASN2197" s="10"/>
      <c r="ASO2197" s="10"/>
      <c r="ASP2197" s="10"/>
      <c r="ASQ2197" s="10"/>
      <c r="ASR2197" s="10"/>
      <c r="ASS2197" s="10"/>
      <c r="AST2197" s="10"/>
      <c r="ASU2197" s="10"/>
      <c r="ASV2197" s="10"/>
      <c r="ASW2197" s="10"/>
      <c r="ASX2197" s="10"/>
      <c r="ASY2197" s="10"/>
      <c r="ASZ2197" s="10"/>
      <c r="ATA2197" s="10"/>
      <c r="ATB2197" s="10"/>
      <c r="ATC2197" s="10"/>
      <c r="ATD2197" s="10"/>
      <c r="ATE2197" s="10"/>
      <c r="ATF2197" s="10"/>
      <c r="ATG2197" s="10"/>
      <c r="ATH2197" s="10"/>
      <c r="ATI2197" s="10"/>
      <c r="ATJ2197" s="10"/>
      <c r="ATK2197" s="10"/>
      <c r="ATL2197" s="10"/>
      <c r="ATM2197" s="10"/>
      <c r="ATN2197" s="10"/>
      <c r="ATO2197" s="10"/>
      <c r="ATP2197" s="10"/>
      <c r="ATQ2197" s="10"/>
      <c r="ATR2197" s="10"/>
      <c r="ATS2197" s="10"/>
      <c r="ATT2197" s="10"/>
      <c r="ATU2197" s="10"/>
      <c r="ATV2197" s="10"/>
      <c r="ATW2197" s="10"/>
      <c r="ATX2197" s="10"/>
      <c r="ATY2197" s="10"/>
      <c r="ATZ2197" s="10"/>
      <c r="AUA2197" s="10"/>
      <c r="AUB2197" s="10"/>
      <c r="AUC2197" s="10"/>
      <c r="AUD2197" s="10"/>
      <c r="AUE2197" s="10"/>
      <c r="AUF2197" s="10"/>
      <c r="AUG2197" s="10"/>
      <c r="AUH2197" s="10"/>
      <c r="AUI2197" s="10"/>
      <c r="AUJ2197" s="10"/>
      <c r="AUK2197" s="10"/>
      <c r="AUL2197" s="10"/>
      <c r="AUM2197" s="10"/>
      <c r="AUN2197" s="10"/>
      <c r="AUO2197" s="10"/>
      <c r="AUP2197" s="10"/>
      <c r="AUQ2197" s="10"/>
      <c r="AUR2197" s="10"/>
      <c r="AUS2197" s="10"/>
      <c r="AUT2197" s="10"/>
      <c r="AUU2197" s="10"/>
      <c r="AUV2197" s="10"/>
      <c r="AUW2197" s="10"/>
      <c r="AUX2197" s="10"/>
      <c r="AUY2197" s="10"/>
      <c r="AUZ2197" s="10"/>
      <c r="AVA2197" s="10"/>
      <c r="AVB2197" s="10"/>
      <c r="AVC2197" s="10"/>
      <c r="AVD2197" s="10"/>
      <c r="AVE2197" s="10"/>
      <c r="AVF2197" s="10"/>
      <c r="AVG2197" s="10"/>
      <c r="AVH2197" s="10"/>
      <c r="AVI2197" s="10"/>
      <c r="AVJ2197" s="10"/>
      <c r="AVK2197" s="10"/>
      <c r="AVL2197" s="10"/>
      <c r="AVM2197" s="10"/>
      <c r="AVN2197" s="10"/>
      <c r="AVO2197" s="10"/>
      <c r="AVP2197" s="10"/>
      <c r="AVQ2197" s="10"/>
      <c r="AVR2197" s="10"/>
      <c r="AVS2197" s="10"/>
      <c r="AVT2197" s="10"/>
      <c r="AVU2197" s="10"/>
      <c r="AVV2197" s="10"/>
      <c r="AVW2197" s="10"/>
      <c r="AVX2197" s="10"/>
      <c r="AVY2197" s="10"/>
      <c r="AVZ2197" s="10"/>
      <c r="AWA2197" s="10"/>
      <c r="AWB2197" s="10"/>
      <c r="AWC2197" s="10"/>
      <c r="AWD2197" s="10"/>
      <c r="AWE2197" s="10"/>
      <c r="AWF2197" s="10"/>
      <c r="AWG2197" s="10"/>
      <c r="AWH2197" s="10"/>
      <c r="AWI2197" s="10"/>
      <c r="AWJ2197" s="10"/>
      <c r="AWK2197" s="10"/>
      <c r="AWL2197" s="10"/>
      <c r="AWM2197" s="10"/>
      <c r="AWN2197" s="10"/>
      <c r="AWO2197" s="10"/>
      <c r="AWP2197" s="10"/>
      <c r="AWQ2197" s="10"/>
      <c r="AWR2197" s="10"/>
      <c r="AWS2197" s="10"/>
      <c r="AWT2197" s="10"/>
      <c r="AWU2197" s="10"/>
      <c r="AWV2197" s="10"/>
      <c r="AWW2197" s="10"/>
      <c r="AWX2197" s="10"/>
      <c r="AWY2197" s="10"/>
      <c r="AWZ2197" s="10"/>
      <c r="AXA2197" s="10"/>
      <c r="AXB2197" s="10"/>
      <c r="AXC2197" s="10"/>
      <c r="AXD2197" s="10"/>
      <c r="AXE2197" s="10"/>
      <c r="AXF2197" s="10"/>
      <c r="AXG2197" s="10"/>
      <c r="AXH2197" s="10"/>
      <c r="AXI2197" s="10"/>
      <c r="AXJ2197" s="10"/>
      <c r="AXK2197" s="10"/>
      <c r="AXL2197" s="10"/>
      <c r="AXM2197" s="10"/>
      <c r="AXN2197" s="10"/>
      <c r="AXO2197" s="10"/>
      <c r="AXP2197" s="10"/>
      <c r="AXQ2197" s="10"/>
      <c r="AXR2197" s="10"/>
      <c r="AXS2197" s="10"/>
      <c r="AXT2197" s="10"/>
      <c r="AXU2197" s="10"/>
      <c r="AXV2197" s="10"/>
      <c r="AXW2197" s="10"/>
      <c r="AXX2197" s="10"/>
      <c r="AXY2197" s="10"/>
      <c r="AXZ2197" s="10"/>
      <c r="AYA2197" s="10"/>
      <c r="AYB2197" s="10"/>
      <c r="AYC2197" s="10"/>
      <c r="AYD2197" s="10"/>
      <c r="AYE2197" s="10"/>
      <c r="AYF2197" s="10"/>
      <c r="AYG2197" s="10"/>
      <c r="AYH2197" s="10"/>
      <c r="AYI2197" s="10"/>
      <c r="AYJ2197" s="10"/>
      <c r="AYK2197" s="10"/>
      <c r="AYL2197" s="10"/>
      <c r="AYM2197" s="10"/>
      <c r="AYN2197" s="10"/>
      <c r="AYO2197" s="10"/>
      <c r="AYP2197" s="10"/>
      <c r="AYQ2197" s="10"/>
      <c r="AYR2197" s="10"/>
      <c r="AYS2197" s="10"/>
      <c r="AYT2197" s="10"/>
      <c r="AYU2197" s="10"/>
      <c r="AYV2197" s="10"/>
      <c r="AYW2197" s="10"/>
      <c r="AYX2197" s="10"/>
      <c r="AYY2197" s="10"/>
      <c r="AYZ2197" s="10"/>
      <c r="AZA2197" s="10"/>
      <c r="AZB2197" s="10"/>
      <c r="AZC2197" s="10"/>
      <c r="AZD2197" s="10"/>
      <c r="AZE2197" s="10"/>
      <c r="AZF2197" s="10"/>
      <c r="AZG2197" s="10"/>
      <c r="AZH2197" s="10"/>
      <c r="AZI2197" s="10"/>
      <c r="AZJ2197" s="10"/>
      <c r="AZK2197" s="10"/>
      <c r="AZL2197" s="10"/>
      <c r="AZM2197" s="10"/>
      <c r="AZN2197" s="10"/>
      <c r="AZO2197" s="10"/>
      <c r="AZP2197" s="10"/>
      <c r="AZQ2197" s="10"/>
      <c r="AZR2197" s="10"/>
      <c r="AZS2197" s="10"/>
      <c r="AZT2197" s="10"/>
      <c r="AZU2197" s="10"/>
      <c r="AZV2197" s="10"/>
      <c r="AZW2197" s="10"/>
      <c r="AZX2197" s="10"/>
      <c r="AZY2197" s="10"/>
      <c r="AZZ2197" s="10"/>
      <c r="BAA2197" s="10"/>
      <c r="BAB2197" s="10"/>
      <c r="BAC2197" s="10"/>
      <c r="BAD2197" s="10"/>
      <c r="BAE2197" s="10"/>
      <c r="BAF2197" s="10"/>
      <c r="BAG2197" s="10"/>
      <c r="BAH2197" s="10"/>
      <c r="BAI2197" s="10"/>
      <c r="BAJ2197" s="10"/>
      <c r="BAK2197" s="10"/>
      <c r="BAL2197" s="10"/>
      <c r="BAM2197" s="10"/>
      <c r="BAN2197" s="10"/>
      <c r="BAO2197" s="10"/>
      <c r="BAP2197" s="10"/>
      <c r="BAQ2197" s="10"/>
      <c r="BAR2197" s="10"/>
      <c r="BAS2197" s="10"/>
      <c r="BAT2197" s="10"/>
      <c r="BAU2197" s="10"/>
      <c r="BAV2197" s="10"/>
      <c r="BAW2197" s="10"/>
      <c r="BAX2197" s="10"/>
      <c r="BAY2197" s="10"/>
      <c r="BAZ2197" s="10"/>
      <c r="BBA2197" s="10"/>
      <c r="BBB2197" s="10"/>
      <c r="BBC2197" s="10"/>
      <c r="BBD2197" s="10"/>
      <c r="BBE2197" s="10"/>
      <c r="BBF2197" s="10"/>
      <c r="BBG2197" s="10"/>
      <c r="BBH2197" s="10"/>
      <c r="BBI2197" s="10"/>
      <c r="BBJ2197" s="10"/>
      <c r="BBK2197" s="10"/>
      <c r="BBL2197" s="10"/>
      <c r="BBM2197" s="10"/>
      <c r="BBN2197" s="10"/>
      <c r="BBO2197" s="10"/>
      <c r="BBP2197" s="10"/>
      <c r="BBQ2197" s="10"/>
      <c r="BBR2197" s="10"/>
      <c r="BBS2197" s="10"/>
      <c r="BBT2197" s="10"/>
      <c r="BBU2197" s="10"/>
      <c r="BBV2197" s="10"/>
      <c r="BBW2197" s="10"/>
      <c r="BBX2197" s="10"/>
      <c r="BBY2197" s="10"/>
      <c r="BBZ2197" s="10"/>
      <c r="BCA2197" s="10"/>
      <c r="BCB2197" s="10"/>
      <c r="BCC2197" s="10"/>
      <c r="BCD2197" s="10"/>
      <c r="BCE2197" s="10"/>
      <c r="BCF2197" s="10"/>
      <c r="BCG2197" s="10"/>
      <c r="BCH2197" s="10"/>
      <c r="BCI2197" s="10"/>
      <c r="BCJ2197" s="10"/>
      <c r="BCK2197" s="10"/>
      <c r="BCL2197" s="10"/>
      <c r="BCM2197" s="10"/>
      <c r="BCN2197" s="10"/>
      <c r="BCO2197" s="10"/>
      <c r="BCP2197" s="10"/>
      <c r="BCQ2197" s="10"/>
      <c r="BCR2197" s="10"/>
      <c r="BCS2197" s="10"/>
      <c r="BCT2197" s="10"/>
      <c r="BCU2197" s="10"/>
      <c r="BCV2197" s="10"/>
      <c r="BCW2197" s="10"/>
      <c r="BCX2197" s="10"/>
      <c r="BCY2197" s="10"/>
      <c r="BCZ2197" s="10"/>
      <c r="BDA2197" s="10"/>
      <c r="BDB2197" s="10"/>
      <c r="BDC2197" s="10"/>
      <c r="BDD2197" s="10"/>
      <c r="BDE2197" s="10"/>
      <c r="BDF2197" s="10"/>
      <c r="BDG2197" s="10"/>
      <c r="BDH2197" s="10"/>
      <c r="BDI2197" s="10"/>
      <c r="BDJ2197" s="10"/>
      <c r="BDK2197" s="10"/>
      <c r="BDL2197" s="10"/>
      <c r="BDM2197" s="10"/>
      <c r="BDN2197" s="10"/>
      <c r="BDO2197" s="10"/>
      <c r="BDP2197" s="10"/>
      <c r="BDQ2197" s="10"/>
      <c r="BDR2197" s="10"/>
      <c r="BDS2197" s="10"/>
      <c r="BDT2197" s="10"/>
      <c r="BDU2197" s="10"/>
      <c r="BDV2197" s="10"/>
      <c r="BDW2197" s="10"/>
      <c r="BDX2197" s="10"/>
      <c r="BDY2197" s="10"/>
      <c r="BDZ2197" s="10"/>
      <c r="BEA2197" s="10"/>
      <c r="BEB2197" s="10"/>
      <c r="BEC2197" s="10"/>
      <c r="BED2197" s="10"/>
      <c r="BEE2197" s="10"/>
      <c r="BEF2197" s="10"/>
      <c r="BEG2197" s="10"/>
      <c r="BEH2197" s="10"/>
      <c r="BEI2197" s="10"/>
      <c r="BEJ2197" s="10"/>
      <c r="BEK2197" s="10"/>
      <c r="BEL2197" s="10"/>
      <c r="BEM2197" s="10"/>
      <c r="BEN2197" s="10"/>
      <c r="BEO2197" s="10"/>
      <c r="BEP2197" s="10"/>
      <c r="BEQ2197" s="10"/>
      <c r="BER2197" s="10"/>
      <c r="BES2197" s="10"/>
      <c r="BET2197" s="10"/>
      <c r="BEU2197" s="10"/>
      <c r="BEV2197" s="10"/>
      <c r="BEW2197" s="10"/>
      <c r="BEX2197" s="10"/>
      <c r="BEY2197" s="10"/>
      <c r="BEZ2197" s="10"/>
      <c r="BFA2197" s="10"/>
      <c r="BFB2197" s="10"/>
      <c r="BFC2197" s="10"/>
      <c r="BFD2197" s="10"/>
      <c r="BFE2197" s="10"/>
      <c r="BFF2197" s="10"/>
      <c r="BFG2197" s="10"/>
      <c r="BFH2197" s="10"/>
      <c r="BFI2197" s="10"/>
      <c r="BFJ2197" s="10"/>
      <c r="BFK2197" s="10"/>
      <c r="BFL2197" s="10"/>
      <c r="BFM2197" s="10"/>
      <c r="BFN2197" s="10"/>
      <c r="BFO2197" s="10"/>
      <c r="BFP2197" s="10"/>
      <c r="BFQ2197" s="10"/>
      <c r="BFR2197" s="10"/>
      <c r="BFS2197" s="10"/>
      <c r="BFT2197" s="10"/>
      <c r="BFU2197" s="10"/>
      <c r="BFV2197" s="10"/>
      <c r="BFW2197" s="10"/>
      <c r="BFX2197" s="10"/>
      <c r="BFY2197" s="10"/>
      <c r="BFZ2197" s="10"/>
      <c r="BGA2197" s="10"/>
      <c r="BGB2197" s="10"/>
      <c r="BGC2197" s="10"/>
      <c r="BGD2197" s="10"/>
      <c r="BGE2197" s="10"/>
      <c r="BGF2197" s="10"/>
      <c r="BGG2197" s="10"/>
      <c r="BGH2197" s="10"/>
      <c r="BGI2197" s="10"/>
      <c r="BGJ2197" s="10"/>
      <c r="BGK2197" s="10"/>
      <c r="BGL2197" s="10"/>
      <c r="BGM2197" s="10"/>
      <c r="BGN2197" s="10"/>
      <c r="BGO2197" s="10"/>
      <c r="BGP2197" s="10"/>
      <c r="BGQ2197" s="10"/>
      <c r="BGR2197" s="10"/>
      <c r="BGS2197" s="10"/>
      <c r="BGT2197" s="10"/>
      <c r="BGU2197" s="10"/>
      <c r="BGV2197" s="10"/>
      <c r="BGW2197" s="10"/>
      <c r="BGX2197" s="10"/>
      <c r="BGY2197" s="10"/>
      <c r="BGZ2197" s="10"/>
      <c r="BHA2197" s="10"/>
      <c r="BHB2197" s="10"/>
      <c r="BHC2197" s="10"/>
      <c r="BHD2197" s="10"/>
      <c r="BHE2197" s="10"/>
      <c r="BHF2197" s="10"/>
      <c r="BHG2197" s="10"/>
      <c r="BHH2197" s="10"/>
      <c r="BHI2197" s="10"/>
      <c r="BHJ2197" s="10"/>
      <c r="BHK2197" s="10"/>
      <c r="BHL2197" s="10"/>
      <c r="BHM2197" s="10"/>
      <c r="BHN2197" s="10"/>
      <c r="BHO2197" s="10"/>
      <c r="BHP2197" s="10"/>
      <c r="BHQ2197" s="10"/>
      <c r="BHR2197" s="10"/>
      <c r="BHS2197" s="10"/>
      <c r="BHT2197" s="10"/>
      <c r="BHU2197" s="10"/>
      <c r="BHV2197" s="10"/>
      <c r="BHW2197" s="10"/>
      <c r="BHX2197" s="10"/>
      <c r="BHY2197" s="10"/>
      <c r="BHZ2197" s="10"/>
      <c r="BIA2197" s="10"/>
      <c r="BIB2197" s="10"/>
      <c r="BIC2197" s="10"/>
      <c r="BID2197" s="10"/>
      <c r="BIE2197" s="10"/>
      <c r="BIF2197" s="10"/>
      <c r="BIG2197" s="10"/>
      <c r="BIH2197" s="10"/>
      <c r="BII2197" s="10"/>
      <c r="BIJ2197" s="10"/>
      <c r="BIK2197" s="10"/>
      <c r="BIL2197" s="10"/>
      <c r="BIM2197" s="10"/>
      <c r="BIN2197" s="10"/>
      <c r="BIO2197" s="10"/>
      <c r="BIP2197" s="10"/>
      <c r="BIQ2197" s="10"/>
      <c r="BIR2197" s="10"/>
      <c r="BIS2197" s="10"/>
      <c r="BIT2197" s="10"/>
      <c r="BIU2197" s="10"/>
      <c r="BIV2197" s="10"/>
      <c r="BIW2197" s="10"/>
      <c r="BIX2197" s="10"/>
      <c r="BIY2197" s="10"/>
      <c r="BIZ2197" s="10"/>
      <c r="BJA2197" s="10"/>
      <c r="BJB2197" s="10"/>
      <c r="BJC2197" s="10"/>
      <c r="BJD2197" s="10"/>
      <c r="BJE2197" s="10"/>
      <c r="BJF2197" s="10"/>
      <c r="BJG2197" s="10"/>
      <c r="BJH2197" s="10"/>
      <c r="BJI2197" s="10"/>
      <c r="BJJ2197" s="10"/>
      <c r="BJK2197" s="10"/>
      <c r="BJL2197" s="10"/>
      <c r="BJM2197" s="10"/>
      <c r="BJN2197" s="10"/>
      <c r="BJO2197" s="10"/>
      <c r="BJP2197" s="10"/>
      <c r="BJQ2197" s="10"/>
      <c r="BJR2197" s="10"/>
      <c r="BJS2197" s="10"/>
      <c r="BJT2197" s="10"/>
      <c r="BJU2197" s="10"/>
      <c r="BJV2197" s="10"/>
      <c r="BJW2197" s="10"/>
      <c r="BJX2197" s="10"/>
      <c r="BJY2197" s="10"/>
      <c r="BJZ2197" s="10"/>
      <c r="BKA2197" s="10"/>
      <c r="BKB2197" s="10"/>
      <c r="BKC2197" s="10"/>
      <c r="BKD2197" s="10"/>
      <c r="BKE2197" s="10"/>
      <c r="BKF2197" s="10"/>
      <c r="BKG2197" s="10"/>
      <c r="BKH2197" s="10"/>
      <c r="BKI2197" s="10"/>
      <c r="BKJ2197" s="10"/>
      <c r="BKK2197" s="10"/>
      <c r="BKL2197" s="10"/>
      <c r="BKM2197" s="10"/>
      <c r="BKN2197" s="10"/>
      <c r="BKO2197" s="10"/>
      <c r="BKP2197" s="10"/>
      <c r="BKQ2197" s="10"/>
      <c r="BKR2197" s="10"/>
      <c r="BKS2197" s="10"/>
      <c r="BKT2197" s="10"/>
      <c r="BKU2197" s="10"/>
      <c r="BKV2197" s="10"/>
      <c r="BKW2197" s="10"/>
      <c r="BKX2197" s="10"/>
      <c r="BKY2197" s="10"/>
      <c r="BKZ2197" s="10"/>
      <c r="BLA2197" s="10"/>
      <c r="BLB2197" s="10"/>
      <c r="BLC2197" s="10"/>
      <c r="BLD2197" s="10"/>
      <c r="BLE2197" s="10"/>
      <c r="BLF2197" s="10"/>
      <c r="BLG2197" s="10"/>
      <c r="BLH2197" s="10"/>
      <c r="BLI2197" s="10"/>
      <c r="BLJ2197" s="10"/>
      <c r="BLK2197" s="10"/>
      <c r="BLL2197" s="10"/>
      <c r="BLM2197" s="10"/>
      <c r="BLN2197" s="10"/>
      <c r="BLO2197" s="10"/>
      <c r="BLP2197" s="10"/>
      <c r="BLQ2197" s="10"/>
      <c r="BLR2197" s="10"/>
      <c r="BLS2197" s="10"/>
      <c r="BLT2197" s="10"/>
      <c r="BLU2197" s="10"/>
      <c r="BLV2197" s="10"/>
      <c r="BLW2197" s="10"/>
      <c r="BLX2197" s="10"/>
      <c r="BLY2197" s="10"/>
      <c r="BLZ2197" s="10"/>
      <c r="BMA2197" s="10"/>
      <c r="BMB2197" s="10"/>
      <c r="BMC2197" s="10"/>
      <c r="BMD2197" s="10"/>
      <c r="BME2197" s="10"/>
      <c r="BMF2197" s="10"/>
      <c r="BMG2197" s="10"/>
      <c r="BMH2197" s="10"/>
      <c r="BMI2197" s="10"/>
      <c r="BMJ2197" s="10"/>
      <c r="BMK2197" s="10"/>
      <c r="BML2197" s="10"/>
      <c r="BMM2197" s="10"/>
      <c r="BMN2197" s="10"/>
      <c r="BMO2197" s="10"/>
      <c r="BMP2197" s="10"/>
      <c r="BMQ2197" s="10"/>
      <c r="BMR2197" s="10"/>
      <c r="BMS2197" s="10"/>
      <c r="BMT2197" s="10"/>
      <c r="BMU2197" s="10"/>
      <c r="BMV2197" s="10"/>
      <c r="BMW2197" s="10"/>
      <c r="BMX2197" s="10"/>
      <c r="BMY2197" s="10"/>
      <c r="BMZ2197" s="10"/>
      <c r="BNA2197" s="10"/>
      <c r="BNB2197" s="10"/>
      <c r="BNC2197" s="10"/>
      <c r="BND2197" s="10"/>
      <c r="BNE2197" s="10"/>
      <c r="BNF2197" s="10"/>
      <c r="BNG2197" s="10"/>
      <c r="BNH2197" s="10"/>
      <c r="BNI2197" s="10"/>
      <c r="BNJ2197" s="10"/>
      <c r="BNK2197" s="10"/>
      <c r="BNL2197" s="10"/>
      <c r="BNM2197" s="10"/>
      <c r="BNN2197" s="10"/>
      <c r="BNO2197" s="10"/>
      <c r="BNP2197" s="10"/>
      <c r="BNQ2197" s="10"/>
      <c r="BNR2197" s="10"/>
      <c r="BNS2197" s="10"/>
      <c r="BNT2197" s="10"/>
      <c r="BNU2197" s="10"/>
      <c r="BNV2197" s="10"/>
      <c r="BNW2197" s="10"/>
      <c r="BNX2197" s="10"/>
      <c r="BNY2197" s="10"/>
      <c r="BNZ2197" s="10"/>
      <c r="BOA2197" s="10"/>
      <c r="BOB2197" s="10"/>
      <c r="BOC2197" s="10"/>
      <c r="BOD2197" s="10"/>
      <c r="BOE2197" s="10"/>
      <c r="BOF2197" s="10"/>
      <c r="BOG2197" s="10"/>
      <c r="BOH2197" s="10"/>
      <c r="BOI2197" s="10"/>
      <c r="BOJ2197" s="10"/>
      <c r="BOK2197" s="10"/>
      <c r="BOL2197" s="10"/>
      <c r="BOM2197" s="10"/>
      <c r="BON2197" s="10"/>
      <c r="BOO2197" s="10"/>
      <c r="BOP2197" s="10"/>
      <c r="BOQ2197" s="10"/>
      <c r="BOR2197" s="10"/>
      <c r="BOS2197" s="10"/>
      <c r="BOT2197" s="10"/>
      <c r="BOU2197" s="10"/>
      <c r="BOV2197" s="10"/>
      <c r="BOW2197" s="10"/>
      <c r="BOX2197" s="10"/>
      <c r="BOY2197" s="10"/>
      <c r="BOZ2197" s="10"/>
      <c r="BPA2197" s="10"/>
      <c r="BPB2197" s="10"/>
      <c r="BPC2197" s="10"/>
      <c r="BPD2197" s="10"/>
      <c r="BPE2197" s="10"/>
      <c r="BPF2197" s="10"/>
      <c r="BPG2197" s="10"/>
      <c r="BPH2197" s="10"/>
      <c r="BPI2197" s="10"/>
      <c r="BPJ2197" s="10"/>
      <c r="BPK2197" s="10"/>
      <c r="BPL2197" s="10"/>
      <c r="BPM2197" s="10"/>
      <c r="BPN2197" s="10"/>
      <c r="BPO2197" s="10"/>
      <c r="BPP2197" s="10"/>
      <c r="BPQ2197" s="10"/>
      <c r="BPR2197" s="10"/>
      <c r="BPS2197" s="10"/>
      <c r="BPT2197" s="10"/>
      <c r="BPU2197" s="10"/>
      <c r="BPV2197" s="10"/>
      <c r="BPW2197" s="10"/>
      <c r="BPX2197" s="10"/>
      <c r="BPY2197" s="10"/>
      <c r="BPZ2197" s="10"/>
      <c r="BQA2197" s="10"/>
      <c r="BQB2197" s="10"/>
      <c r="BQC2197" s="10"/>
      <c r="BQD2197" s="10"/>
      <c r="BQE2197" s="10"/>
      <c r="BQF2197" s="10"/>
      <c r="BQG2197" s="10"/>
      <c r="BQH2197" s="10"/>
      <c r="BQI2197" s="10"/>
      <c r="BQJ2197" s="10"/>
      <c r="BQK2197" s="10"/>
      <c r="BQL2197" s="10"/>
      <c r="BQM2197" s="10"/>
      <c r="BQN2197" s="10"/>
      <c r="BQO2197" s="10"/>
      <c r="BQP2197" s="10"/>
      <c r="BQQ2197" s="10"/>
      <c r="BQR2197" s="10"/>
      <c r="BQS2197" s="10"/>
      <c r="BQT2197" s="10"/>
      <c r="BQU2197" s="10"/>
      <c r="BQV2197" s="10"/>
      <c r="BQW2197" s="10"/>
      <c r="BQX2197" s="10"/>
      <c r="BQY2197" s="10"/>
      <c r="BQZ2197" s="10"/>
      <c r="BRA2197" s="10"/>
      <c r="BRB2197" s="10"/>
      <c r="BRC2197" s="10"/>
      <c r="BRD2197" s="10"/>
      <c r="BRE2197" s="10"/>
      <c r="BRF2197" s="10"/>
      <c r="BRG2197" s="10"/>
      <c r="BRH2197" s="10"/>
      <c r="BRI2197" s="10"/>
      <c r="BRJ2197" s="10"/>
      <c r="BRK2197" s="10"/>
      <c r="BRL2197" s="10"/>
      <c r="BRM2197" s="10"/>
      <c r="BRN2197" s="10"/>
      <c r="BRO2197" s="10"/>
      <c r="BRP2197" s="10"/>
      <c r="BRQ2197" s="10"/>
      <c r="BRR2197" s="10"/>
      <c r="BRS2197" s="10"/>
      <c r="BRT2197" s="10"/>
      <c r="BRU2197" s="10"/>
      <c r="BRV2197" s="10"/>
      <c r="BRW2197" s="10"/>
      <c r="BRX2197" s="10"/>
      <c r="BRY2197" s="10"/>
      <c r="BRZ2197" s="10"/>
      <c r="BSA2197" s="10"/>
      <c r="BSB2197" s="10"/>
      <c r="BSC2197" s="10"/>
      <c r="BSD2197" s="10"/>
      <c r="BSE2197" s="10"/>
      <c r="BSF2197" s="10"/>
      <c r="BSG2197" s="10"/>
      <c r="BSH2197" s="10"/>
      <c r="BSI2197" s="10"/>
      <c r="BSJ2197" s="10"/>
      <c r="BSK2197" s="10"/>
      <c r="BSL2197" s="10"/>
      <c r="BSM2197" s="10"/>
      <c r="BSN2197" s="10"/>
      <c r="BSO2197" s="10"/>
      <c r="BSP2197" s="10"/>
      <c r="BSQ2197" s="10"/>
      <c r="BSR2197" s="10"/>
      <c r="BSS2197" s="10"/>
      <c r="BST2197" s="10"/>
      <c r="BSU2197" s="10"/>
      <c r="BSV2197" s="10"/>
      <c r="BSW2197" s="10"/>
      <c r="BSX2197" s="10"/>
      <c r="BSY2197" s="10"/>
      <c r="BSZ2197" s="10"/>
      <c r="BTA2197" s="10"/>
      <c r="BTB2197" s="10"/>
      <c r="BTC2197" s="10"/>
      <c r="BTD2197" s="10"/>
      <c r="BTE2197" s="10"/>
      <c r="BTF2197" s="10"/>
      <c r="BTG2197" s="10"/>
      <c r="BTH2197" s="10"/>
      <c r="BTI2197" s="10"/>
      <c r="BTJ2197" s="10"/>
      <c r="BTK2197" s="10"/>
      <c r="BTL2197" s="10"/>
      <c r="BTM2197" s="10"/>
      <c r="BTN2197" s="10"/>
      <c r="BTO2197" s="10"/>
      <c r="BTP2197" s="10"/>
      <c r="BTQ2197" s="10"/>
      <c r="BTR2197" s="10"/>
      <c r="BTS2197" s="10"/>
      <c r="BTT2197" s="10"/>
      <c r="BTU2197" s="10"/>
      <c r="BTV2197" s="10"/>
      <c r="BTW2197" s="10"/>
      <c r="BTX2197" s="10"/>
      <c r="BTY2197" s="10"/>
      <c r="BTZ2197" s="10"/>
      <c r="BUA2197" s="10"/>
      <c r="BUB2197" s="10"/>
      <c r="BUC2197" s="10"/>
      <c r="BUD2197" s="10"/>
      <c r="BUE2197" s="10"/>
      <c r="BUF2197" s="10"/>
      <c r="BUG2197" s="10"/>
      <c r="BUH2197" s="10"/>
      <c r="BUI2197" s="10"/>
      <c r="BUJ2197" s="10"/>
      <c r="BUK2197" s="10"/>
      <c r="BUL2197" s="10"/>
      <c r="BUM2197" s="10"/>
      <c r="BUN2197" s="10"/>
      <c r="BUO2197" s="10"/>
      <c r="BUP2197" s="10"/>
      <c r="BUQ2197" s="10"/>
      <c r="BUR2197" s="10"/>
      <c r="BUS2197" s="10"/>
      <c r="BUT2197" s="10"/>
      <c r="BUU2197" s="10"/>
      <c r="BUV2197" s="10"/>
      <c r="BUW2197" s="10"/>
      <c r="BUX2197" s="10"/>
      <c r="BUY2197" s="10"/>
      <c r="BUZ2197" s="10"/>
      <c r="BVA2197" s="10"/>
      <c r="BVB2197" s="10"/>
      <c r="BVC2197" s="10"/>
      <c r="BVD2197" s="10"/>
      <c r="BVE2197" s="10"/>
      <c r="BVF2197" s="10"/>
      <c r="BVG2197" s="10"/>
      <c r="BVH2197" s="10"/>
      <c r="BVI2197" s="10"/>
      <c r="BVJ2197" s="10"/>
      <c r="BVK2197" s="10"/>
      <c r="BVL2197" s="10"/>
      <c r="BVM2197" s="10"/>
      <c r="BVN2197" s="10"/>
      <c r="BVO2197" s="10"/>
      <c r="BVP2197" s="10"/>
      <c r="BVQ2197" s="10"/>
      <c r="BVR2197" s="10"/>
      <c r="BVS2197" s="10"/>
      <c r="BVT2197" s="10"/>
      <c r="BVU2197" s="10"/>
      <c r="BVV2197" s="10"/>
      <c r="BVW2197" s="10"/>
      <c r="BVX2197" s="10"/>
      <c r="BVY2197" s="10"/>
      <c r="BVZ2197" s="10"/>
      <c r="BWA2197" s="10"/>
      <c r="BWB2197" s="10"/>
      <c r="BWC2197" s="10"/>
      <c r="BWD2197" s="10"/>
      <c r="BWE2197" s="10"/>
      <c r="BWF2197" s="10"/>
      <c r="BWG2197" s="10"/>
      <c r="BWH2197" s="10"/>
      <c r="BWI2197" s="10"/>
      <c r="BWJ2197" s="10"/>
      <c r="BWK2197" s="10"/>
      <c r="BWL2197" s="10"/>
      <c r="BWM2197" s="10"/>
      <c r="BWN2197" s="10"/>
      <c r="BWO2197" s="10"/>
      <c r="BWP2197" s="10"/>
      <c r="BWQ2197" s="10"/>
      <c r="BWR2197" s="10"/>
      <c r="BWS2197" s="10"/>
      <c r="BWT2197" s="10"/>
      <c r="BWU2197" s="10"/>
      <c r="BWV2197" s="10"/>
      <c r="BWW2197" s="10"/>
      <c r="BWX2197" s="10"/>
      <c r="BWY2197" s="10"/>
      <c r="BWZ2197" s="10"/>
      <c r="BXA2197" s="10"/>
      <c r="BXB2197" s="10"/>
      <c r="BXC2197" s="10"/>
      <c r="BXD2197" s="10"/>
      <c r="BXE2197" s="10"/>
      <c r="BXF2197" s="10"/>
      <c r="BXG2197" s="10"/>
      <c r="BXH2197" s="10"/>
      <c r="BXI2197" s="10"/>
      <c r="BXJ2197" s="10"/>
      <c r="BXK2197" s="10"/>
      <c r="BXL2197" s="10"/>
      <c r="BXM2197" s="10"/>
      <c r="BXN2197" s="10"/>
      <c r="BXO2197" s="10"/>
      <c r="BXP2197" s="10"/>
      <c r="BXQ2197" s="10"/>
      <c r="BXR2197" s="10"/>
      <c r="BXS2197" s="10"/>
      <c r="BXT2197" s="10"/>
      <c r="BXU2197" s="10"/>
      <c r="BXV2197" s="10"/>
      <c r="BXW2197" s="10"/>
      <c r="BXX2197" s="10"/>
      <c r="BXY2197" s="10"/>
      <c r="BXZ2197" s="10"/>
      <c r="BYA2197" s="10"/>
      <c r="BYB2197" s="10"/>
      <c r="BYC2197" s="10"/>
      <c r="BYD2197" s="10"/>
      <c r="BYE2197" s="10"/>
      <c r="BYF2197" s="10"/>
      <c r="BYG2197" s="10"/>
      <c r="BYH2197" s="10"/>
      <c r="BYI2197" s="10"/>
      <c r="BYJ2197" s="10"/>
      <c r="BYK2197" s="10"/>
      <c r="BYL2197" s="10"/>
      <c r="BYM2197" s="10"/>
      <c r="BYN2197" s="10"/>
      <c r="BYO2197" s="10"/>
      <c r="BYP2197" s="10"/>
      <c r="BYQ2197" s="10"/>
      <c r="BYR2197" s="10"/>
      <c r="BYS2197" s="10"/>
      <c r="BYT2197" s="10"/>
      <c r="BYU2197" s="10"/>
      <c r="BYV2197" s="10"/>
      <c r="BYW2197" s="10"/>
      <c r="BYX2197" s="10"/>
      <c r="BYY2197" s="10"/>
      <c r="BYZ2197" s="10"/>
      <c r="BZA2197" s="10"/>
      <c r="BZB2197" s="10"/>
      <c r="BZC2197" s="10"/>
      <c r="BZD2197" s="10"/>
      <c r="BZE2197" s="10"/>
      <c r="BZF2197" s="10"/>
      <c r="BZG2197" s="10"/>
      <c r="BZH2197" s="10"/>
      <c r="BZI2197" s="10"/>
      <c r="BZJ2197" s="10"/>
      <c r="BZK2197" s="10"/>
      <c r="BZL2197" s="10"/>
      <c r="BZM2197" s="10"/>
      <c r="BZN2197" s="10"/>
      <c r="BZO2197" s="10"/>
      <c r="BZP2197" s="10"/>
      <c r="BZQ2197" s="10"/>
      <c r="BZR2197" s="10"/>
      <c r="BZS2197" s="10"/>
      <c r="BZT2197" s="10"/>
      <c r="BZU2197" s="10"/>
      <c r="BZV2197" s="10"/>
      <c r="BZW2197" s="10"/>
      <c r="BZX2197" s="10"/>
      <c r="BZY2197" s="10"/>
      <c r="BZZ2197" s="10"/>
      <c r="CAA2197" s="10"/>
      <c r="CAB2197" s="10"/>
      <c r="CAC2197" s="10"/>
      <c r="CAD2197" s="10"/>
      <c r="CAE2197" s="10"/>
      <c r="CAF2197" s="10"/>
      <c r="CAG2197" s="10"/>
      <c r="CAH2197" s="10"/>
      <c r="CAI2197" s="10"/>
      <c r="CAJ2197" s="10"/>
      <c r="CAK2197" s="10"/>
      <c r="CAL2197" s="10"/>
      <c r="CAM2197" s="10"/>
      <c r="CAN2197" s="10"/>
      <c r="CAO2197" s="10"/>
      <c r="CAP2197" s="10"/>
      <c r="CAQ2197" s="10"/>
      <c r="CAR2197" s="10"/>
      <c r="CAS2197" s="10"/>
      <c r="CAT2197" s="10"/>
      <c r="CAU2197" s="10"/>
      <c r="CAV2197" s="10"/>
      <c r="CAW2197" s="10"/>
      <c r="CAX2197" s="10"/>
      <c r="CAY2197" s="10"/>
      <c r="CAZ2197" s="10"/>
      <c r="CBA2197" s="10"/>
      <c r="CBB2197" s="10"/>
      <c r="CBC2197" s="10"/>
      <c r="CBD2197" s="10"/>
      <c r="CBE2197" s="10"/>
      <c r="CBF2197" s="10"/>
      <c r="CBG2197" s="10"/>
      <c r="CBH2197" s="10"/>
      <c r="CBI2197" s="10"/>
      <c r="CBJ2197" s="10"/>
      <c r="CBK2197" s="10"/>
      <c r="CBL2197" s="10"/>
      <c r="CBM2197" s="10"/>
      <c r="CBN2197" s="10"/>
      <c r="CBO2197" s="10"/>
      <c r="CBP2197" s="10"/>
      <c r="CBQ2197" s="10"/>
      <c r="CBR2197" s="10"/>
      <c r="CBS2197" s="10"/>
      <c r="CBT2197" s="10"/>
      <c r="CBU2197" s="10"/>
      <c r="CBV2197" s="10"/>
      <c r="CBW2197" s="10"/>
      <c r="CBX2197" s="10"/>
      <c r="CBY2197" s="10"/>
      <c r="CBZ2197" s="10"/>
      <c r="CCA2197" s="10"/>
      <c r="CCB2197" s="10"/>
      <c r="CCC2197" s="10"/>
      <c r="CCD2197" s="10"/>
      <c r="CCE2197" s="10"/>
      <c r="CCF2197" s="10"/>
      <c r="CCG2197" s="10"/>
      <c r="CCH2197" s="10"/>
      <c r="CCI2197" s="10"/>
      <c r="CCJ2197" s="10"/>
      <c r="CCK2197" s="10"/>
      <c r="CCL2197" s="10"/>
      <c r="CCM2197" s="10"/>
      <c r="CCN2197" s="10"/>
      <c r="CCO2197" s="10"/>
      <c r="CCP2197" s="10"/>
      <c r="CCQ2197" s="10"/>
      <c r="CCR2197" s="10"/>
      <c r="CCS2197" s="10"/>
      <c r="CCT2197" s="10"/>
      <c r="CCU2197" s="10"/>
      <c r="CCV2197" s="10"/>
      <c r="CCW2197" s="10"/>
      <c r="CCX2197" s="10"/>
      <c r="CCY2197" s="10"/>
      <c r="CCZ2197" s="10"/>
      <c r="CDA2197" s="10"/>
      <c r="CDB2197" s="10"/>
      <c r="CDC2197" s="10"/>
      <c r="CDD2197" s="10"/>
      <c r="CDE2197" s="10"/>
      <c r="CDF2197" s="10"/>
      <c r="CDG2197" s="10"/>
      <c r="CDH2197" s="10"/>
      <c r="CDI2197" s="10"/>
      <c r="CDJ2197" s="10"/>
      <c r="CDK2197" s="10"/>
      <c r="CDL2197" s="10"/>
      <c r="CDM2197" s="10"/>
      <c r="CDN2197" s="10"/>
      <c r="CDO2197" s="10"/>
      <c r="CDP2197" s="10"/>
      <c r="CDQ2197" s="10"/>
      <c r="CDR2197" s="10"/>
      <c r="CDS2197" s="10"/>
      <c r="CDT2197" s="10"/>
      <c r="CDU2197" s="10"/>
      <c r="CDV2197" s="10"/>
      <c r="CDW2197" s="10"/>
      <c r="CDX2197" s="10"/>
      <c r="CDY2197" s="10"/>
      <c r="CDZ2197" s="10"/>
      <c r="CEA2197" s="10"/>
      <c r="CEB2197" s="10"/>
      <c r="CEC2197" s="10"/>
      <c r="CED2197" s="10"/>
      <c r="CEE2197" s="10"/>
      <c r="CEF2197" s="10"/>
      <c r="CEG2197" s="10"/>
      <c r="CEH2197" s="10"/>
      <c r="CEI2197" s="10"/>
      <c r="CEJ2197" s="10"/>
      <c r="CEK2197" s="10"/>
      <c r="CEL2197" s="10"/>
      <c r="CEM2197" s="10"/>
      <c r="CEN2197" s="10"/>
      <c r="CEO2197" s="10"/>
      <c r="CEP2197" s="10"/>
      <c r="CEQ2197" s="10"/>
      <c r="CER2197" s="10"/>
      <c r="CES2197" s="10"/>
      <c r="CET2197" s="10"/>
      <c r="CEU2197" s="10"/>
      <c r="CEV2197" s="10"/>
      <c r="CEW2197" s="10"/>
      <c r="CEX2197" s="10"/>
      <c r="CEY2197" s="10"/>
      <c r="CEZ2197" s="10"/>
      <c r="CFA2197" s="10"/>
      <c r="CFB2197" s="10"/>
      <c r="CFC2197" s="10"/>
      <c r="CFD2197" s="10"/>
      <c r="CFE2197" s="10"/>
      <c r="CFF2197" s="10"/>
      <c r="CFG2197" s="10"/>
      <c r="CFH2197" s="10"/>
      <c r="CFI2197" s="10"/>
      <c r="CFJ2197" s="10"/>
      <c r="CFK2197" s="10"/>
      <c r="CFL2197" s="10"/>
      <c r="CFM2197" s="10"/>
      <c r="CFN2197" s="10"/>
      <c r="CFO2197" s="10"/>
      <c r="CFP2197" s="10"/>
      <c r="CFQ2197" s="10"/>
      <c r="CFR2197" s="10"/>
      <c r="CFS2197" s="10"/>
      <c r="CFT2197" s="10"/>
      <c r="CFU2197" s="10"/>
      <c r="CFV2197" s="10"/>
      <c r="CFW2197" s="10"/>
      <c r="CFX2197" s="10"/>
      <c r="CFY2197" s="10"/>
      <c r="CFZ2197" s="10"/>
      <c r="CGA2197" s="10"/>
      <c r="CGB2197" s="10"/>
      <c r="CGC2197" s="10"/>
      <c r="CGD2197" s="10"/>
      <c r="CGE2197" s="10"/>
      <c r="CGF2197" s="10"/>
      <c r="CGG2197" s="10"/>
      <c r="CGH2197" s="10"/>
      <c r="CGI2197" s="10"/>
      <c r="CGJ2197" s="10"/>
      <c r="CGK2197" s="10"/>
      <c r="CGL2197" s="10"/>
      <c r="CGM2197" s="10"/>
      <c r="CGN2197" s="10"/>
      <c r="CGO2197" s="10"/>
      <c r="CGP2197" s="10"/>
      <c r="CGQ2197" s="10"/>
      <c r="CGR2197" s="10"/>
      <c r="CGS2197" s="10"/>
      <c r="CGT2197" s="10"/>
      <c r="CGU2197" s="10"/>
      <c r="CGV2197" s="10"/>
      <c r="CGW2197" s="10"/>
      <c r="CGX2197" s="10"/>
      <c r="CGY2197" s="10"/>
      <c r="CGZ2197" s="10"/>
      <c r="CHA2197" s="10"/>
      <c r="CHB2197" s="10"/>
      <c r="CHC2197" s="10"/>
      <c r="CHD2197" s="10"/>
      <c r="CHE2197" s="10"/>
      <c r="CHF2197" s="10"/>
      <c r="CHG2197" s="10"/>
      <c r="CHH2197" s="10"/>
      <c r="CHI2197" s="10"/>
      <c r="CHJ2197" s="10"/>
      <c r="CHK2197" s="10"/>
      <c r="CHL2197" s="10"/>
      <c r="CHM2197" s="10"/>
      <c r="CHN2197" s="10"/>
      <c r="CHO2197" s="10"/>
      <c r="CHP2197" s="10"/>
      <c r="CHQ2197" s="10"/>
      <c r="CHR2197" s="10"/>
      <c r="CHS2197" s="10"/>
      <c r="CHT2197" s="10"/>
      <c r="CHU2197" s="10"/>
      <c r="CHV2197" s="10"/>
      <c r="CHW2197" s="10"/>
      <c r="CHX2197" s="10"/>
      <c r="CHY2197" s="10"/>
      <c r="CHZ2197" s="10"/>
      <c r="CIA2197" s="10"/>
      <c r="CIB2197" s="10"/>
      <c r="CIC2197" s="10"/>
      <c r="CID2197" s="10"/>
      <c r="CIE2197" s="10"/>
      <c r="CIF2197" s="10"/>
      <c r="CIG2197" s="10"/>
      <c r="CIH2197" s="10"/>
      <c r="CII2197" s="10"/>
      <c r="CIJ2197" s="10"/>
      <c r="CIK2197" s="10"/>
      <c r="CIL2197" s="10"/>
      <c r="CIM2197" s="10"/>
      <c r="CIN2197" s="10"/>
      <c r="CIO2197" s="10"/>
      <c r="CIP2197" s="10"/>
      <c r="CIQ2197" s="10"/>
      <c r="CIR2197" s="10"/>
      <c r="CIS2197" s="10"/>
      <c r="CIT2197" s="10"/>
      <c r="CIU2197" s="10"/>
      <c r="CIV2197" s="10"/>
      <c r="CIW2197" s="10"/>
      <c r="CIX2197" s="10"/>
      <c r="CIY2197" s="10"/>
      <c r="CIZ2197" s="10"/>
      <c r="CJA2197" s="10"/>
      <c r="CJB2197" s="10"/>
      <c r="CJC2197" s="10"/>
      <c r="CJD2197" s="10"/>
      <c r="CJE2197" s="10"/>
      <c r="CJF2197" s="10"/>
      <c r="CJG2197" s="10"/>
      <c r="CJH2197" s="10"/>
      <c r="CJI2197" s="10"/>
      <c r="CJJ2197" s="10"/>
      <c r="CJK2197" s="10"/>
      <c r="CJL2197" s="10"/>
      <c r="CJM2197" s="10"/>
      <c r="CJN2197" s="10"/>
      <c r="CJO2197" s="10"/>
      <c r="CJP2197" s="10"/>
      <c r="CJQ2197" s="10"/>
      <c r="CJR2197" s="10"/>
      <c r="CJS2197" s="10"/>
      <c r="CJT2197" s="10"/>
      <c r="CJU2197" s="10"/>
      <c r="CJV2197" s="10"/>
      <c r="CJW2197" s="10"/>
      <c r="CJX2197" s="10"/>
      <c r="CJY2197" s="10"/>
      <c r="CJZ2197" s="10"/>
      <c r="CKA2197" s="10"/>
      <c r="CKB2197" s="10"/>
      <c r="CKC2197" s="10"/>
      <c r="CKD2197" s="10"/>
      <c r="CKE2197" s="10"/>
      <c r="CKF2197" s="10"/>
      <c r="CKG2197" s="10"/>
      <c r="CKH2197" s="10"/>
      <c r="CKI2197" s="10"/>
      <c r="CKJ2197" s="10"/>
      <c r="CKK2197" s="10"/>
      <c r="CKL2197" s="10"/>
      <c r="CKM2197" s="10"/>
      <c r="CKN2197" s="10"/>
      <c r="CKO2197" s="10"/>
      <c r="CKP2197" s="10"/>
      <c r="CKQ2197" s="10"/>
      <c r="CKR2197" s="10"/>
      <c r="CKS2197" s="10"/>
      <c r="CKT2197" s="10"/>
      <c r="CKU2197" s="10"/>
      <c r="CKV2197" s="10"/>
      <c r="CKW2197" s="10"/>
      <c r="CKX2197" s="10"/>
      <c r="CKY2197" s="10"/>
      <c r="CKZ2197" s="10"/>
      <c r="CLA2197" s="10"/>
      <c r="CLB2197" s="10"/>
      <c r="CLC2197" s="10"/>
      <c r="CLD2197" s="10"/>
      <c r="CLE2197" s="10"/>
      <c r="CLF2197" s="10"/>
      <c r="CLG2197" s="10"/>
      <c r="CLH2197" s="10"/>
      <c r="CLI2197" s="10"/>
      <c r="CLJ2197" s="10"/>
      <c r="CLK2197" s="10"/>
      <c r="CLL2197" s="10"/>
      <c r="CLM2197" s="10"/>
      <c r="CLN2197" s="10"/>
      <c r="CLO2197" s="10"/>
      <c r="CLP2197" s="10"/>
      <c r="CLQ2197" s="10"/>
      <c r="CLR2197" s="10"/>
      <c r="CLS2197" s="10"/>
      <c r="CLT2197" s="10"/>
      <c r="CLU2197" s="10"/>
      <c r="CLV2197" s="10"/>
      <c r="CLW2197" s="10"/>
      <c r="CLX2197" s="10"/>
      <c r="CLY2197" s="10"/>
      <c r="CLZ2197" s="10"/>
      <c r="CMA2197" s="10"/>
      <c r="CMB2197" s="10"/>
      <c r="CMC2197" s="10"/>
      <c r="CMD2197" s="10"/>
      <c r="CME2197" s="10"/>
      <c r="CMF2197" s="10"/>
      <c r="CMG2197" s="10"/>
      <c r="CMH2197" s="10"/>
      <c r="CMI2197" s="10"/>
      <c r="CMJ2197" s="10"/>
      <c r="CMK2197" s="10"/>
      <c r="CML2197" s="10"/>
      <c r="CMM2197" s="10"/>
      <c r="CMN2197" s="10"/>
      <c r="CMO2197" s="10"/>
      <c r="CMP2197" s="10"/>
      <c r="CMQ2197" s="10"/>
      <c r="CMR2197" s="10"/>
      <c r="CMS2197" s="10"/>
      <c r="CMT2197" s="10"/>
      <c r="CMU2197" s="10"/>
      <c r="CMV2197" s="10"/>
      <c r="CMW2197" s="10"/>
      <c r="CMX2197" s="10"/>
      <c r="CMY2197" s="10"/>
      <c r="CMZ2197" s="10"/>
      <c r="CNA2197" s="10"/>
      <c r="CNB2197" s="10"/>
      <c r="CNC2197" s="10"/>
      <c r="CND2197" s="10"/>
      <c r="CNE2197" s="10"/>
      <c r="CNF2197" s="10"/>
      <c r="CNG2197" s="10"/>
      <c r="CNH2197" s="10"/>
      <c r="CNI2197" s="10"/>
      <c r="CNJ2197" s="10"/>
      <c r="CNK2197" s="10"/>
      <c r="CNL2197" s="10"/>
      <c r="CNM2197" s="10"/>
      <c r="CNN2197" s="10"/>
      <c r="CNO2197" s="10"/>
      <c r="CNP2197" s="10"/>
      <c r="CNQ2197" s="10"/>
      <c r="CNR2197" s="10"/>
      <c r="CNS2197" s="10"/>
      <c r="CNT2197" s="10"/>
      <c r="CNU2197" s="10"/>
      <c r="CNV2197" s="10"/>
      <c r="CNW2197" s="10"/>
      <c r="CNX2197" s="10"/>
      <c r="CNY2197" s="10"/>
      <c r="CNZ2197" s="10"/>
      <c r="COA2197" s="10"/>
      <c r="COB2197" s="10"/>
      <c r="COC2197" s="10"/>
      <c r="COD2197" s="10"/>
      <c r="COE2197" s="10"/>
      <c r="COF2197" s="10"/>
      <c r="COG2197" s="10"/>
      <c r="COH2197" s="10"/>
      <c r="COI2197" s="10"/>
      <c r="COJ2197" s="10"/>
      <c r="COK2197" s="10"/>
      <c r="COL2197" s="10"/>
      <c r="COM2197" s="10"/>
      <c r="CON2197" s="10"/>
      <c r="COO2197" s="10"/>
      <c r="COP2197" s="10"/>
      <c r="COQ2197" s="10"/>
      <c r="COR2197" s="10"/>
      <c r="COS2197" s="10"/>
      <c r="COT2197" s="10"/>
      <c r="COU2197" s="10"/>
      <c r="COV2197" s="10"/>
      <c r="COW2197" s="10"/>
      <c r="COX2197" s="10"/>
      <c r="COY2197" s="10"/>
      <c r="COZ2197" s="10"/>
      <c r="CPA2197" s="10"/>
      <c r="CPB2197" s="10"/>
      <c r="CPC2197" s="10"/>
      <c r="CPD2197" s="10"/>
      <c r="CPE2197" s="10"/>
      <c r="CPF2197" s="10"/>
      <c r="CPG2197" s="10"/>
      <c r="CPH2197" s="10"/>
      <c r="CPI2197" s="10"/>
      <c r="CPJ2197" s="10"/>
      <c r="CPK2197" s="10"/>
      <c r="CPL2197" s="10"/>
      <c r="CPM2197" s="10"/>
      <c r="CPN2197" s="10"/>
      <c r="CPO2197" s="10"/>
      <c r="CPP2197" s="10"/>
      <c r="CPQ2197" s="10"/>
      <c r="CPR2197" s="10"/>
      <c r="CPS2197" s="10"/>
      <c r="CPT2197" s="10"/>
      <c r="CPU2197" s="10"/>
      <c r="CPV2197" s="10"/>
      <c r="CPW2197" s="10"/>
      <c r="CPX2197" s="10"/>
      <c r="CPY2197" s="10"/>
      <c r="CPZ2197" s="10"/>
      <c r="CQA2197" s="10"/>
      <c r="CQB2197" s="10"/>
      <c r="CQC2197" s="10"/>
      <c r="CQD2197" s="10"/>
      <c r="CQE2197" s="10"/>
      <c r="CQF2197" s="10"/>
      <c r="CQG2197" s="10"/>
      <c r="CQH2197" s="10"/>
      <c r="CQI2197" s="10"/>
      <c r="CQJ2197" s="10"/>
      <c r="CQK2197" s="10"/>
      <c r="CQL2197" s="10"/>
      <c r="CQM2197" s="10"/>
      <c r="CQN2197" s="10"/>
      <c r="CQO2197" s="10"/>
      <c r="CQP2197" s="10"/>
      <c r="CQQ2197" s="10"/>
      <c r="CQR2197" s="10"/>
      <c r="CQS2197" s="10"/>
      <c r="CQT2197" s="10"/>
      <c r="CQU2197" s="10"/>
      <c r="CQV2197" s="10"/>
      <c r="CQW2197" s="10"/>
      <c r="CQX2197" s="10"/>
      <c r="CQY2197" s="10"/>
      <c r="CQZ2197" s="10"/>
      <c r="CRA2197" s="10"/>
      <c r="CRB2197" s="10"/>
      <c r="CRC2197" s="10"/>
      <c r="CRD2197" s="10"/>
      <c r="CRE2197" s="10"/>
      <c r="CRF2197" s="10"/>
      <c r="CRG2197" s="10"/>
      <c r="CRH2197" s="10"/>
      <c r="CRI2197" s="10"/>
      <c r="CRJ2197" s="10"/>
      <c r="CRK2197" s="10"/>
      <c r="CRL2197" s="10"/>
      <c r="CRM2197" s="10"/>
      <c r="CRN2197" s="10"/>
      <c r="CRO2197" s="10"/>
      <c r="CRP2197" s="10"/>
      <c r="CRQ2197" s="10"/>
      <c r="CRR2197" s="10"/>
      <c r="CRS2197" s="10"/>
      <c r="CRT2197" s="10"/>
      <c r="CRU2197" s="10"/>
      <c r="CRV2197" s="10"/>
      <c r="CRW2197" s="10"/>
      <c r="CRX2197" s="10"/>
      <c r="CRY2197" s="10"/>
      <c r="CRZ2197" s="10"/>
      <c r="CSA2197" s="10"/>
      <c r="CSB2197" s="10"/>
      <c r="CSC2197" s="10"/>
      <c r="CSD2197" s="10"/>
      <c r="CSE2197" s="10"/>
      <c r="CSF2197" s="10"/>
      <c r="CSG2197" s="10"/>
      <c r="CSH2197" s="10"/>
      <c r="CSI2197" s="10"/>
      <c r="CSJ2197" s="10"/>
      <c r="CSK2197" s="10"/>
      <c r="CSL2197" s="10"/>
      <c r="CSM2197" s="10"/>
      <c r="CSN2197" s="10"/>
      <c r="CSO2197" s="10"/>
      <c r="CSP2197" s="10"/>
      <c r="CSQ2197" s="10"/>
      <c r="CSR2197" s="10"/>
      <c r="CSS2197" s="10"/>
      <c r="CST2197" s="10"/>
      <c r="CSU2197" s="10"/>
      <c r="CSV2197" s="10"/>
      <c r="CSW2197" s="10"/>
      <c r="CSX2197" s="10"/>
      <c r="CSY2197" s="10"/>
      <c r="CSZ2197" s="10"/>
      <c r="CTA2197" s="10"/>
      <c r="CTB2197" s="10"/>
      <c r="CTC2197" s="10"/>
      <c r="CTD2197" s="10"/>
      <c r="CTE2197" s="10"/>
      <c r="CTF2197" s="10"/>
      <c r="CTG2197" s="10"/>
      <c r="CTH2197" s="10"/>
      <c r="CTI2197" s="10"/>
      <c r="CTJ2197" s="10"/>
      <c r="CTK2197" s="10"/>
      <c r="CTL2197" s="10"/>
      <c r="CTM2197" s="10"/>
      <c r="CTN2197" s="10"/>
      <c r="CTO2197" s="10"/>
      <c r="CTP2197" s="10"/>
      <c r="CTQ2197" s="10"/>
      <c r="CTR2197" s="10"/>
      <c r="CTS2197" s="10"/>
      <c r="CTT2197" s="10"/>
      <c r="CTU2197" s="10"/>
      <c r="CTV2197" s="10"/>
      <c r="CTW2197" s="10"/>
      <c r="CTX2197" s="10"/>
      <c r="CTY2197" s="10"/>
      <c r="CTZ2197" s="10"/>
      <c r="CUA2197" s="10"/>
      <c r="CUB2197" s="10"/>
      <c r="CUC2197" s="10"/>
      <c r="CUD2197" s="10"/>
      <c r="CUE2197" s="10"/>
      <c r="CUF2197" s="10"/>
      <c r="CUG2197" s="10"/>
      <c r="CUH2197" s="10"/>
      <c r="CUI2197" s="10"/>
      <c r="CUJ2197" s="10"/>
      <c r="CUK2197" s="10"/>
      <c r="CUL2197" s="10"/>
      <c r="CUM2197" s="10"/>
      <c r="CUN2197" s="10"/>
      <c r="CUO2197" s="10"/>
      <c r="CUP2197" s="10"/>
      <c r="CUQ2197" s="10"/>
      <c r="CUR2197" s="10"/>
      <c r="CUS2197" s="10"/>
      <c r="CUT2197" s="10"/>
      <c r="CUU2197" s="10"/>
      <c r="CUV2197" s="10"/>
      <c r="CUW2197" s="10"/>
      <c r="CUX2197" s="10"/>
      <c r="CUY2197" s="10"/>
      <c r="CUZ2197" s="10"/>
      <c r="CVA2197" s="10"/>
      <c r="CVB2197" s="10"/>
      <c r="CVC2197" s="10"/>
      <c r="CVD2197" s="10"/>
      <c r="CVE2197" s="10"/>
      <c r="CVF2197" s="10"/>
      <c r="CVG2197" s="10"/>
      <c r="CVH2197" s="10"/>
      <c r="CVI2197" s="10"/>
      <c r="CVJ2197" s="10"/>
      <c r="CVK2197" s="10"/>
      <c r="CVL2197" s="10"/>
      <c r="CVM2197" s="10"/>
      <c r="CVN2197" s="10"/>
      <c r="CVO2197" s="10"/>
      <c r="CVP2197" s="10"/>
      <c r="CVQ2197" s="10"/>
      <c r="CVR2197" s="10"/>
      <c r="CVS2197" s="10"/>
      <c r="CVT2197" s="10"/>
      <c r="CVU2197" s="10"/>
      <c r="CVV2197" s="10"/>
      <c r="CVW2197" s="10"/>
      <c r="CVX2197" s="10"/>
      <c r="CVY2197" s="10"/>
      <c r="CVZ2197" s="10"/>
      <c r="CWA2197" s="10"/>
      <c r="CWB2197" s="10"/>
      <c r="CWC2197" s="10"/>
      <c r="CWD2197" s="10"/>
      <c r="CWE2197" s="10"/>
      <c r="CWF2197" s="10"/>
      <c r="CWG2197" s="10"/>
      <c r="CWH2197" s="10"/>
      <c r="CWI2197" s="10"/>
      <c r="CWJ2197" s="10"/>
      <c r="CWK2197" s="10"/>
      <c r="CWL2197" s="10"/>
      <c r="CWM2197" s="10"/>
      <c r="CWN2197" s="10"/>
      <c r="CWO2197" s="10"/>
      <c r="CWP2197" s="10"/>
      <c r="CWQ2197" s="10"/>
      <c r="CWR2197" s="10"/>
      <c r="CWS2197" s="10"/>
      <c r="CWT2197" s="10"/>
      <c r="CWU2197" s="10"/>
      <c r="CWV2197" s="10"/>
      <c r="CWW2197" s="10"/>
      <c r="CWX2197" s="10"/>
      <c r="CWY2197" s="10"/>
      <c r="CWZ2197" s="10"/>
      <c r="CXA2197" s="10"/>
      <c r="CXB2197" s="10"/>
      <c r="CXC2197" s="10"/>
      <c r="CXD2197" s="10"/>
      <c r="CXE2197" s="10"/>
      <c r="CXF2197" s="10"/>
      <c r="CXG2197" s="10"/>
      <c r="CXH2197" s="10"/>
      <c r="CXI2197" s="10"/>
      <c r="CXJ2197" s="10"/>
      <c r="CXK2197" s="10"/>
      <c r="CXL2197" s="10"/>
      <c r="CXM2197" s="10"/>
      <c r="CXN2197" s="10"/>
      <c r="CXO2197" s="10"/>
      <c r="CXP2197" s="10"/>
      <c r="CXQ2197" s="10"/>
      <c r="CXR2197" s="10"/>
      <c r="CXS2197" s="10"/>
      <c r="CXT2197" s="10"/>
      <c r="CXU2197" s="10"/>
      <c r="CXV2197" s="10"/>
      <c r="CXW2197" s="10"/>
      <c r="CXX2197" s="10"/>
      <c r="CXY2197" s="10"/>
      <c r="CXZ2197" s="10"/>
      <c r="CYA2197" s="10"/>
      <c r="CYB2197" s="10"/>
      <c r="CYC2197" s="10"/>
      <c r="CYD2197" s="10"/>
      <c r="CYE2197" s="10"/>
      <c r="CYF2197" s="10"/>
      <c r="CYG2197" s="10"/>
      <c r="CYH2197" s="10"/>
      <c r="CYI2197" s="10"/>
      <c r="CYJ2197" s="10"/>
      <c r="CYK2197" s="10"/>
      <c r="CYL2197" s="10"/>
      <c r="CYM2197" s="10"/>
      <c r="CYN2197" s="10"/>
      <c r="CYO2197" s="10"/>
      <c r="CYP2197" s="10"/>
      <c r="CYQ2197" s="10"/>
      <c r="CYR2197" s="10"/>
      <c r="CYS2197" s="10"/>
      <c r="CYT2197" s="10"/>
      <c r="CYU2197" s="10"/>
      <c r="CYV2197" s="10"/>
      <c r="CYW2197" s="10"/>
      <c r="CYX2197" s="10"/>
      <c r="CYY2197" s="10"/>
      <c r="CYZ2197" s="10"/>
      <c r="CZA2197" s="10"/>
      <c r="CZB2197" s="10"/>
      <c r="CZC2197" s="10"/>
      <c r="CZD2197" s="10"/>
      <c r="CZE2197" s="10"/>
      <c r="CZF2197" s="10"/>
      <c r="CZG2197" s="10"/>
      <c r="CZH2197" s="10"/>
      <c r="CZI2197" s="10"/>
      <c r="CZJ2197" s="10"/>
      <c r="CZK2197" s="10"/>
      <c r="CZL2197" s="10"/>
      <c r="CZM2197" s="10"/>
      <c r="CZN2197" s="10"/>
      <c r="CZO2197" s="10"/>
      <c r="CZP2197" s="10"/>
      <c r="CZQ2197" s="10"/>
      <c r="CZR2197" s="10"/>
      <c r="CZS2197" s="10"/>
      <c r="CZT2197" s="10"/>
      <c r="CZU2197" s="10"/>
      <c r="CZV2197" s="10"/>
      <c r="CZW2197" s="10"/>
      <c r="CZX2197" s="10"/>
      <c r="CZY2197" s="10"/>
      <c r="CZZ2197" s="10"/>
      <c r="DAA2197" s="10"/>
      <c r="DAB2197" s="10"/>
      <c r="DAC2197" s="10"/>
      <c r="DAD2197" s="10"/>
      <c r="DAE2197" s="10"/>
      <c r="DAF2197" s="10"/>
      <c r="DAG2197" s="10"/>
      <c r="DAH2197" s="10"/>
      <c r="DAI2197" s="10"/>
      <c r="DAJ2197" s="10"/>
      <c r="DAK2197" s="10"/>
      <c r="DAL2197" s="10"/>
      <c r="DAM2197" s="10"/>
      <c r="DAN2197" s="10"/>
      <c r="DAO2197" s="10"/>
      <c r="DAP2197" s="10"/>
      <c r="DAQ2197" s="10"/>
      <c r="DAR2197" s="10"/>
      <c r="DAS2197" s="10"/>
      <c r="DAT2197" s="10"/>
      <c r="DAU2197" s="10"/>
      <c r="DAV2197" s="10"/>
      <c r="DAW2197" s="10"/>
      <c r="DAX2197" s="10"/>
      <c r="DAY2197" s="10"/>
      <c r="DAZ2197" s="10"/>
      <c r="DBA2197" s="10"/>
      <c r="DBB2197" s="10"/>
      <c r="DBC2197" s="10"/>
      <c r="DBD2197" s="10"/>
      <c r="DBE2197" s="10"/>
      <c r="DBF2197" s="10"/>
      <c r="DBG2197" s="10"/>
      <c r="DBH2197" s="10"/>
      <c r="DBI2197" s="10"/>
      <c r="DBJ2197" s="10"/>
      <c r="DBK2197" s="10"/>
      <c r="DBL2197" s="10"/>
      <c r="DBM2197" s="10"/>
      <c r="DBN2197" s="10"/>
      <c r="DBO2197" s="10"/>
      <c r="DBP2197" s="10"/>
      <c r="DBQ2197" s="10"/>
      <c r="DBR2197" s="10"/>
      <c r="DBS2197" s="10"/>
      <c r="DBT2197" s="10"/>
      <c r="DBU2197" s="10"/>
      <c r="DBV2197" s="10"/>
      <c r="DBW2197" s="10"/>
      <c r="DBX2197" s="10"/>
      <c r="DBY2197" s="10"/>
      <c r="DBZ2197" s="10"/>
      <c r="DCA2197" s="10"/>
      <c r="DCB2197" s="10"/>
      <c r="DCC2197" s="10"/>
      <c r="DCD2197" s="10"/>
      <c r="DCE2197" s="10"/>
      <c r="DCF2197" s="10"/>
      <c r="DCG2197" s="10"/>
      <c r="DCH2197" s="10"/>
      <c r="DCI2197" s="10"/>
      <c r="DCJ2197" s="10"/>
      <c r="DCK2197" s="10"/>
      <c r="DCL2197" s="10"/>
      <c r="DCM2197" s="10"/>
      <c r="DCN2197" s="10"/>
      <c r="DCO2197" s="10"/>
      <c r="DCP2197" s="10"/>
      <c r="DCQ2197" s="10"/>
      <c r="DCR2197" s="10"/>
      <c r="DCS2197" s="10"/>
      <c r="DCT2197" s="10"/>
      <c r="DCU2197" s="10"/>
      <c r="DCV2197" s="10"/>
      <c r="DCW2197" s="10"/>
      <c r="DCX2197" s="10"/>
      <c r="DCY2197" s="10"/>
      <c r="DCZ2197" s="10"/>
      <c r="DDA2197" s="10"/>
      <c r="DDB2197" s="10"/>
      <c r="DDC2197" s="10"/>
      <c r="DDD2197" s="10"/>
      <c r="DDE2197" s="10"/>
      <c r="DDF2197" s="10"/>
      <c r="DDG2197" s="10"/>
      <c r="DDH2197" s="10"/>
      <c r="DDI2197" s="10"/>
      <c r="DDJ2197" s="10"/>
      <c r="DDK2197" s="10"/>
      <c r="DDL2197" s="10"/>
      <c r="DDM2197" s="10"/>
      <c r="DDN2197" s="10"/>
      <c r="DDO2197" s="10"/>
      <c r="DDP2197" s="10"/>
      <c r="DDQ2197" s="10"/>
      <c r="DDR2197" s="10"/>
      <c r="DDS2197" s="10"/>
      <c r="DDT2197" s="10"/>
      <c r="DDU2197" s="10"/>
      <c r="DDV2197" s="10"/>
      <c r="DDW2197" s="10"/>
      <c r="DDX2197" s="10"/>
      <c r="DDY2197" s="10"/>
      <c r="DDZ2197" s="10"/>
      <c r="DEA2197" s="10"/>
      <c r="DEB2197" s="10"/>
      <c r="DEC2197" s="10"/>
      <c r="DED2197" s="10"/>
      <c r="DEE2197" s="10"/>
      <c r="DEF2197" s="10"/>
      <c r="DEG2197" s="10"/>
      <c r="DEH2197" s="10"/>
      <c r="DEI2197" s="10"/>
      <c r="DEJ2197" s="10"/>
      <c r="DEK2197" s="10"/>
      <c r="DEL2197" s="10"/>
      <c r="DEM2197" s="10"/>
      <c r="DEN2197" s="10"/>
      <c r="DEO2197" s="10"/>
      <c r="DEP2197" s="10"/>
      <c r="DEQ2197" s="10"/>
      <c r="DER2197" s="10"/>
      <c r="DES2197" s="10"/>
      <c r="DET2197" s="10"/>
      <c r="DEU2197" s="10"/>
      <c r="DEV2197" s="10"/>
      <c r="DEW2197" s="10"/>
      <c r="DEX2197" s="10"/>
      <c r="DEY2197" s="10"/>
      <c r="DEZ2197" s="10"/>
      <c r="DFA2197" s="10"/>
      <c r="DFB2197" s="10"/>
      <c r="DFC2197" s="10"/>
      <c r="DFD2197" s="10"/>
      <c r="DFE2197" s="10"/>
      <c r="DFF2197" s="10"/>
      <c r="DFG2197" s="10"/>
      <c r="DFH2197" s="10"/>
      <c r="DFI2197" s="10"/>
      <c r="DFJ2197" s="10"/>
      <c r="DFK2197" s="10"/>
      <c r="DFL2197" s="10"/>
      <c r="DFM2197" s="10"/>
      <c r="DFN2197" s="10"/>
      <c r="DFO2197" s="10"/>
      <c r="DFP2197" s="10"/>
      <c r="DFQ2197" s="10"/>
      <c r="DFR2197" s="10"/>
      <c r="DFS2197" s="10"/>
      <c r="DFT2197" s="10"/>
      <c r="DFU2197" s="10"/>
      <c r="DFV2197" s="10"/>
      <c r="DFW2197" s="10"/>
      <c r="DFX2197" s="10"/>
      <c r="DFY2197" s="10"/>
      <c r="DFZ2197" s="10"/>
      <c r="DGA2197" s="10"/>
      <c r="DGB2197" s="10"/>
      <c r="DGC2197" s="10"/>
      <c r="DGD2197" s="10"/>
      <c r="DGE2197" s="10"/>
      <c r="DGF2197" s="10"/>
      <c r="DGG2197" s="10"/>
      <c r="DGH2197" s="10"/>
      <c r="DGI2197" s="10"/>
      <c r="DGJ2197" s="10"/>
      <c r="DGK2197" s="10"/>
      <c r="DGL2197" s="10"/>
      <c r="DGM2197" s="10"/>
      <c r="DGN2197" s="10"/>
      <c r="DGO2197" s="10"/>
      <c r="DGP2197" s="10"/>
      <c r="DGQ2197" s="10"/>
      <c r="DGR2197" s="10"/>
      <c r="DGS2197" s="10"/>
      <c r="DGT2197" s="10"/>
      <c r="DGU2197" s="10"/>
      <c r="DGV2197" s="10"/>
      <c r="DGW2197" s="10"/>
      <c r="DGX2197" s="10"/>
      <c r="DGY2197" s="10"/>
      <c r="DGZ2197" s="10"/>
      <c r="DHA2197" s="10"/>
      <c r="DHB2197" s="10"/>
      <c r="DHC2197" s="10"/>
      <c r="DHD2197" s="10"/>
      <c r="DHE2197" s="10"/>
      <c r="DHF2197" s="10"/>
      <c r="DHG2197" s="10"/>
      <c r="DHH2197" s="10"/>
      <c r="DHI2197" s="10"/>
      <c r="DHJ2197" s="10"/>
      <c r="DHK2197" s="10"/>
      <c r="DHL2197" s="10"/>
      <c r="DHM2197" s="10"/>
      <c r="DHN2197" s="10"/>
      <c r="DHO2197" s="10"/>
      <c r="DHP2197" s="10"/>
      <c r="DHQ2197" s="10"/>
      <c r="DHR2197" s="10"/>
      <c r="DHS2197" s="10"/>
      <c r="DHT2197" s="10"/>
      <c r="DHU2197" s="10"/>
      <c r="DHV2197" s="10"/>
      <c r="DHW2197" s="10"/>
      <c r="DHX2197" s="10"/>
      <c r="DHY2197" s="10"/>
      <c r="DHZ2197" s="10"/>
      <c r="DIA2197" s="10"/>
      <c r="DIB2197" s="10"/>
      <c r="DIC2197" s="10"/>
      <c r="DID2197" s="10"/>
      <c r="DIE2197" s="10"/>
      <c r="DIF2197" s="10"/>
      <c r="DIG2197" s="10"/>
      <c r="DIH2197" s="10"/>
      <c r="DII2197" s="10"/>
      <c r="DIJ2197" s="10"/>
      <c r="DIK2197" s="10"/>
      <c r="DIL2197" s="10"/>
      <c r="DIM2197" s="10"/>
      <c r="DIN2197" s="10"/>
      <c r="DIO2197" s="10"/>
      <c r="DIP2197" s="10"/>
      <c r="DIQ2197" s="10"/>
      <c r="DIR2197" s="10"/>
      <c r="DIS2197" s="10"/>
      <c r="DIT2197" s="10"/>
      <c r="DIU2197" s="10"/>
      <c r="DIV2197" s="10"/>
      <c r="DIW2197" s="10"/>
      <c r="DIX2197" s="10"/>
      <c r="DIY2197" s="10"/>
      <c r="DIZ2197" s="10"/>
      <c r="DJA2197" s="10"/>
      <c r="DJB2197" s="10"/>
      <c r="DJC2197" s="10"/>
      <c r="DJD2197" s="10"/>
      <c r="DJE2197" s="10"/>
      <c r="DJF2197" s="10"/>
      <c r="DJG2197" s="10"/>
      <c r="DJH2197" s="10"/>
      <c r="DJI2197" s="10"/>
      <c r="DJJ2197" s="10"/>
      <c r="DJK2197" s="10"/>
      <c r="DJL2197" s="10"/>
      <c r="DJM2197" s="10"/>
      <c r="DJN2197" s="10"/>
      <c r="DJO2197" s="10"/>
      <c r="DJP2197" s="10"/>
      <c r="DJQ2197" s="10"/>
      <c r="DJR2197" s="10"/>
      <c r="DJS2197" s="10"/>
      <c r="DJT2197" s="10"/>
      <c r="DJU2197" s="10"/>
      <c r="DJV2197" s="10"/>
      <c r="DJW2197" s="10"/>
      <c r="DJX2197" s="10"/>
      <c r="DJY2197" s="10"/>
      <c r="DJZ2197" s="10"/>
      <c r="DKA2197" s="10"/>
      <c r="DKB2197" s="10"/>
      <c r="DKC2197" s="10"/>
      <c r="DKD2197" s="10"/>
      <c r="DKE2197" s="10"/>
      <c r="DKF2197" s="10"/>
      <c r="DKG2197" s="10"/>
      <c r="DKH2197" s="10"/>
      <c r="DKI2197" s="10"/>
      <c r="DKJ2197" s="10"/>
      <c r="DKK2197" s="10"/>
      <c r="DKL2197" s="10"/>
      <c r="DKM2197" s="10"/>
      <c r="DKN2197" s="10"/>
      <c r="DKO2197" s="10"/>
      <c r="DKP2197" s="10"/>
      <c r="DKQ2197" s="10"/>
      <c r="DKR2197" s="10"/>
      <c r="DKS2197" s="10"/>
      <c r="DKT2197" s="10"/>
      <c r="DKU2197" s="10"/>
      <c r="DKV2197" s="10"/>
      <c r="DKW2197" s="10"/>
      <c r="DKX2197" s="10"/>
      <c r="DKY2197" s="10"/>
      <c r="DKZ2197" s="10"/>
      <c r="DLA2197" s="10"/>
      <c r="DLB2197" s="10"/>
      <c r="DLC2197" s="10"/>
      <c r="DLD2197" s="10"/>
      <c r="DLE2197" s="10"/>
      <c r="DLF2197" s="10"/>
      <c r="DLG2197" s="10"/>
      <c r="DLH2197" s="10"/>
      <c r="DLI2197" s="10"/>
      <c r="DLJ2197" s="10"/>
      <c r="DLK2197" s="10"/>
      <c r="DLL2197" s="10"/>
      <c r="DLM2197" s="10"/>
      <c r="DLN2197" s="10"/>
      <c r="DLO2197" s="10"/>
      <c r="DLP2197" s="10"/>
      <c r="DLQ2197" s="10"/>
      <c r="DLR2197" s="10"/>
      <c r="DLS2197" s="10"/>
      <c r="DLT2197" s="10"/>
      <c r="DLU2197" s="10"/>
      <c r="DLV2197" s="10"/>
      <c r="DLW2197" s="10"/>
      <c r="DLX2197" s="10"/>
      <c r="DLY2197" s="10"/>
      <c r="DLZ2197" s="10"/>
      <c r="DMA2197" s="10"/>
      <c r="DMB2197" s="10"/>
      <c r="DMC2197" s="10"/>
      <c r="DMD2197" s="10"/>
      <c r="DME2197" s="10"/>
      <c r="DMF2197" s="10"/>
      <c r="DMG2197" s="10"/>
      <c r="DMH2197" s="10"/>
      <c r="DMI2197" s="10"/>
      <c r="DMJ2197" s="10"/>
      <c r="DMK2197" s="10"/>
      <c r="DML2197" s="10"/>
      <c r="DMM2197" s="10"/>
      <c r="DMN2197" s="10"/>
      <c r="DMO2197" s="10"/>
      <c r="DMP2197" s="10"/>
      <c r="DMQ2197" s="10"/>
      <c r="DMR2197" s="10"/>
      <c r="DMS2197" s="10"/>
      <c r="DMT2197" s="10"/>
      <c r="DMU2197" s="10"/>
      <c r="DMV2197" s="10"/>
      <c r="DMW2197" s="10"/>
      <c r="DMX2197" s="10"/>
      <c r="DMY2197" s="10"/>
      <c r="DMZ2197" s="10"/>
      <c r="DNA2197" s="10"/>
      <c r="DNB2197" s="10"/>
      <c r="DNC2197" s="10"/>
      <c r="DND2197" s="10"/>
      <c r="DNE2197" s="10"/>
      <c r="DNF2197" s="10"/>
      <c r="DNG2197" s="10"/>
      <c r="DNH2197" s="10"/>
      <c r="DNI2197" s="10"/>
      <c r="DNJ2197" s="10"/>
      <c r="DNK2197" s="10"/>
      <c r="DNL2197" s="10"/>
      <c r="DNM2197" s="10"/>
      <c r="DNN2197" s="10"/>
      <c r="DNO2197" s="10"/>
      <c r="DNP2197" s="10"/>
      <c r="DNQ2197" s="10"/>
      <c r="DNR2197" s="10"/>
      <c r="DNS2197" s="10"/>
      <c r="DNT2197" s="10"/>
      <c r="DNU2197" s="10"/>
      <c r="DNV2197" s="10"/>
      <c r="DNW2197" s="10"/>
      <c r="DNX2197" s="10"/>
      <c r="DNY2197" s="10"/>
      <c r="DNZ2197" s="10"/>
      <c r="DOA2197" s="10"/>
      <c r="DOB2197" s="10"/>
      <c r="DOC2197" s="10"/>
      <c r="DOD2197" s="10"/>
      <c r="DOE2197" s="10"/>
      <c r="DOF2197" s="10"/>
      <c r="DOG2197" s="10"/>
      <c r="DOH2197" s="10"/>
      <c r="DOI2197" s="10"/>
      <c r="DOJ2197" s="10"/>
      <c r="DOK2197" s="10"/>
      <c r="DOL2197" s="10"/>
      <c r="DOM2197" s="10"/>
      <c r="DON2197" s="10"/>
      <c r="DOO2197" s="10"/>
      <c r="DOP2197" s="10"/>
      <c r="DOQ2197" s="10"/>
      <c r="DOR2197" s="10"/>
      <c r="DOS2197" s="10"/>
      <c r="DOT2197" s="10"/>
      <c r="DOU2197" s="10"/>
      <c r="DOV2197" s="10"/>
      <c r="DOW2197" s="10"/>
      <c r="DOX2197" s="10"/>
      <c r="DOY2197" s="10"/>
      <c r="DOZ2197" s="10"/>
      <c r="DPA2197" s="10"/>
      <c r="DPB2197" s="10"/>
      <c r="DPC2197" s="10"/>
      <c r="DPD2197" s="10"/>
      <c r="DPE2197" s="10"/>
      <c r="DPF2197" s="10"/>
      <c r="DPG2197" s="10"/>
      <c r="DPH2197" s="10"/>
      <c r="DPI2197" s="10"/>
      <c r="DPJ2197" s="10"/>
      <c r="DPK2197" s="10"/>
      <c r="DPL2197" s="10"/>
      <c r="DPM2197" s="10"/>
      <c r="DPN2197" s="10"/>
      <c r="DPO2197" s="10"/>
      <c r="DPP2197" s="10"/>
      <c r="DPQ2197" s="10"/>
      <c r="DPR2197" s="10"/>
      <c r="DPS2197" s="10"/>
      <c r="DPT2197" s="10"/>
      <c r="DPU2197" s="10"/>
      <c r="DPV2197" s="10"/>
      <c r="DPW2197" s="10"/>
      <c r="DPX2197" s="10"/>
      <c r="DPY2197" s="10"/>
      <c r="DPZ2197" s="10"/>
      <c r="DQA2197" s="10"/>
      <c r="DQB2197" s="10"/>
      <c r="DQC2197" s="10"/>
      <c r="DQD2197" s="10"/>
      <c r="DQE2197" s="10"/>
      <c r="DQF2197" s="10"/>
      <c r="DQG2197" s="10"/>
      <c r="DQH2197" s="10"/>
      <c r="DQI2197" s="10"/>
      <c r="DQJ2197" s="10"/>
      <c r="DQK2197" s="10"/>
      <c r="DQL2197" s="10"/>
      <c r="DQM2197" s="10"/>
      <c r="DQN2197" s="10"/>
      <c r="DQO2197" s="10"/>
      <c r="DQP2197" s="10"/>
      <c r="DQQ2197" s="10"/>
      <c r="DQR2197" s="10"/>
      <c r="DQS2197" s="10"/>
      <c r="DQT2197" s="10"/>
      <c r="DQU2197" s="10"/>
      <c r="DQV2197" s="10"/>
      <c r="DQW2197" s="10"/>
      <c r="DQX2197" s="10"/>
      <c r="DQY2197" s="10"/>
      <c r="DQZ2197" s="10"/>
      <c r="DRA2197" s="10"/>
      <c r="DRB2197" s="10"/>
      <c r="DRC2197" s="10"/>
      <c r="DRD2197" s="10"/>
      <c r="DRE2197" s="10"/>
      <c r="DRF2197" s="10"/>
      <c r="DRG2197" s="10"/>
      <c r="DRH2197" s="10"/>
      <c r="DRI2197" s="10"/>
      <c r="DRJ2197" s="10"/>
      <c r="DRK2197" s="10"/>
      <c r="DRL2197" s="10"/>
      <c r="DRM2197" s="10"/>
      <c r="DRN2197" s="10"/>
      <c r="DRO2197" s="10"/>
      <c r="DRP2197" s="10"/>
      <c r="DRQ2197" s="10"/>
      <c r="DRR2197" s="10"/>
      <c r="DRS2197" s="10"/>
      <c r="DRT2197" s="10"/>
      <c r="DRU2197" s="10"/>
      <c r="DRV2197" s="10"/>
      <c r="DRW2197" s="10"/>
      <c r="DRX2197" s="10"/>
      <c r="DRY2197" s="10"/>
      <c r="DRZ2197" s="10"/>
      <c r="DSA2197" s="10"/>
      <c r="DSB2197" s="10"/>
      <c r="DSC2197" s="10"/>
      <c r="DSD2197" s="10"/>
      <c r="DSE2197" s="10"/>
      <c r="DSF2197" s="10"/>
      <c r="DSG2197" s="10"/>
      <c r="DSH2197" s="10"/>
      <c r="DSI2197" s="10"/>
      <c r="DSJ2197" s="10"/>
      <c r="DSK2197" s="10"/>
      <c r="DSL2197" s="10"/>
      <c r="DSM2197" s="10"/>
      <c r="DSN2197" s="10"/>
      <c r="DSO2197" s="10"/>
      <c r="DSP2197" s="10"/>
      <c r="DSQ2197" s="10"/>
      <c r="DSR2197" s="10"/>
      <c r="DSS2197" s="10"/>
      <c r="DST2197" s="10"/>
      <c r="DSU2197" s="10"/>
      <c r="DSV2197" s="10"/>
      <c r="DSW2197" s="10"/>
      <c r="DSX2197" s="10"/>
      <c r="DSY2197" s="10"/>
      <c r="DSZ2197" s="10"/>
      <c r="DTA2197" s="10"/>
      <c r="DTB2197" s="10"/>
      <c r="DTC2197" s="10"/>
      <c r="DTD2197" s="10"/>
      <c r="DTE2197" s="10"/>
      <c r="DTF2197" s="10"/>
      <c r="DTG2197" s="10"/>
      <c r="DTH2197" s="10"/>
      <c r="DTI2197" s="10"/>
      <c r="DTJ2197" s="10"/>
      <c r="DTK2197" s="10"/>
      <c r="DTL2197" s="10"/>
      <c r="DTM2197" s="10"/>
      <c r="DTN2197" s="10"/>
      <c r="DTO2197" s="10"/>
      <c r="DTP2197" s="10"/>
      <c r="DTQ2197" s="10"/>
      <c r="DTR2197" s="10"/>
      <c r="DTS2197" s="10"/>
      <c r="DTT2197" s="10"/>
      <c r="DTU2197" s="10"/>
      <c r="DTV2197" s="10"/>
      <c r="DTW2197" s="10"/>
      <c r="DTX2197" s="10"/>
      <c r="DTY2197" s="10"/>
      <c r="DTZ2197" s="10"/>
      <c r="DUA2197" s="10"/>
      <c r="DUB2197" s="10"/>
      <c r="DUC2197" s="10"/>
      <c r="DUD2197" s="10"/>
      <c r="DUE2197" s="10"/>
      <c r="DUF2197" s="10"/>
      <c r="DUG2197" s="10"/>
      <c r="DUH2197" s="10"/>
      <c r="DUI2197" s="10"/>
      <c r="DUJ2197" s="10"/>
      <c r="DUK2197" s="10"/>
      <c r="DUL2197" s="10"/>
      <c r="DUM2197" s="10"/>
      <c r="DUN2197" s="10"/>
      <c r="DUO2197" s="10"/>
      <c r="DUP2197" s="10"/>
      <c r="DUQ2197" s="10"/>
      <c r="DUR2197" s="10"/>
      <c r="DUS2197" s="10"/>
      <c r="DUT2197" s="10"/>
      <c r="DUU2197" s="10"/>
      <c r="DUV2197" s="10"/>
      <c r="DUW2197" s="10"/>
      <c r="DUX2197" s="10"/>
      <c r="DUY2197" s="10"/>
      <c r="DUZ2197" s="10"/>
      <c r="DVA2197" s="10"/>
      <c r="DVB2197" s="10"/>
      <c r="DVC2197" s="10"/>
      <c r="DVD2197" s="10"/>
      <c r="DVE2197" s="10"/>
      <c r="DVF2197" s="10"/>
      <c r="DVG2197" s="10"/>
      <c r="DVH2197" s="10"/>
      <c r="DVI2197" s="10"/>
      <c r="DVJ2197" s="10"/>
      <c r="DVK2197" s="10"/>
      <c r="DVL2197" s="10"/>
      <c r="DVM2197" s="10"/>
      <c r="DVN2197" s="10"/>
      <c r="DVO2197" s="10"/>
      <c r="DVP2197" s="10"/>
      <c r="DVQ2197" s="10"/>
      <c r="DVR2197" s="10"/>
      <c r="DVS2197" s="10"/>
      <c r="DVT2197" s="10"/>
      <c r="DVU2197" s="10"/>
      <c r="DVV2197" s="10"/>
      <c r="DVW2197" s="10"/>
      <c r="DVX2197" s="10"/>
      <c r="DVY2197" s="10"/>
      <c r="DVZ2197" s="10"/>
      <c r="DWA2197" s="10"/>
      <c r="DWB2197" s="10"/>
      <c r="DWC2197" s="10"/>
      <c r="DWD2197" s="10"/>
      <c r="DWE2197" s="10"/>
      <c r="DWF2197" s="10"/>
      <c r="DWG2197" s="10"/>
      <c r="DWH2197" s="10"/>
      <c r="DWI2197" s="10"/>
      <c r="DWJ2197" s="10"/>
      <c r="DWK2197" s="10"/>
      <c r="DWL2197" s="10"/>
      <c r="DWM2197" s="10"/>
      <c r="DWN2197" s="10"/>
      <c r="DWO2197" s="10"/>
      <c r="DWP2197" s="10"/>
      <c r="DWQ2197" s="10"/>
      <c r="DWR2197" s="10"/>
      <c r="DWS2197" s="10"/>
      <c r="DWT2197" s="10"/>
      <c r="DWU2197" s="10"/>
      <c r="DWV2197" s="10"/>
      <c r="DWW2197" s="10"/>
      <c r="DWX2197" s="10"/>
      <c r="DWY2197" s="10"/>
      <c r="DWZ2197" s="10"/>
      <c r="DXA2197" s="10"/>
      <c r="DXB2197" s="10"/>
      <c r="DXC2197" s="10"/>
      <c r="DXD2197" s="10"/>
      <c r="DXE2197" s="10"/>
      <c r="DXF2197" s="10"/>
      <c r="DXG2197" s="10"/>
      <c r="DXH2197" s="10"/>
      <c r="DXI2197" s="10"/>
      <c r="DXJ2197" s="10"/>
      <c r="DXK2197" s="10"/>
      <c r="DXL2197" s="10"/>
      <c r="DXM2197" s="10"/>
      <c r="DXN2197" s="10"/>
      <c r="DXO2197" s="10"/>
      <c r="DXP2197" s="10"/>
      <c r="DXQ2197" s="10"/>
      <c r="DXR2197" s="10"/>
      <c r="DXS2197" s="10"/>
      <c r="DXT2197" s="10"/>
      <c r="DXU2197" s="10"/>
      <c r="DXV2197" s="10"/>
      <c r="DXW2197" s="10"/>
      <c r="DXX2197" s="10"/>
      <c r="DXY2197" s="10"/>
      <c r="DXZ2197" s="10"/>
      <c r="DYA2197" s="10"/>
      <c r="DYB2197" s="10"/>
      <c r="DYC2197" s="10"/>
      <c r="DYD2197" s="10"/>
      <c r="DYE2197" s="10"/>
      <c r="DYF2197" s="10"/>
      <c r="DYG2197" s="10"/>
      <c r="DYH2197" s="10"/>
      <c r="DYI2197" s="10"/>
      <c r="DYJ2197" s="10"/>
      <c r="DYK2197" s="10"/>
      <c r="DYL2197" s="10"/>
      <c r="DYM2197" s="10"/>
      <c r="DYN2197" s="10"/>
      <c r="DYO2197" s="10"/>
      <c r="DYP2197" s="10"/>
      <c r="DYQ2197" s="10"/>
      <c r="DYR2197" s="10"/>
      <c r="DYS2197" s="10"/>
      <c r="DYT2197" s="10"/>
      <c r="DYU2197" s="10"/>
      <c r="DYV2197" s="10"/>
      <c r="DYW2197" s="10"/>
      <c r="DYX2197" s="10"/>
      <c r="DYY2197" s="10"/>
      <c r="DYZ2197" s="10"/>
      <c r="DZA2197" s="10"/>
      <c r="DZB2197" s="10"/>
      <c r="DZC2197" s="10"/>
      <c r="DZD2197" s="10"/>
      <c r="DZE2197" s="10"/>
      <c r="DZF2197" s="10"/>
      <c r="DZG2197" s="10"/>
      <c r="DZH2197" s="10"/>
      <c r="DZI2197" s="10"/>
      <c r="DZJ2197" s="10"/>
      <c r="DZK2197" s="10"/>
      <c r="DZL2197" s="10"/>
      <c r="DZM2197" s="10"/>
      <c r="DZN2197" s="10"/>
      <c r="DZO2197" s="10"/>
      <c r="DZP2197" s="10"/>
      <c r="DZQ2197" s="10"/>
      <c r="DZR2197" s="10"/>
      <c r="DZS2197" s="10"/>
      <c r="DZT2197" s="10"/>
      <c r="DZU2197" s="10"/>
      <c r="DZV2197" s="10"/>
      <c r="DZW2197" s="10"/>
      <c r="DZX2197" s="10"/>
      <c r="DZY2197" s="10"/>
      <c r="DZZ2197" s="10"/>
      <c r="EAA2197" s="10"/>
      <c r="EAB2197" s="10"/>
      <c r="EAC2197" s="10"/>
      <c r="EAD2197" s="10"/>
      <c r="EAE2197" s="10"/>
      <c r="EAF2197" s="10"/>
      <c r="EAG2197" s="10"/>
      <c r="EAH2197" s="10"/>
      <c r="EAI2197" s="10"/>
      <c r="EAJ2197" s="10"/>
      <c r="EAK2197" s="10"/>
      <c r="EAL2197" s="10"/>
      <c r="EAM2197" s="10"/>
      <c r="EAN2197" s="10"/>
      <c r="EAO2197" s="10"/>
      <c r="EAP2197" s="10"/>
      <c r="EAQ2197" s="10"/>
      <c r="EAR2197" s="10"/>
      <c r="EAS2197" s="10"/>
      <c r="EAT2197" s="10"/>
      <c r="EAU2197" s="10"/>
      <c r="EAV2197" s="10"/>
      <c r="EAW2197" s="10"/>
      <c r="EAX2197" s="10"/>
      <c r="EAY2197" s="10"/>
      <c r="EAZ2197" s="10"/>
      <c r="EBA2197" s="10"/>
      <c r="EBB2197" s="10"/>
      <c r="EBC2197" s="10"/>
      <c r="EBD2197" s="10"/>
      <c r="EBE2197" s="10"/>
      <c r="EBF2197" s="10"/>
      <c r="EBG2197" s="10"/>
      <c r="EBH2197" s="10"/>
      <c r="EBI2197" s="10"/>
      <c r="EBJ2197" s="10"/>
      <c r="EBK2197" s="10"/>
      <c r="EBL2197" s="10"/>
      <c r="EBM2197" s="10"/>
      <c r="EBN2197" s="10"/>
      <c r="EBO2197" s="10"/>
      <c r="EBP2197" s="10"/>
      <c r="EBQ2197" s="10"/>
      <c r="EBR2197" s="10"/>
      <c r="EBS2197" s="10"/>
      <c r="EBT2197" s="10"/>
      <c r="EBU2197" s="10"/>
      <c r="EBV2197" s="10"/>
      <c r="EBW2197" s="10"/>
      <c r="EBX2197" s="10"/>
      <c r="EBY2197" s="10"/>
      <c r="EBZ2197" s="10"/>
      <c r="ECA2197" s="10"/>
      <c r="ECB2197" s="10"/>
      <c r="ECC2197" s="10"/>
      <c r="ECD2197" s="10"/>
      <c r="ECE2197" s="10"/>
      <c r="ECF2197" s="10"/>
      <c r="ECG2197" s="10"/>
      <c r="ECH2197" s="10"/>
      <c r="ECI2197" s="10"/>
      <c r="ECJ2197" s="10"/>
      <c r="ECK2197" s="10"/>
      <c r="ECL2197" s="10"/>
      <c r="ECM2197" s="10"/>
      <c r="ECN2197" s="10"/>
      <c r="ECO2197" s="10"/>
      <c r="ECP2197" s="10"/>
      <c r="ECQ2197" s="10"/>
      <c r="ECR2197" s="10"/>
      <c r="ECS2197" s="10"/>
      <c r="ECT2197" s="10"/>
      <c r="ECU2197" s="10"/>
      <c r="ECV2197" s="10"/>
      <c r="ECW2197" s="10"/>
      <c r="ECX2197" s="10"/>
      <c r="ECY2197" s="10"/>
      <c r="ECZ2197" s="10"/>
      <c r="EDA2197" s="10"/>
      <c r="EDB2197" s="10"/>
      <c r="EDC2197" s="10"/>
      <c r="EDD2197" s="10"/>
      <c r="EDE2197" s="10"/>
      <c r="EDF2197" s="10"/>
      <c r="EDG2197" s="10"/>
      <c r="EDH2197" s="10"/>
      <c r="EDI2197" s="10"/>
      <c r="EDJ2197" s="10"/>
      <c r="EDK2197" s="10"/>
      <c r="EDL2197" s="10"/>
      <c r="EDM2197" s="10"/>
      <c r="EDN2197" s="10"/>
      <c r="EDO2197" s="10"/>
      <c r="EDP2197" s="10"/>
      <c r="EDQ2197" s="10"/>
      <c r="EDR2197" s="10"/>
      <c r="EDS2197" s="10"/>
      <c r="EDT2197" s="10"/>
      <c r="EDU2197" s="10"/>
      <c r="EDV2197" s="10"/>
      <c r="EDW2197" s="10"/>
      <c r="EDX2197" s="10"/>
      <c r="EDY2197" s="10"/>
      <c r="EDZ2197" s="10"/>
      <c r="EEA2197" s="10"/>
      <c r="EEB2197" s="10"/>
      <c r="EEC2197" s="10"/>
      <c r="EED2197" s="10"/>
      <c r="EEE2197" s="10"/>
      <c r="EEF2197" s="10"/>
      <c r="EEG2197" s="10"/>
      <c r="EEH2197" s="10"/>
      <c r="EEI2197" s="10"/>
      <c r="EEJ2197" s="10"/>
      <c r="EEK2197" s="10"/>
      <c r="EEL2197" s="10"/>
      <c r="EEM2197" s="10"/>
      <c r="EEN2197" s="10"/>
      <c r="EEO2197" s="10"/>
      <c r="EEP2197" s="10"/>
      <c r="EEQ2197" s="10"/>
      <c r="EER2197" s="10"/>
      <c r="EES2197" s="10"/>
      <c r="EET2197" s="10"/>
      <c r="EEU2197" s="10"/>
      <c r="EEV2197" s="10"/>
      <c r="EEW2197" s="10"/>
      <c r="EEX2197" s="10"/>
      <c r="EEY2197" s="10"/>
      <c r="EEZ2197" s="10"/>
      <c r="EFA2197" s="10"/>
      <c r="EFB2197" s="10"/>
      <c r="EFC2197" s="10"/>
      <c r="EFD2197" s="10"/>
      <c r="EFE2197" s="10"/>
      <c r="EFF2197" s="10"/>
      <c r="EFG2197" s="10"/>
      <c r="EFH2197" s="10"/>
      <c r="EFI2197" s="10"/>
      <c r="EFJ2197" s="10"/>
      <c r="EFK2197" s="10"/>
      <c r="EFL2197" s="10"/>
      <c r="EFM2197" s="10"/>
      <c r="EFN2197" s="10"/>
      <c r="EFO2197" s="10"/>
      <c r="EFP2197" s="10"/>
      <c r="EFQ2197" s="10"/>
      <c r="EFR2197" s="10"/>
      <c r="EFS2197" s="10"/>
      <c r="EFT2197" s="10"/>
      <c r="EFU2197" s="10"/>
      <c r="EFV2197" s="10"/>
      <c r="EFW2197" s="10"/>
      <c r="EFX2197" s="10"/>
      <c r="EFY2197" s="10"/>
      <c r="EFZ2197" s="10"/>
      <c r="EGA2197" s="10"/>
      <c r="EGB2197" s="10"/>
      <c r="EGC2197" s="10"/>
      <c r="EGD2197" s="10"/>
      <c r="EGE2197" s="10"/>
      <c r="EGF2197" s="10"/>
      <c r="EGG2197" s="10"/>
      <c r="EGH2197" s="10"/>
      <c r="EGI2197" s="10"/>
      <c r="EGJ2197" s="10"/>
      <c r="EGK2197" s="10"/>
      <c r="EGL2197" s="10"/>
      <c r="EGM2197" s="10"/>
      <c r="EGN2197" s="10"/>
      <c r="EGO2197" s="10"/>
      <c r="EGP2197" s="10"/>
      <c r="EGQ2197" s="10"/>
      <c r="EGR2197" s="10"/>
      <c r="EGS2197" s="10"/>
      <c r="EGT2197" s="10"/>
      <c r="EGU2197" s="10"/>
      <c r="EGV2197" s="10"/>
      <c r="EGW2197" s="10"/>
      <c r="EGX2197" s="10"/>
      <c r="EGY2197" s="10"/>
      <c r="EGZ2197" s="10"/>
      <c r="EHA2197" s="10"/>
      <c r="EHB2197" s="10"/>
      <c r="EHC2197" s="10"/>
      <c r="EHD2197" s="10"/>
      <c r="EHE2197" s="10"/>
      <c r="EHF2197" s="10"/>
      <c r="EHG2197" s="10"/>
      <c r="EHH2197" s="10"/>
      <c r="EHI2197" s="10"/>
      <c r="EHJ2197" s="10"/>
      <c r="EHK2197" s="10"/>
      <c r="EHL2197" s="10"/>
      <c r="EHM2197" s="10"/>
      <c r="EHN2197" s="10"/>
      <c r="EHO2197" s="10"/>
      <c r="EHP2197" s="10"/>
      <c r="EHQ2197" s="10"/>
      <c r="EHR2197" s="10"/>
      <c r="EHS2197" s="10"/>
      <c r="EHT2197" s="10"/>
      <c r="EHU2197" s="10"/>
      <c r="EHV2197" s="10"/>
      <c r="EHW2197" s="10"/>
      <c r="EHX2197" s="10"/>
      <c r="EHY2197" s="10"/>
      <c r="EHZ2197" s="10"/>
      <c r="EIA2197" s="10"/>
      <c r="EIB2197" s="10"/>
      <c r="EIC2197" s="10"/>
      <c r="EID2197" s="10"/>
      <c r="EIE2197" s="10"/>
      <c r="EIF2197" s="10"/>
      <c r="EIG2197" s="10"/>
      <c r="EIH2197" s="10"/>
      <c r="EII2197" s="10"/>
      <c r="EIJ2197" s="10"/>
      <c r="EIK2197" s="10"/>
      <c r="EIL2197" s="10"/>
      <c r="EIM2197" s="10"/>
      <c r="EIN2197" s="10"/>
      <c r="EIO2197" s="10"/>
      <c r="EIP2197" s="10"/>
      <c r="EIQ2197" s="10"/>
      <c r="EIR2197" s="10"/>
      <c r="EIS2197" s="10"/>
      <c r="EIT2197" s="10"/>
      <c r="EIU2197" s="10"/>
      <c r="EIV2197" s="10"/>
      <c r="EIW2197" s="10"/>
      <c r="EIX2197" s="10"/>
      <c r="EIY2197" s="10"/>
      <c r="EIZ2197" s="10"/>
      <c r="EJA2197" s="10"/>
      <c r="EJB2197" s="10"/>
      <c r="EJC2197" s="10"/>
      <c r="EJD2197" s="10"/>
      <c r="EJE2197" s="10"/>
      <c r="EJF2197" s="10"/>
      <c r="EJG2197" s="10"/>
      <c r="EJH2197" s="10"/>
      <c r="EJI2197" s="10"/>
      <c r="EJJ2197" s="10"/>
      <c r="EJK2197" s="10"/>
      <c r="EJL2197" s="10"/>
      <c r="EJM2197" s="10"/>
      <c r="EJN2197" s="10"/>
      <c r="EJO2197" s="10"/>
      <c r="EJP2197" s="10"/>
      <c r="EJQ2197" s="10"/>
      <c r="EJR2197" s="10"/>
      <c r="EJS2197" s="10"/>
      <c r="EJT2197" s="10"/>
      <c r="EJU2197" s="10"/>
      <c r="EJV2197" s="10"/>
      <c r="EJW2197" s="10"/>
      <c r="EJX2197" s="10"/>
      <c r="EJY2197" s="10"/>
      <c r="EJZ2197" s="10"/>
      <c r="EKA2197" s="10"/>
      <c r="EKB2197" s="10"/>
      <c r="EKC2197" s="10"/>
      <c r="EKD2197" s="10"/>
      <c r="EKE2197" s="10"/>
      <c r="EKF2197" s="10"/>
      <c r="EKG2197" s="10"/>
      <c r="EKH2197" s="10"/>
      <c r="EKI2197" s="10"/>
      <c r="EKJ2197" s="10"/>
      <c r="EKK2197" s="10"/>
      <c r="EKL2197" s="10"/>
      <c r="EKM2197" s="10"/>
      <c r="EKN2197" s="10"/>
      <c r="EKO2197" s="10"/>
      <c r="EKP2197" s="10"/>
      <c r="EKQ2197" s="10"/>
      <c r="EKR2197" s="10"/>
      <c r="EKS2197" s="10"/>
      <c r="EKT2197" s="10"/>
      <c r="EKU2197" s="10"/>
      <c r="EKV2197" s="10"/>
      <c r="EKW2197" s="10"/>
      <c r="EKX2197" s="10"/>
      <c r="EKY2197" s="10"/>
      <c r="EKZ2197" s="10"/>
      <c r="ELA2197" s="10"/>
      <c r="ELB2197" s="10"/>
      <c r="ELC2197" s="10"/>
      <c r="ELD2197" s="10"/>
      <c r="ELE2197" s="10"/>
      <c r="ELF2197" s="10"/>
      <c r="ELG2197" s="10"/>
      <c r="ELH2197" s="10"/>
      <c r="ELI2197" s="10"/>
      <c r="ELJ2197" s="10"/>
      <c r="ELK2197" s="10"/>
      <c r="ELL2197" s="10"/>
      <c r="ELM2197" s="10"/>
      <c r="ELN2197" s="10"/>
      <c r="ELO2197" s="10"/>
      <c r="ELP2197" s="10"/>
      <c r="ELQ2197" s="10"/>
      <c r="ELR2197" s="10"/>
      <c r="ELS2197" s="10"/>
      <c r="ELT2197" s="10"/>
      <c r="ELU2197" s="10"/>
      <c r="ELV2197" s="10"/>
      <c r="ELW2197" s="10"/>
      <c r="ELX2197" s="10"/>
      <c r="ELY2197" s="10"/>
      <c r="ELZ2197" s="10"/>
      <c r="EMA2197" s="10"/>
      <c r="EMB2197" s="10"/>
      <c r="EMC2197" s="10"/>
      <c r="EMD2197" s="10"/>
      <c r="EME2197" s="10"/>
      <c r="EMF2197" s="10"/>
      <c r="EMG2197" s="10"/>
      <c r="EMH2197" s="10"/>
      <c r="EMI2197" s="10"/>
      <c r="EMJ2197" s="10"/>
      <c r="EMK2197" s="10"/>
      <c r="EML2197" s="10"/>
      <c r="EMM2197" s="10"/>
      <c r="EMN2197" s="10"/>
      <c r="EMO2197" s="10"/>
      <c r="EMP2197" s="10"/>
      <c r="EMQ2197" s="10"/>
      <c r="EMR2197" s="10"/>
      <c r="EMS2197" s="10"/>
      <c r="EMT2197" s="10"/>
      <c r="EMU2197" s="10"/>
      <c r="EMV2197" s="10"/>
      <c r="EMW2197" s="10"/>
      <c r="EMX2197" s="10"/>
      <c r="EMY2197" s="10"/>
      <c r="EMZ2197" s="10"/>
      <c r="ENA2197" s="10"/>
      <c r="ENB2197" s="10"/>
      <c r="ENC2197" s="10"/>
      <c r="END2197" s="10"/>
      <c r="ENE2197" s="10"/>
      <c r="ENF2197" s="10"/>
      <c r="ENG2197" s="10"/>
      <c r="ENH2197" s="10"/>
      <c r="ENI2197" s="10"/>
      <c r="ENJ2197" s="10"/>
      <c r="ENK2197" s="10"/>
      <c r="ENL2197" s="10"/>
      <c r="ENM2197" s="10"/>
      <c r="ENN2197" s="10"/>
      <c r="ENO2197" s="10"/>
      <c r="ENP2197" s="10"/>
      <c r="ENQ2197" s="10"/>
      <c r="ENR2197" s="10"/>
      <c r="ENS2197" s="10"/>
      <c r="ENT2197" s="10"/>
      <c r="ENU2197" s="10"/>
      <c r="ENV2197" s="10"/>
      <c r="ENW2197" s="10"/>
      <c r="ENX2197" s="10"/>
      <c r="ENY2197" s="10"/>
      <c r="ENZ2197" s="10"/>
      <c r="EOA2197" s="10"/>
      <c r="EOB2197" s="10"/>
      <c r="EOC2197" s="10"/>
      <c r="EOD2197" s="10"/>
      <c r="EOE2197" s="10"/>
      <c r="EOF2197" s="10"/>
      <c r="EOG2197" s="10"/>
      <c r="EOH2197" s="10"/>
      <c r="EOI2197" s="10"/>
      <c r="EOJ2197" s="10"/>
      <c r="EOK2197" s="10"/>
      <c r="EOL2197" s="10"/>
      <c r="EOM2197" s="10"/>
      <c r="EON2197" s="10"/>
      <c r="EOO2197" s="10"/>
      <c r="EOP2197" s="10"/>
      <c r="EOQ2197" s="10"/>
      <c r="EOR2197" s="10"/>
      <c r="EOS2197" s="10"/>
      <c r="EOT2197" s="10"/>
      <c r="EOU2197" s="10"/>
      <c r="EOV2197" s="10"/>
      <c r="EOW2197" s="10"/>
      <c r="EOX2197" s="10"/>
      <c r="EOY2197" s="10"/>
      <c r="EOZ2197" s="10"/>
      <c r="EPA2197" s="10"/>
      <c r="EPB2197" s="10"/>
      <c r="EPC2197" s="10"/>
      <c r="EPD2197" s="10"/>
      <c r="EPE2197" s="10"/>
      <c r="EPF2197" s="10"/>
      <c r="EPG2197" s="10"/>
      <c r="EPH2197" s="10"/>
      <c r="EPI2197" s="10"/>
      <c r="EPJ2197" s="10"/>
      <c r="EPK2197" s="10"/>
      <c r="EPL2197" s="10"/>
      <c r="EPM2197" s="10"/>
      <c r="EPN2197" s="10"/>
      <c r="EPO2197" s="10"/>
      <c r="EPP2197" s="10"/>
      <c r="EPQ2197" s="10"/>
      <c r="EPR2197" s="10"/>
      <c r="EPS2197" s="10"/>
      <c r="EPT2197" s="10"/>
      <c r="EPU2197" s="10"/>
      <c r="EPV2197" s="10"/>
      <c r="EPW2197" s="10"/>
      <c r="EPX2197" s="10"/>
      <c r="EPY2197" s="10"/>
      <c r="EPZ2197" s="10"/>
      <c r="EQA2197" s="10"/>
      <c r="EQB2197" s="10"/>
      <c r="EQC2197" s="10"/>
      <c r="EQD2197" s="10"/>
      <c r="EQE2197" s="10"/>
      <c r="EQF2197" s="10"/>
      <c r="EQG2197" s="10"/>
      <c r="EQH2197" s="10"/>
      <c r="EQI2197" s="10"/>
      <c r="EQJ2197" s="10"/>
      <c r="EQK2197" s="10"/>
      <c r="EQL2197" s="10"/>
      <c r="EQM2197" s="10"/>
      <c r="EQN2197" s="10"/>
      <c r="EQO2197" s="10"/>
      <c r="EQP2197" s="10"/>
      <c r="EQQ2197" s="10"/>
      <c r="EQR2197" s="10"/>
      <c r="EQS2197" s="10"/>
      <c r="EQT2197" s="10"/>
      <c r="EQU2197" s="10"/>
      <c r="EQV2197" s="10"/>
      <c r="EQW2197" s="10"/>
      <c r="EQX2197" s="10"/>
      <c r="EQY2197" s="10"/>
      <c r="EQZ2197" s="10"/>
      <c r="ERA2197" s="10"/>
      <c r="ERB2197" s="10"/>
      <c r="ERC2197" s="10"/>
      <c r="ERD2197" s="10"/>
      <c r="ERE2197" s="10"/>
      <c r="ERF2197" s="10"/>
      <c r="ERG2197" s="10"/>
      <c r="ERH2197" s="10"/>
      <c r="ERI2197" s="10"/>
      <c r="ERJ2197" s="10"/>
      <c r="ERK2197" s="10"/>
      <c r="ERL2197" s="10"/>
      <c r="ERM2197" s="10"/>
      <c r="ERN2197" s="10"/>
      <c r="ERO2197" s="10"/>
      <c r="ERP2197" s="10"/>
      <c r="ERQ2197" s="10"/>
      <c r="ERR2197" s="10"/>
      <c r="ERS2197" s="10"/>
      <c r="ERT2197" s="10"/>
      <c r="ERU2197" s="10"/>
      <c r="ERV2197" s="10"/>
      <c r="ERW2197" s="10"/>
      <c r="ERX2197" s="10"/>
      <c r="ERY2197" s="10"/>
      <c r="ERZ2197" s="10"/>
      <c r="ESA2197" s="10"/>
      <c r="ESB2197" s="10"/>
      <c r="ESC2197" s="10"/>
      <c r="ESD2197" s="10"/>
      <c r="ESE2197" s="10"/>
      <c r="ESF2197" s="10"/>
      <c r="ESG2197" s="10"/>
      <c r="ESH2197" s="10"/>
      <c r="ESI2197" s="10"/>
      <c r="ESJ2197" s="10"/>
      <c r="ESK2197" s="10"/>
      <c r="ESL2197" s="10"/>
      <c r="ESM2197" s="10"/>
      <c r="ESN2197" s="10"/>
      <c r="ESO2197" s="10"/>
      <c r="ESP2197" s="10"/>
      <c r="ESQ2197" s="10"/>
      <c r="ESR2197" s="10"/>
      <c r="ESS2197" s="10"/>
      <c r="EST2197" s="10"/>
      <c r="ESU2197" s="10"/>
      <c r="ESV2197" s="10"/>
      <c r="ESW2197" s="10"/>
      <c r="ESX2197" s="10"/>
      <c r="ESY2197" s="10"/>
      <c r="ESZ2197" s="10"/>
      <c r="ETA2197" s="10"/>
      <c r="ETB2197" s="10"/>
      <c r="ETC2197" s="10"/>
      <c r="ETD2197" s="10"/>
      <c r="ETE2197" s="10"/>
      <c r="ETF2197" s="10"/>
      <c r="ETG2197" s="10"/>
      <c r="ETH2197" s="10"/>
      <c r="ETI2197" s="10"/>
      <c r="ETJ2197" s="10"/>
      <c r="ETK2197" s="10"/>
      <c r="ETL2197" s="10"/>
      <c r="ETM2197" s="10"/>
      <c r="ETN2197" s="10"/>
      <c r="ETO2197" s="10"/>
      <c r="ETP2197" s="10"/>
      <c r="ETQ2197" s="10"/>
      <c r="ETR2197" s="10"/>
      <c r="ETS2197" s="10"/>
      <c r="ETT2197" s="10"/>
      <c r="ETU2197" s="10"/>
      <c r="ETV2197" s="10"/>
      <c r="ETW2197" s="10"/>
      <c r="ETX2197" s="10"/>
      <c r="ETY2197" s="10"/>
      <c r="ETZ2197" s="10"/>
      <c r="EUA2197" s="10"/>
      <c r="EUB2197" s="10"/>
      <c r="EUC2197" s="10"/>
      <c r="EUD2197" s="10"/>
      <c r="EUE2197" s="10"/>
      <c r="EUF2197" s="10"/>
      <c r="EUG2197" s="10"/>
      <c r="EUH2197" s="10"/>
      <c r="EUI2197" s="10"/>
      <c r="EUJ2197" s="10"/>
      <c r="EUK2197" s="10"/>
      <c r="EUL2197" s="10"/>
      <c r="EUM2197" s="10"/>
      <c r="EUN2197" s="10"/>
      <c r="EUO2197" s="10"/>
      <c r="EUP2197" s="10"/>
      <c r="EUQ2197" s="10"/>
      <c r="EUR2197" s="10"/>
      <c r="EUS2197" s="10"/>
      <c r="EUT2197" s="10"/>
      <c r="EUU2197" s="10"/>
      <c r="EUV2197" s="10"/>
      <c r="EUW2197" s="10"/>
      <c r="EUX2197" s="10"/>
      <c r="EUY2197" s="10"/>
      <c r="EUZ2197" s="10"/>
      <c r="EVA2197" s="10"/>
      <c r="EVB2197" s="10"/>
      <c r="EVC2197" s="10"/>
      <c r="EVD2197" s="10"/>
      <c r="EVE2197" s="10"/>
      <c r="EVF2197" s="10"/>
      <c r="EVG2197" s="10"/>
      <c r="EVH2197" s="10"/>
      <c r="EVI2197" s="10"/>
      <c r="EVJ2197" s="10"/>
      <c r="EVK2197" s="10"/>
      <c r="EVL2197" s="10"/>
      <c r="EVM2197" s="10"/>
      <c r="EVN2197" s="10"/>
      <c r="EVO2197" s="10"/>
      <c r="EVP2197" s="10"/>
      <c r="EVQ2197" s="10"/>
      <c r="EVR2197" s="10"/>
      <c r="EVS2197" s="10"/>
      <c r="EVT2197" s="10"/>
      <c r="EVU2197" s="10"/>
      <c r="EVV2197" s="10"/>
      <c r="EVW2197" s="10"/>
      <c r="EVX2197" s="10"/>
      <c r="EVY2197" s="10"/>
      <c r="EVZ2197" s="10"/>
      <c r="EWA2197" s="10"/>
      <c r="EWB2197" s="10"/>
      <c r="EWC2197" s="10"/>
      <c r="EWD2197" s="10"/>
      <c r="EWE2197" s="10"/>
      <c r="EWF2197" s="10"/>
      <c r="EWG2197" s="10"/>
      <c r="EWH2197" s="10"/>
      <c r="EWI2197" s="10"/>
      <c r="EWJ2197" s="10"/>
      <c r="EWK2197" s="10"/>
      <c r="EWL2197" s="10"/>
      <c r="EWM2197" s="10"/>
      <c r="EWN2197" s="10"/>
      <c r="EWO2197" s="10"/>
      <c r="EWP2197" s="10"/>
      <c r="EWQ2197" s="10"/>
      <c r="EWR2197" s="10"/>
      <c r="EWS2197" s="10"/>
      <c r="EWT2197" s="10"/>
      <c r="EWU2197" s="10"/>
      <c r="EWV2197" s="10"/>
      <c r="EWW2197" s="10"/>
      <c r="EWX2197" s="10"/>
      <c r="EWY2197" s="10"/>
      <c r="EWZ2197" s="10"/>
      <c r="EXA2197" s="10"/>
      <c r="EXB2197" s="10"/>
      <c r="EXC2197" s="10"/>
      <c r="EXD2197" s="10"/>
      <c r="EXE2197" s="10"/>
      <c r="EXF2197" s="10"/>
      <c r="EXG2197" s="10"/>
      <c r="EXH2197" s="10"/>
      <c r="EXI2197" s="10"/>
      <c r="EXJ2197" s="10"/>
      <c r="EXK2197" s="10"/>
      <c r="EXL2197" s="10"/>
      <c r="EXM2197" s="10"/>
      <c r="EXN2197" s="10"/>
      <c r="EXO2197" s="10"/>
      <c r="EXP2197" s="10"/>
      <c r="EXQ2197" s="10"/>
      <c r="EXR2197" s="10"/>
      <c r="EXS2197" s="10"/>
      <c r="EXT2197" s="10"/>
      <c r="EXU2197" s="10"/>
      <c r="EXV2197" s="10"/>
      <c r="EXW2197" s="10"/>
      <c r="EXX2197" s="10"/>
      <c r="EXY2197" s="10"/>
      <c r="EXZ2197" s="10"/>
      <c r="EYA2197" s="10"/>
      <c r="EYB2197" s="10"/>
      <c r="EYC2197" s="10"/>
      <c r="EYD2197" s="10"/>
      <c r="EYE2197" s="10"/>
      <c r="EYF2197" s="10"/>
      <c r="EYG2197" s="10"/>
      <c r="EYH2197" s="10"/>
      <c r="EYI2197" s="10"/>
      <c r="EYJ2197" s="10"/>
      <c r="EYK2197" s="10"/>
      <c r="EYL2197" s="10"/>
      <c r="EYM2197" s="10"/>
      <c r="EYN2197" s="10"/>
      <c r="EYO2197" s="10"/>
      <c r="EYP2197" s="10"/>
      <c r="EYQ2197" s="10"/>
      <c r="EYR2197" s="10"/>
      <c r="EYS2197" s="10"/>
      <c r="EYT2197" s="10"/>
      <c r="EYU2197" s="10"/>
      <c r="EYV2197" s="10"/>
      <c r="EYW2197" s="10"/>
      <c r="EYX2197" s="10"/>
      <c r="EYY2197" s="10"/>
      <c r="EYZ2197" s="10"/>
      <c r="EZA2197" s="10"/>
      <c r="EZB2197" s="10"/>
      <c r="EZC2197" s="10"/>
      <c r="EZD2197" s="10"/>
      <c r="EZE2197" s="10"/>
      <c r="EZF2197" s="10"/>
      <c r="EZG2197" s="10"/>
      <c r="EZH2197" s="10"/>
      <c r="EZI2197" s="10"/>
      <c r="EZJ2197" s="10"/>
      <c r="EZK2197" s="10"/>
      <c r="EZL2197" s="10"/>
      <c r="EZM2197" s="10"/>
      <c r="EZN2197" s="10"/>
      <c r="EZO2197" s="10"/>
      <c r="EZP2197" s="10"/>
      <c r="EZQ2197" s="10"/>
      <c r="EZR2197" s="10"/>
      <c r="EZS2197" s="10"/>
      <c r="EZT2197" s="10"/>
      <c r="EZU2197" s="10"/>
      <c r="EZV2197" s="10"/>
      <c r="EZW2197" s="10"/>
      <c r="EZX2197" s="10"/>
      <c r="EZY2197" s="10"/>
      <c r="EZZ2197" s="10"/>
      <c r="FAA2197" s="10"/>
      <c r="FAB2197" s="10"/>
      <c r="FAC2197" s="10"/>
      <c r="FAD2197" s="10"/>
      <c r="FAE2197" s="10"/>
      <c r="FAF2197" s="10"/>
      <c r="FAG2197" s="10"/>
      <c r="FAH2197" s="10"/>
      <c r="FAI2197" s="10"/>
      <c r="FAJ2197" s="10"/>
      <c r="FAK2197" s="10"/>
      <c r="FAL2197" s="10"/>
      <c r="FAM2197" s="10"/>
      <c r="FAN2197" s="10"/>
      <c r="FAO2197" s="10"/>
      <c r="FAP2197" s="10"/>
      <c r="FAQ2197" s="10"/>
      <c r="FAR2197" s="10"/>
      <c r="FAS2197" s="10"/>
      <c r="FAT2197" s="10"/>
      <c r="FAU2197" s="10"/>
      <c r="FAV2197" s="10"/>
      <c r="FAW2197" s="10"/>
      <c r="FAX2197" s="10"/>
      <c r="FAY2197" s="10"/>
      <c r="FAZ2197" s="10"/>
      <c r="FBA2197" s="10"/>
      <c r="FBB2197" s="10"/>
      <c r="FBC2197" s="10"/>
      <c r="FBD2197" s="10"/>
      <c r="FBE2197" s="10"/>
      <c r="FBF2197" s="10"/>
      <c r="FBG2197" s="10"/>
      <c r="FBH2197" s="10"/>
      <c r="FBI2197" s="10"/>
      <c r="FBJ2197" s="10"/>
      <c r="FBK2197" s="10"/>
      <c r="FBL2197" s="10"/>
      <c r="FBM2197" s="10"/>
      <c r="FBN2197" s="10"/>
      <c r="FBO2197" s="10"/>
      <c r="FBP2197" s="10"/>
      <c r="FBQ2197" s="10"/>
      <c r="FBR2197" s="10"/>
      <c r="FBS2197" s="10"/>
      <c r="FBT2197" s="10"/>
      <c r="FBU2197" s="10"/>
      <c r="FBV2197" s="10"/>
      <c r="FBW2197" s="10"/>
      <c r="FBX2197" s="10"/>
      <c r="FBY2197" s="10"/>
      <c r="FBZ2197" s="10"/>
      <c r="FCA2197" s="10"/>
      <c r="FCB2197" s="10"/>
      <c r="FCC2197" s="10"/>
      <c r="FCD2197" s="10"/>
      <c r="FCE2197" s="10"/>
      <c r="FCF2197" s="10"/>
      <c r="FCG2197" s="10"/>
      <c r="FCH2197" s="10"/>
      <c r="FCI2197" s="10"/>
      <c r="FCJ2197" s="10"/>
      <c r="FCK2197" s="10"/>
      <c r="FCL2197" s="10"/>
      <c r="FCM2197" s="10"/>
      <c r="FCN2197" s="10"/>
      <c r="FCO2197" s="10"/>
      <c r="FCP2197" s="10"/>
      <c r="FCQ2197" s="10"/>
      <c r="FCR2197" s="10"/>
      <c r="FCS2197" s="10"/>
      <c r="FCT2197" s="10"/>
      <c r="FCU2197" s="10"/>
      <c r="FCV2197" s="10"/>
      <c r="FCW2197" s="10"/>
      <c r="FCX2197" s="10"/>
      <c r="FCY2197" s="10"/>
      <c r="FCZ2197" s="10"/>
      <c r="FDA2197" s="10"/>
      <c r="FDB2197" s="10"/>
      <c r="FDC2197" s="10"/>
      <c r="FDD2197" s="10"/>
      <c r="FDE2197" s="10"/>
      <c r="FDF2197" s="10"/>
      <c r="FDG2197" s="10"/>
      <c r="FDH2197" s="10"/>
      <c r="FDI2197" s="10"/>
      <c r="FDJ2197" s="10"/>
      <c r="FDK2197" s="10"/>
      <c r="FDL2197" s="10"/>
      <c r="FDM2197" s="10"/>
      <c r="FDN2197" s="10"/>
      <c r="FDO2197" s="10"/>
      <c r="FDP2197" s="10"/>
      <c r="FDQ2197" s="10"/>
      <c r="FDR2197" s="10"/>
      <c r="FDS2197" s="10"/>
      <c r="FDT2197" s="10"/>
      <c r="FDU2197" s="10"/>
      <c r="FDV2197" s="10"/>
      <c r="FDW2197" s="10"/>
      <c r="FDX2197" s="10"/>
      <c r="FDY2197" s="10"/>
      <c r="FDZ2197" s="10"/>
      <c r="FEA2197" s="10"/>
      <c r="FEB2197" s="10"/>
      <c r="FEC2197" s="10"/>
      <c r="FED2197" s="10"/>
      <c r="FEE2197" s="10"/>
      <c r="FEF2197" s="10"/>
      <c r="FEG2197" s="10"/>
      <c r="FEH2197" s="10"/>
      <c r="FEI2197" s="10"/>
      <c r="FEJ2197" s="10"/>
      <c r="FEK2197" s="10"/>
      <c r="FEL2197" s="10"/>
      <c r="FEM2197" s="10"/>
      <c r="FEN2197" s="10"/>
      <c r="FEO2197" s="10"/>
      <c r="FEP2197" s="10"/>
      <c r="FEQ2197" s="10"/>
      <c r="FER2197" s="10"/>
      <c r="FES2197" s="10"/>
      <c r="FET2197" s="10"/>
      <c r="FEU2197" s="10"/>
      <c r="FEV2197" s="10"/>
      <c r="FEW2197" s="10"/>
      <c r="FEX2197" s="10"/>
      <c r="FEY2197" s="10"/>
      <c r="FEZ2197" s="10"/>
      <c r="FFA2197" s="10"/>
      <c r="FFB2197" s="10"/>
      <c r="FFC2197" s="10"/>
      <c r="FFD2197" s="10"/>
      <c r="FFE2197" s="10"/>
      <c r="FFF2197" s="10"/>
      <c r="FFG2197" s="10"/>
      <c r="FFH2197" s="10"/>
      <c r="FFI2197" s="10"/>
      <c r="FFJ2197" s="10"/>
      <c r="FFK2197" s="10"/>
      <c r="FFL2197" s="10"/>
      <c r="FFM2197" s="10"/>
      <c r="FFN2197" s="10"/>
      <c r="FFO2197" s="10"/>
      <c r="FFP2197" s="10"/>
      <c r="FFQ2197" s="10"/>
      <c r="FFR2197" s="10"/>
      <c r="FFS2197" s="10"/>
      <c r="FFT2197" s="10"/>
      <c r="FFU2197" s="10"/>
      <c r="FFV2197" s="10"/>
      <c r="FFW2197" s="10"/>
      <c r="FFX2197" s="10"/>
      <c r="FFY2197" s="10"/>
      <c r="FFZ2197" s="10"/>
      <c r="FGA2197" s="10"/>
      <c r="FGB2197" s="10"/>
      <c r="FGC2197" s="10"/>
      <c r="FGD2197" s="10"/>
      <c r="FGE2197" s="10"/>
      <c r="FGF2197" s="10"/>
      <c r="FGG2197" s="10"/>
      <c r="FGH2197" s="10"/>
      <c r="FGI2197" s="10"/>
      <c r="FGJ2197" s="10"/>
      <c r="FGK2197" s="10"/>
      <c r="FGL2197" s="10"/>
      <c r="FGM2197" s="10"/>
      <c r="FGN2197" s="10"/>
      <c r="FGO2197" s="10"/>
      <c r="FGP2197" s="10"/>
      <c r="FGQ2197" s="10"/>
      <c r="FGR2197" s="10"/>
      <c r="FGS2197" s="10"/>
      <c r="FGT2197" s="10"/>
      <c r="FGU2197" s="10"/>
      <c r="FGV2197" s="10"/>
      <c r="FGW2197" s="10"/>
      <c r="FGX2197" s="10"/>
      <c r="FGY2197" s="10"/>
      <c r="FGZ2197" s="10"/>
      <c r="FHA2197" s="10"/>
      <c r="FHB2197" s="10"/>
      <c r="FHC2197" s="10"/>
      <c r="FHD2197" s="10"/>
      <c r="FHE2197" s="10"/>
      <c r="FHF2197" s="10"/>
      <c r="FHG2197" s="10"/>
      <c r="FHH2197" s="10"/>
      <c r="FHI2197" s="10"/>
      <c r="FHJ2197" s="10"/>
      <c r="FHK2197" s="10"/>
      <c r="FHL2197" s="10"/>
      <c r="FHM2197" s="10"/>
      <c r="FHN2197" s="10"/>
      <c r="FHO2197" s="10"/>
      <c r="FHP2197" s="10"/>
      <c r="FHQ2197" s="10"/>
      <c r="FHR2197" s="10"/>
      <c r="FHS2197" s="10"/>
      <c r="FHT2197" s="10"/>
      <c r="FHU2197" s="10"/>
      <c r="FHV2197" s="10"/>
      <c r="FHW2197" s="10"/>
      <c r="FHX2197" s="10"/>
      <c r="FHY2197" s="10"/>
      <c r="FHZ2197" s="10"/>
      <c r="FIA2197" s="10"/>
      <c r="FIB2197" s="10"/>
      <c r="FIC2197" s="10"/>
      <c r="FID2197" s="10"/>
      <c r="FIE2197" s="10"/>
      <c r="FIF2197" s="10"/>
      <c r="FIG2197" s="10"/>
      <c r="FIH2197" s="10"/>
      <c r="FII2197" s="10"/>
      <c r="FIJ2197" s="10"/>
      <c r="FIK2197" s="10"/>
      <c r="FIL2197" s="10"/>
      <c r="FIM2197" s="10"/>
      <c r="FIN2197" s="10"/>
      <c r="FIO2197" s="10"/>
      <c r="FIP2197" s="10"/>
      <c r="FIQ2197" s="10"/>
      <c r="FIR2197" s="10"/>
      <c r="FIS2197" s="10"/>
      <c r="FIT2197" s="10"/>
      <c r="FIU2197" s="10"/>
      <c r="FIV2197" s="10"/>
      <c r="FIW2197" s="10"/>
      <c r="FIX2197" s="10"/>
      <c r="FIY2197" s="10"/>
      <c r="FIZ2197" s="10"/>
      <c r="FJA2197" s="10"/>
      <c r="FJB2197" s="10"/>
      <c r="FJC2197" s="10"/>
      <c r="FJD2197" s="10"/>
      <c r="FJE2197" s="10"/>
      <c r="FJF2197" s="10"/>
      <c r="FJG2197" s="10"/>
      <c r="FJH2197" s="10"/>
      <c r="FJI2197" s="10"/>
      <c r="FJJ2197" s="10"/>
      <c r="FJK2197" s="10"/>
      <c r="FJL2197" s="10"/>
      <c r="FJM2197" s="10"/>
      <c r="FJN2197" s="10"/>
      <c r="FJO2197" s="10"/>
      <c r="FJP2197" s="10"/>
      <c r="FJQ2197" s="10"/>
      <c r="FJR2197" s="10"/>
      <c r="FJS2197" s="10"/>
      <c r="FJT2197" s="10"/>
      <c r="FJU2197" s="10"/>
      <c r="FJV2197" s="10"/>
      <c r="FJW2197" s="10"/>
      <c r="FJX2197" s="10"/>
      <c r="FJY2197" s="10"/>
      <c r="FJZ2197" s="10"/>
      <c r="FKA2197" s="10"/>
      <c r="FKB2197" s="10"/>
      <c r="FKC2197" s="10"/>
      <c r="FKD2197" s="10"/>
      <c r="FKE2197" s="10"/>
      <c r="FKF2197" s="10"/>
      <c r="FKG2197" s="10"/>
      <c r="FKH2197" s="10"/>
      <c r="FKI2197" s="10"/>
      <c r="FKJ2197" s="10"/>
      <c r="FKK2197" s="10"/>
      <c r="FKL2197" s="10"/>
      <c r="FKM2197" s="10"/>
      <c r="FKN2197" s="10"/>
      <c r="FKO2197" s="10"/>
      <c r="FKP2197" s="10"/>
      <c r="FKQ2197" s="10"/>
      <c r="FKR2197" s="10"/>
      <c r="FKS2197" s="10"/>
      <c r="FKT2197" s="10"/>
      <c r="FKU2197" s="10"/>
      <c r="FKV2197" s="10"/>
      <c r="FKW2197" s="10"/>
      <c r="FKX2197" s="10"/>
      <c r="FKY2197" s="10"/>
      <c r="FKZ2197" s="10"/>
      <c r="FLA2197" s="10"/>
      <c r="FLB2197" s="10"/>
      <c r="FLC2197" s="10"/>
      <c r="FLD2197" s="10"/>
      <c r="FLE2197" s="10"/>
      <c r="FLF2197" s="10"/>
      <c r="FLG2197" s="10"/>
      <c r="FLH2197" s="10"/>
      <c r="FLI2197" s="10"/>
      <c r="FLJ2197" s="10"/>
      <c r="FLK2197" s="10"/>
      <c r="FLL2197" s="10"/>
      <c r="FLM2197" s="10"/>
      <c r="FLN2197" s="10"/>
      <c r="FLO2197" s="10"/>
      <c r="FLP2197" s="10"/>
      <c r="FLQ2197" s="10"/>
      <c r="FLR2197" s="10"/>
      <c r="FLS2197" s="10"/>
      <c r="FLT2197" s="10"/>
      <c r="FLU2197" s="10"/>
      <c r="FLV2197" s="10"/>
      <c r="FLW2197" s="10"/>
      <c r="FLX2197" s="10"/>
      <c r="FLY2197" s="10"/>
      <c r="FLZ2197" s="10"/>
      <c r="FMA2197" s="10"/>
      <c r="FMB2197" s="10"/>
      <c r="FMC2197" s="10"/>
      <c r="FMD2197" s="10"/>
      <c r="FME2197" s="10"/>
      <c r="FMF2197" s="10"/>
      <c r="FMG2197" s="10"/>
      <c r="FMH2197" s="10"/>
      <c r="FMI2197" s="10"/>
      <c r="FMJ2197" s="10"/>
      <c r="FMK2197" s="10"/>
      <c r="FML2197" s="10"/>
      <c r="FMM2197" s="10"/>
      <c r="FMN2197" s="10"/>
      <c r="FMO2197" s="10"/>
      <c r="FMP2197" s="10"/>
      <c r="FMQ2197" s="10"/>
      <c r="FMR2197" s="10"/>
      <c r="FMS2197" s="10"/>
      <c r="FMT2197" s="10"/>
      <c r="FMU2197" s="10"/>
      <c r="FMV2197" s="10"/>
      <c r="FMW2197" s="10"/>
      <c r="FMX2197" s="10"/>
      <c r="FMY2197" s="10"/>
      <c r="FMZ2197" s="10"/>
      <c r="FNA2197" s="10"/>
      <c r="FNB2197" s="10"/>
      <c r="FNC2197" s="10"/>
      <c r="FND2197" s="10"/>
      <c r="FNE2197" s="10"/>
      <c r="FNF2197" s="10"/>
      <c r="FNG2197" s="10"/>
      <c r="FNH2197" s="10"/>
      <c r="FNI2197" s="10"/>
      <c r="FNJ2197" s="10"/>
      <c r="FNK2197" s="10"/>
      <c r="FNL2197" s="10"/>
      <c r="FNM2197" s="10"/>
      <c r="FNN2197" s="10"/>
      <c r="FNO2197" s="10"/>
      <c r="FNP2197" s="10"/>
      <c r="FNQ2197" s="10"/>
      <c r="FNR2197" s="10"/>
      <c r="FNS2197" s="10"/>
      <c r="FNT2197" s="10"/>
      <c r="FNU2197" s="10"/>
      <c r="FNV2197" s="10"/>
      <c r="FNW2197" s="10"/>
      <c r="FNX2197" s="10"/>
      <c r="FNY2197" s="10"/>
      <c r="FNZ2197" s="10"/>
      <c r="FOA2197" s="10"/>
      <c r="FOB2197" s="10"/>
      <c r="FOC2197" s="10"/>
      <c r="FOD2197" s="10"/>
      <c r="FOE2197" s="10"/>
      <c r="FOF2197" s="10"/>
      <c r="FOG2197" s="10"/>
      <c r="FOH2197" s="10"/>
      <c r="FOI2197" s="10"/>
      <c r="FOJ2197" s="10"/>
      <c r="FOK2197" s="10"/>
      <c r="FOL2197" s="10"/>
      <c r="FOM2197" s="10"/>
      <c r="FON2197" s="10"/>
      <c r="FOO2197" s="10"/>
      <c r="FOP2197" s="10"/>
      <c r="FOQ2197" s="10"/>
      <c r="FOR2197" s="10"/>
      <c r="FOS2197" s="10"/>
      <c r="FOT2197" s="10"/>
      <c r="FOU2197" s="10"/>
      <c r="FOV2197" s="10"/>
      <c r="FOW2197" s="10"/>
      <c r="FOX2197" s="10"/>
      <c r="FOY2197" s="10"/>
      <c r="FOZ2197" s="10"/>
      <c r="FPA2197" s="10"/>
      <c r="FPB2197" s="10"/>
      <c r="FPC2197" s="10"/>
      <c r="FPD2197" s="10"/>
      <c r="FPE2197" s="10"/>
      <c r="FPF2197" s="10"/>
      <c r="FPG2197" s="10"/>
      <c r="FPH2197" s="10"/>
      <c r="FPI2197" s="10"/>
      <c r="FPJ2197" s="10"/>
      <c r="FPK2197" s="10"/>
      <c r="FPL2197" s="10"/>
      <c r="FPM2197" s="10"/>
      <c r="FPN2197" s="10"/>
      <c r="FPO2197" s="10"/>
      <c r="FPP2197" s="10"/>
      <c r="FPQ2197" s="10"/>
      <c r="FPR2197" s="10"/>
      <c r="FPS2197" s="10"/>
      <c r="FPT2197" s="10"/>
      <c r="FPU2197" s="10"/>
      <c r="FPV2197" s="10"/>
      <c r="FPW2197" s="10"/>
      <c r="FPX2197" s="10"/>
      <c r="FPY2197" s="10"/>
      <c r="FPZ2197" s="10"/>
      <c r="FQA2197" s="10"/>
      <c r="FQB2197" s="10"/>
      <c r="FQC2197" s="10"/>
      <c r="FQD2197" s="10"/>
      <c r="FQE2197" s="10"/>
      <c r="FQF2197" s="10"/>
      <c r="FQG2197" s="10"/>
      <c r="FQH2197" s="10"/>
      <c r="FQI2197" s="10"/>
      <c r="FQJ2197" s="10"/>
      <c r="FQK2197" s="10"/>
      <c r="FQL2197" s="10"/>
      <c r="FQM2197" s="10"/>
      <c r="FQN2197" s="10"/>
      <c r="FQO2197" s="10"/>
      <c r="FQP2197" s="10"/>
      <c r="FQQ2197" s="10"/>
      <c r="FQR2197" s="10"/>
      <c r="FQS2197" s="10"/>
      <c r="FQT2197" s="10"/>
      <c r="FQU2197" s="10"/>
      <c r="FQV2197" s="10"/>
      <c r="FQW2197" s="10"/>
      <c r="FQX2197" s="10"/>
      <c r="FQY2197" s="10"/>
      <c r="FQZ2197" s="10"/>
      <c r="FRA2197" s="10"/>
      <c r="FRB2197" s="10"/>
      <c r="FRC2197" s="10"/>
      <c r="FRD2197" s="10"/>
      <c r="FRE2197" s="10"/>
      <c r="FRF2197" s="10"/>
      <c r="FRG2197" s="10"/>
      <c r="FRH2197" s="10"/>
      <c r="FRI2197" s="10"/>
      <c r="FRJ2197" s="10"/>
      <c r="FRK2197" s="10"/>
      <c r="FRL2197" s="10"/>
      <c r="FRM2197" s="10"/>
      <c r="FRN2197" s="10"/>
      <c r="FRO2197" s="10"/>
      <c r="FRP2197" s="10"/>
      <c r="FRQ2197" s="10"/>
      <c r="FRR2197" s="10"/>
      <c r="FRS2197" s="10"/>
      <c r="FRT2197" s="10"/>
      <c r="FRU2197" s="10"/>
      <c r="FRV2197" s="10"/>
      <c r="FRW2197" s="10"/>
      <c r="FRX2197" s="10"/>
      <c r="FRY2197" s="10"/>
      <c r="FRZ2197" s="10"/>
      <c r="FSA2197" s="10"/>
      <c r="FSB2197" s="10"/>
      <c r="FSC2197" s="10"/>
      <c r="FSD2197" s="10"/>
      <c r="FSE2197" s="10"/>
      <c r="FSF2197" s="10"/>
      <c r="FSG2197" s="10"/>
      <c r="FSH2197" s="10"/>
      <c r="FSI2197" s="10"/>
      <c r="FSJ2197" s="10"/>
      <c r="FSK2197" s="10"/>
      <c r="FSL2197" s="10"/>
      <c r="FSM2197" s="10"/>
      <c r="FSN2197" s="10"/>
      <c r="FSO2197" s="10"/>
      <c r="FSP2197" s="10"/>
      <c r="FSQ2197" s="10"/>
      <c r="FSR2197" s="10"/>
      <c r="FSS2197" s="10"/>
      <c r="FST2197" s="10"/>
      <c r="FSU2197" s="10"/>
      <c r="FSV2197" s="10"/>
      <c r="FSW2197" s="10"/>
      <c r="FSX2197" s="10"/>
      <c r="FSY2197" s="10"/>
      <c r="FSZ2197" s="10"/>
      <c r="FTA2197" s="10"/>
      <c r="FTB2197" s="10"/>
      <c r="FTC2197" s="10"/>
      <c r="FTD2197" s="10"/>
      <c r="FTE2197" s="10"/>
      <c r="FTF2197" s="10"/>
      <c r="FTG2197" s="10"/>
      <c r="FTH2197" s="10"/>
      <c r="FTI2197" s="10"/>
      <c r="FTJ2197" s="10"/>
      <c r="FTK2197" s="10"/>
      <c r="FTL2197" s="10"/>
      <c r="FTM2197" s="10"/>
      <c r="FTN2197" s="10"/>
      <c r="FTO2197" s="10"/>
      <c r="FTP2197" s="10"/>
      <c r="FTQ2197" s="10"/>
      <c r="FTR2197" s="10"/>
      <c r="FTS2197" s="10"/>
      <c r="FTT2197" s="10"/>
      <c r="FTU2197" s="10"/>
      <c r="FTV2197" s="10"/>
      <c r="FTW2197" s="10"/>
      <c r="FTX2197" s="10"/>
      <c r="FTY2197" s="10"/>
      <c r="FTZ2197" s="10"/>
      <c r="FUA2197" s="10"/>
      <c r="FUB2197" s="10"/>
      <c r="FUC2197" s="10"/>
      <c r="FUD2197" s="10"/>
      <c r="FUE2197" s="10"/>
      <c r="FUF2197" s="10"/>
      <c r="FUG2197" s="10"/>
      <c r="FUH2197" s="10"/>
      <c r="FUI2197" s="10"/>
      <c r="FUJ2197" s="10"/>
      <c r="FUK2197" s="10"/>
      <c r="FUL2197" s="10"/>
      <c r="FUM2197" s="10"/>
      <c r="FUN2197" s="10"/>
      <c r="FUO2197" s="10"/>
      <c r="FUP2197" s="10"/>
      <c r="FUQ2197" s="10"/>
      <c r="FUR2197" s="10"/>
      <c r="FUS2197" s="10"/>
      <c r="FUT2197" s="10"/>
      <c r="FUU2197" s="10"/>
      <c r="FUV2197" s="10"/>
      <c r="FUW2197" s="10"/>
      <c r="FUX2197" s="10"/>
      <c r="FUY2197" s="10"/>
      <c r="FUZ2197" s="10"/>
      <c r="FVA2197" s="10"/>
      <c r="FVB2197" s="10"/>
      <c r="FVC2197" s="10"/>
      <c r="FVD2197" s="10"/>
      <c r="FVE2197" s="10"/>
      <c r="FVF2197" s="10"/>
      <c r="FVG2197" s="10"/>
      <c r="FVH2197" s="10"/>
      <c r="FVI2197" s="10"/>
      <c r="FVJ2197" s="10"/>
      <c r="FVK2197" s="10"/>
      <c r="FVL2197" s="10"/>
      <c r="FVM2197" s="10"/>
      <c r="FVN2197" s="10"/>
      <c r="FVO2197" s="10"/>
      <c r="FVP2197" s="10"/>
      <c r="FVQ2197" s="10"/>
      <c r="FVR2197" s="10"/>
      <c r="FVS2197" s="10"/>
      <c r="FVT2197" s="10"/>
      <c r="FVU2197" s="10"/>
      <c r="FVV2197" s="10"/>
      <c r="FVW2197" s="10"/>
      <c r="FVX2197" s="10"/>
      <c r="FVY2197" s="10"/>
      <c r="FVZ2197" s="10"/>
      <c r="FWA2197" s="10"/>
      <c r="FWB2197" s="10"/>
      <c r="FWC2197" s="10"/>
      <c r="FWD2197" s="10"/>
      <c r="FWE2197" s="10"/>
      <c r="FWF2197" s="10"/>
      <c r="FWG2197" s="10"/>
      <c r="FWH2197" s="10"/>
      <c r="FWI2197" s="10"/>
      <c r="FWJ2197" s="10"/>
      <c r="FWK2197" s="10"/>
      <c r="FWL2197" s="10"/>
      <c r="FWM2197" s="10"/>
      <c r="FWN2197" s="10"/>
      <c r="FWO2197" s="10"/>
      <c r="FWP2197" s="10"/>
      <c r="FWQ2197" s="10"/>
      <c r="FWR2197" s="10"/>
      <c r="FWS2197" s="10"/>
      <c r="FWT2197" s="10"/>
      <c r="FWU2197" s="10"/>
      <c r="FWV2197" s="10"/>
      <c r="FWW2197" s="10"/>
      <c r="FWX2197" s="10"/>
      <c r="FWY2197" s="10"/>
      <c r="FWZ2197" s="10"/>
      <c r="FXA2197" s="10"/>
      <c r="FXB2197" s="10"/>
      <c r="FXC2197" s="10"/>
      <c r="FXD2197" s="10"/>
      <c r="FXE2197" s="10"/>
      <c r="FXF2197" s="10"/>
      <c r="FXG2197" s="10"/>
      <c r="FXH2197" s="10"/>
      <c r="FXI2197" s="10"/>
      <c r="FXJ2197" s="10"/>
      <c r="FXK2197" s="10"/>
      <c r="FXL2197" s="10"/>
      <c r="FXM2197" s="10"/>
      <c r="FXN2197" s="10"/>
      <c r="FXO2197" s="10"/>
      <c r="FXP2197" s="10"/>
      <c r="FXQ2197" s="10"/>
      <c r="FXR2197" s="10"/>
      <c r="FXS2197" s="10"/>
      <c r="FXT2197" s="10"/>
      <c r="FXU2197" s="10"/>
      <c r="FXV2197" s="10"/>
      <c r="FXW2197" s="10"/>
      <c r="FXX2197" s="10"/>
      <c r="FXY2197" s="10"/>
      <c r="FXZ2197" s="10"/>
      <c r="FYA2197" s="10"/>
      <c r="FYB2197" s="10"/>
      <c r="FYC2197" s="10"/>
      <c r="FYD2197" s="10"/>
      <c r="FYE2197" s="10"/>
      <c r="FYF2197" s="10"/>
      <c r="FYG2197" s="10"/>
      <c r="FYH2197" s="10"/>
      <c r="FYI2197" s="10"/>
      <c r="FYJ2197" s="10"/>
      <c r="FYK2197" s="10"/>
      <c r="FYL2197" s="10"/>
      <c r="FYM2197" s="10"/>
      <c r="FYN2197" s="10"/>
      <c r="FYO2197" s="10"/>
      <c r="FYP2197" s="10"/>
      <c r="FYQ2197" s="10"/>
      <c r="FYR2197" s="10"/>
      <c r="FYS2197" s="10"/>
      <c r="FYT2197" s="10"/>
      <c r="FYU2197" s="10"/>
      <c r="FYV2197" s="10"/>
      <c r="FYW2197" s="10"/>
      <c r="FYX2197" s="10"/>
      <c r="FYY2197" s="10"/>
      <c r="FYZ2197" s="10"/>
      <c r="FZA2197" s="10"/>
      <c r="FZB2197" s="10"/>
      <c r="FZC2197" s="10"/>
      <c r="FZD2197" s="10"/>
      <c r="FZE2197" s="10"/>
      <c r="FZF2197" s="10"/>
      <c r="FZG2197" s="10"/>
      <c r="FZH2197" s="10"/>
      <c r="FZI2197" s="10"/>
      <c r="FZJ2197" s="10"/>
      <c r="FZK2197" s="10"/>
      <c r="FZL2197" s="10"/>
      <c r="FZM2197" s="10"/>
      <c r="FZN2197" s="10"/>
      <c r="FZO2197" s="10"/>
      <c r="FZP2197" s="10"/>
      <c r="FZQ2197" s="10"/>
      <c r="FZR2197" s="10"/>
      <c r="FZS2197" s="10"/>
      <c r="FZT2197" s="10"/>
      <c r="FZU2197" s="10"/>
      <c r="FZV2197" s="10"/>
      <c r="FZW2197" s="10"/>
      <c r="FZX2197" s="10"/>
      <c r="FZY2197" s="10"/>
      <c r="FZZ2197" s="10"/>
      <c r="GAA2197" s="10"/>
      <c r="GAB2197" s="10"/>
      <c r="GAC2197" s="10"/>
      <c r="GAD2197" s="10"/>
      <c r="GAE2197" s="10"/>
      <c r="GAF2197" s="10"/>
      <c r="GAG2197" s="10"/>
      <c r="GAH2197" s="10"/>
      <c r="GAI2197" s="10"/>
      <c r="GAJ2197" s="10"/>
      <c r="GAK2197" s="10"/>
      <c r="GAL2197" s="10"/>
      <c r="GAM2197" s="10"/>
      <c r="GAN2197" s="10"/>
      <c r="GAO2197" s="10"/>
      <c r="GAP2197" s="10"/>
      <c r="GAQ2197" s="10"/>
      <c r="GAR2197" s="10"/>
      <c r="GAS2197" s="10"/>
      <c r="GAT2197" s="10"/>
      <c r="GAU2197" s="10"/>
      <c r="GAV2197" s="10"/>
      <c r="GAW2197" s="10"/>
      <c r="GAX2197" s="10"/>
      <c r="GAY2197" s="10"/>
      <c r="GAZ2197" s="10"/>
      <c r="GBA2197" s="10"/>
      <c r="GBB2197" s="10"/>
      <c r="GBC2197" s="10"/>
      <c r="GBD2197" s="10"/>
      <c r="GBE2197" s="10"/>
      <c r="GBF2197" s="10"/>
      <c r="GBG2197" s="10"/>
      <c r="GBH2197" s="10"/>
      <c r="GBI2197" s="10"/>
      <c r="GBJ2197" s="10"/>
      <c r="GBK2197" s="10"/>
      <c r="GBL2197" s="10"/>
      <c r="GBM2197" s="10"/>
      <c r="GBN2197" s="10"/>
      <c r="GBO2197" s="10"/>
      <c r="GBP2197" s="10"/>
      <c r="GBQ2197" s="10"/>
      <c r="GBR2197" s="10"/>
      <c r="GBS2197" s="10"/>
      <c r="GBT2197" s="10"/>
      <c r="GBU2197" s="10"/>
      <c r="GBV2197" s="10"/>
      <c r="GBW2197" s="10"/>
      <c r="GBX2197" s="10"/>
      <c r="GBY2197" s="10"/>
      <c r="GBZ2197" s="10"/>
      <c r="GCA2197" s="10"/>
      <c r="GCB2197" s="10"/>
      <c r="GCC2197" s="10"/>
      <c r="GCD2197" s="10"/>
      <c r="GCE2197" s="10"/>
      <c r="GCF2197" s="10"/>
      <c r="GCG2197" s="10"/>
      <c r="GCH2197" s="10"/>
      <c r="GCI2197" s="10"/>
      <c r="GCJ2197" s="10"/>
      <c r="GCK2197" s="10"/>
      <c r="GCL2197" s="10"/>
      <c r="GCM2197" s="10"/>
      <c r="GCN2197" s="10"/>
      <c r="GCO2197" s="10"/>
      <c r="GCP2197" s="10"/>
      <c r="GCQ2197" s="10"/>
      <c r="GCR2197" s="10"/>
      <c r="GCS2197" s="10"/>
      <c r="GCT2197" s="10"/>
      <c r="GCU2197" s="10"/>
      <c r="GCV2197" s="10"/>
      <c r="GCW2197" s="10"/>
      <c r="GCX2197" s="10"/>
      <c r="GCY2197" s="10"/>
      <c r="GCZ2197" s="10"/>
      <c r="GDA2197" s="10"/>
      <c r="GDB2197" s="10"/>
      <c r="GDC2197" s="10"/>
      <c r="GDD2197" s="10"/>
      <c r="GDE2197" s="10"/>
      <c r="GDF2197" s="10"/>
      <c r="GDG2197" s="10"/>
      <c r="GDH2197" s="10"/>
      <c r="GDI2197" s="10"/>
      <c r="GDJ2197" s="10"/>
      <c r="GDK2197" s="10"/>
      <c r="GDL2197" s="10"/>
      <c r="GDM2197" s="10"/>
      <c r="GDN2197" s="10"/>
      <c r="GDO2197" s="10"/>
      <c r="GDP2197" s="10"/>
      <c r="GDQ2197" s="10"/>
      <c r="GDR2197" s="10"/>
      <c r="GDS2197" s="10"/>
      <c r="GDT2197" s="10"/>
      <c r="GDU2197" s="10"/>
      <c r="GDV2197" s="10"/>
      <c r="GDW2197" s="10"/>
      <c r="GDX2197" s="10"/>
      <c r="GDY2197" s="10"/>
      <c r="GDZ2197" s="10"/>
      <c r="GEA2197" s="10"/>
      <c r="GEB2197" s="10"/>
      <c r="GEC2197" s="10"/>
      <c r="GED2197" s="10"/>
      <c r="GEE2197" s="10"/>
      <c r="GEF2197" s="10"/>
      <c r="GEG2197" s="10"/>
      <c r="GEH2197" s="10"/>
      <c r="GEI2197" s="10"/>
      <c r="GEJ2197" s="10"/>
      <c r="GEK2197" s="10"/>
      <c r="GEL2197" s="10"/>
      <c r="GEM2197" s="10"/>
      <c r="GEN2197" s="10"/>
      <c r="GEO2197" s="10"/>
      <c r="GEP2197" s="10"/>
      <c r="GEQ2197" s="10"/>
      <c r="GER2197" s="10"/>
      <c r="GES2197" s="10"/>
      <c r="GET2197" s="10"/>
      <c r="GEU2197" s="10"/>
      <c r="GEV2197" s="10"/>
      <c r="GEW2197" s="10"/>
      <c r="GEX2197" s="10"/>
      <c r="GEY2197" s="10"/>
      <c r="GEZ2197" s="10"/>
      <c r="GFA2197" s="10"/>
      <c r="GFB2197" s="10"/>
      <c r="GFC2197" s="10"/>
      <c r="GFD2197" s="10"/>
      <c r="GFE2197" s="10"/>
      <c r="GFF2197" s="10"/>
      <c r="GFG2197" s="10"/>
      <c r="GFH2197" s="10"/>
      <c r="GFI2197" s="10"/>
      <c r="GFJ2197" s="10"/>
      <c r="GFK2197" s="10"/>
      <c r="GFL2197" s="10"/>
      <c r="GFM2197" s="10"/>
      <c r="GFN2197" s="10"/>
      <c r="GFO2197" s="10"/>
      <c r="GFP2197" s="10"/>
      <c r="GFQ2197" s="10"/>
      <c r="GFR2197" s="10"/>
      <c r="GFS2197" s="10"/>
      <c r="GFT2197" s="10"/>
      <c r="GFU2197" s="10"/>
      <c r="GFV2197" s="10"/>
      <c r="GFW2197" s="10"/>
      <c r="GFX2197" s="10"/>
      <c r="GFY2197" s="10"/>
      <c r="GFZ2197" s="10"/>
      <c r="GGA2197" s="10"/>
      <c r="GGB2197" s="10"/>
      <c r="GGC2197" s="10"/>
      <c r="GGD2197" s="10"/>
      <c r="GGE2197" s="10"/>
      <c r="GGF2197" s="10"/>
      <c r="GGG2197" s="10"/>
      <c r="GGH2197" s="10"/>
      <c r="GGI2197" s="10"/>
      <c r="GGJ2197" s="10"/>
      <c r="GGK2197" s="10"/>
      <c r="GGL2197" s="10"/>
      <c r="GGM2197" s="10"/>
      <c r="GGN2197" s="10"/>
      <c r="GGO2197" s="10"/>
      <c r="GGP2197" s="10"/>
      <c r="GGQ2197" s="10"/>
      <c r="GGR2197" s="10"/>
      <c r="GGS2197" s="10"/>
      <c r="GGT2197" s="10"/>
      <c r="GGU2197" s="10"/>
      <c r="GGV2197" s="10"/>
      <c r="GGW2197" s="10"/>
      <c r="GGX2197" s="10"/>
      <c r="GGY2197" s="10"/>
      <c r="GGZ2197" s="10"/>
      <c r="GHA2197" s="10"/>
      <c r="GHB2197" s="10"/>
      <c r="GHC2197" s="10"/>
      <c r="GHD2197" s="10"/>
      <c r="GHE2197" s="10"/>
      <c r="GHF2197" s="10"/>
      <c r="GHG2197" s="10"/>
      <c r="GHH2197" s="10"/>
      <c r="GHI2197" s="10"/>
      <c r="GHJ2197" s="10"/>
      <c r="GHK2197" s="10"/>
      <c r="GHL2197" s="10"/>
      <c r="GHM2197" s="10"/>
      <c r="GHN2197" s="10"/>
      <c r="GHO2197" s="10"/>
      <c r="GHP2197" s="10"/>
      <c r="GHQ2197" s="10"/>
      <c r="GHR2197" s="10"/>
      <c r="GHS2197" s="10"/>
      <c r="GHT2197" s="10"/>
      <c r="GHU2197" s="10"/>
      <c r="GHV2197" s="10"/>
      <c r="GHW2197" s="10"/>
      <c r="GHX2197" s="10"/>
      <c r="GHY2197" s="10"/>
      <c r="GHZ2197" s="10"/>
      <c r="GIA2197" s="10"/>
      <c r="GIB2197" s="10"/>
      <c r="GIC2197" s="10"/>
      <c r="GID2197" s="10"/>
      <c r="GIE2197" s="10"/>
      <c r="GIF2197" s="10"/>
      <c r="GIG2197" s="10"/>
      <c r="GIH2197" s="10"/>
      <c r="GII2197" s="10"/>
      <c r="GIJ2197" s="10"/>
      <c r="GIK2197" s="10"/>
      <c r="GIL2197" s="10"/>
      <c r="GIM2197" s="10"/>
      <c r="GIN2197" s="10"/>
      <c r="GIO2197" s="10"/>
      <c r="GIP2197" s="10"/>
      <c r="GIQ2197" s="10"/>
      <c r="GIR2197" s="10"/>
      <c r="GIS2197" s="10"/>
      <c r="GIT2197" s="10"/>
      <c r="GIU2197" s="10"/>
      <c r="GIV2197" s="10"/>
      <c r="GIW2197" s="10"/>
      <c r="GIX2197" s="10"/>
      <c r="GIY2197" s="10"/>
      <c r="GIZ2197" s="10"/>
      <c r="GJA2197" s="10"/>
      <c r="GJB2197" s="10"/>
      <c r="GJC2197" s="10"/>
      <c r="GJD2197" s="10"/>
      <c r="GJE2197" s="10"/>
      <c r="GJF2197" s="10"/>
      <c r="GJG2197" s="10"/>
      <c r="GJH2197" s="10"/>
      <c r="GJI2197" s="10"/>
      <c r="GJJ2197" s="10"/>
      <c r="GJK2197" s="10"/>
      <c r="GJL2197" s="10"/>
      <c r="GJM2197" s="10"/>
      <c r="GJN2197" s="10"/>
      <c r="GJO2197" s="10"/>
      <c r="GJP2197" s="10"/>
      <c r="GJQ2197" s="10"/>
      <c r="GJR2197" s="10"/>
      <c r="GJS2197" s="10"/>
      <c r="GJT2197" s="10"/>
      <c r="GJU2197" s="10"/>
      <c r="GJV2197" s="10"/>
      <c r="GJW2197" s="10"/>
      <c r="GJX2197" s="10"/>
      <c r="GJY2197" s="10"/>
      <c r="GJZ2197" s="10"/>
      <c r="GKA2197" s="10"/>
      <c r="GKB2197" s="10"/>
      <c r="GKC2197" s="10"/>
      <c r="GKD2197" s="10"/>
      <c r="GKE2197" s="10"/>
      <c r="GKF2197" s="10"/>
      <c r="GKG2197" s="10"/>
      <c r="GKH2197" s="10"/>
      <c r="GKI2197" s="10"/>
      <c r="GKJ2197" s="10"/>
      <c r="GKK2197" s="10"/>
      <c r="GKL2197" s="10"/>
      <c r="GKM2197" s="10"/>
      <c r="GKN2197" s="10"/>
      <c r="GKO2197" s="10"/>
      <c r="GKP2197" s="10"/>
      <c r="GKQ2197" s="10"/>
      <c r="GKR2197" s="10"/>
      <c r="GKS2197" s="10"/>
      <c r="GKT2197" s="10"/>
      <c r="GKU2197" s="10"/>
      <c r="GKV2197" s="10"/>
      <c r="GKW2197" s="10"/>
      <c r="GKX2197" s="10"/>
      <c r="GKY2197" s="10"/>
      <c r="GKZ2197" s="10"/>
      <c r="GLA2197" s="10"/>
      <c r="GLB2197" s="10"/>
      <c r="GLC2197" s="10"/>
      <c r="GLD2197" s="10"/>
      <c r="GLE2197" s="10"/>
      <c r="GLF2197" s="10"/>
      <c r="GLG2197" s="10"/>
      <c r="GLH2197" s="10"/>
      <c r="GLI2197" s="10"/>
      <c r="GLJ2197" s="10"/>
      <c r="GLK2197" s="10"/>
      <c r="GLL2197" s="10"/>
      <c r="GLM2197" s="10"/>
      <c r="GLN2197" s="10"/>
      <c r="GLO2197" s="10"/>
      <c r="GLP2197" s="10"/>
      <c r="GLQ2197" s="10"/>
      <c r="GLR2197" s="10"/>
      <c r="GLS2197" s="10"/>
      <c r="GLT2197" s="10"/>
      <c r="GLU2197" s="10"/>
      <c r="GLV2197" s="10"/>
      <c r="GLW2197" s="10"/>
      <c r="GLX2197" s="10"/>
      <c r="GLY2197" s="10"/>
      <c r="GLZ2197" s="10"/>
      <c r="GMA2197" s="10"/>
      <c r="GMB2197" s="10"/>
      <c r="GMC2197" s="10"/>
      <c r="GMD2197" s="10"/>
      <c r="GME2197" s="10"/>
      <c r="GMF2197" s="10"/>
      <c r="GMG2197" s="10"/>
      <c r="GMH2197" s="10"/>
      <c r="GMI2197" s="10"/>
      <c r="GMJ2197" s="10"/>
      <c r="GMK2197" s="10"/>
      <c r="GML2197" s="10"/>
      <c r="GMM2197" s="10"/>
      <c r="GMN2197" s="10"/>
      <c r="GMO2197" s="10"/>
      <c r="GMP2197" s="10"/>
      <c r="GMQ2197" s="10"/>
      <c r="GMR2197" s="10"/>
      <c r="GMS2197" s="10"/>
      <c r="GMT2197" s="10"/>
      <c r="GMU2197" s="10"/>
      <c r="GMV2197" s="10"/>
      <c r="GMW2197" s="10"/>
      <c r="GMX2197" s="10"/>
      <c r="GMY2197" s="10"/>
      <c r="GMZ2197" s="10"/>
      <c r="GNA2197" s="10"/>
      <c r="GNB2197" s="10"/>
      <c r="GNC2197" s="10"/>
      <c r="GND2197" s="10"/>
      <c r="GNE2197" s="10"/>
      <c r="GNF2197" s="10"/>
      <c r="GNG2197" s="10"/>
      <c r="GNH2197" s="10"/>
      <c r="GNI2197" s="10"/>
      <c r="GNJ2197" s="10"/>
      <c r="GNK2197" s="10"/>
      <c r="GNL2197" s="10"/>
      <c r="GNM2197" s="10"/>
      <c r="GNN2197" s="10"/>
      <c r="GNO2197" s="10"/>
      <c r="GNP2197" s="10"/>
      <c r="GNQ2197" s="10"/>
      <c r="GNR2197" s="10"/>
      <c r="GNS2197" s="10"/>
      <c r="GNT2197" s="10"/>
      <c r="GNU2197" s="10"/>
      <c r="GNV2197" s="10"/>
      <c r="GNW2197" s="10"/>
      <c r="GNX2197" s="10"/>
      <c r="GNY2197" s="10"/>
      <c r="GNZ2197" s="10"/>
      <c r="GOA2197" s="10"/>
      <c r="GOB2197" s="10"/>
      <c r="GOC2197" s="10"/>
      <c r="GOD2197" s="10"/>
      <c r="GOE2197" s="10"/>
      <c r="GOF2197" s="10"/>
      <c r="GOG2197" s="10"/>
      <c r="GOH2197" s="10"/>
      <c r="GOI2197" s="10"/>
      <c r="GOJ2197" s="10"/>
      <c r="GOK2197" s="10"/>
      <c r="GOL2197" s="10"/>
      <c r="GOM2197" s="10"/>
      <c r="GON2197" s="10"/>
      <c r="GOO2197" s="10"/>
      <c r="GOP2197" s="10"/>
      <c r="GOQ2197" s="10"/>
      <c r="GOR2197" s="10"/>
      <c r="GOS2197" s="10"/>
      <c r="GOT2197" s="10"/>
      <c r="GOU2197" s="10"/>
      <c r="GOV2197" s="10"/>
      <c r="GOW2197" s="10"/>
      <c r="GOX2197" s="10"/>
      <c r="GOY2197" s="10"/>
      <c r="GOZ2197" s="10"/>
      <c r="GPA2197" s="10"/>
      <c r="GPB2197" s="10"/>
      <c r="GPC2197" s="10"/>
      <c r="GPD2197" s="10"/>
      <c r="GPE2197" s="10"/>
      <c r="GPF2197" s="10"/>
      <c r="GPG2197" s="10"/>
      <c r="GPH2197" s="10"/>
      <c r="GPI2197" s="10"/>
      <c r="GPJ2197" s="10"/>
      <c r="GPK2197" s="10"/>
      <c r="GPL2197" s="10"/>
      <c r="GPM2197" s="10"/>
      <c r="GPN2197" s="10"/>
      <c r="GPO2197" s="10"/>
      <c r="GPP2197" s="10"/>
      <c r="GPQ2197" s="10"/>
      <c r="GPR2197" s="10"/>
      <c r="GPS2197" s="10"/>
      <c r="GPT2197" s="10"/>
      <c r="GPU2197" s="10"/>
      <c r="GPV2197" s="10"/>
      <c r="GPW2197" s="10"/>
      <c r="GPX2197" s="10"/>
      <c r="GPY2197" s="10"/>
      <c r="GPZ2197" s="10"/>
      <c r="GQA2197" s="10"/>
      <c r="GQB2197" s="10"/>
      <c r="GQC2197" s="10"/>
      <c r="GQD2197" s="10"/>
      <c r="GQE2197" s="10"/>
      <c r="GQF2197" s="10"/>
      <c r="GQG2197" s="10"/>
      <c r="GQH2197" s="10"/>
      <c r="GQI2197" s="10"/>
      <c r="GQJ2197" s="10"/>
      <c r="GQK2197" s="10"/>
      <c r="GQL2197" s="10"/>
      <c r="GQM2197" s="10"/>
      <c r="GQN2197" s="10"/>
      <c r="GQO2197" s="10"/>
      <c r="GQP2197" s="10"/>
      <c r="GQQ2197" s="10"/>
      <c r="GQR2197" s="10"/>
      <c r="GQS2197" s="10"/>
      <c r="GQT2197" s="10"/>
      <c r="GQU2197" s="10"/>
      <c r="GQV2197" s="10"/>
      <c r="GQW2197" s="10"/>
      <c r="GQX2197" s="10"/>
      <c r="GQY2197" s="10"/>
      <c r="GQZ2197" s="10"/>
      <c r="GRA2197" s="10"/>
      <c r="GRB2197" s="10"/>
      <c r="GRC2197" s="10"/>
      <c r="GRD2197" s="10"/>
      <c r="GRE2197" s="10"/>
      <c r="GRF2197" s="10"/>
      <c r="GRG2197" s="10"/>
      <c r="GRH2197" s="10"/>
      <c r="GRI2197" s="10"/>
      <c r="GRJ2197" s="10"/>
      <c r="GRK2197" s="10"/>
      <c r="GRL2197" s="10"/>
      <c r="GRM2197" s="10"/>
      <c r="GRN2197" s="10"/>
      <c r="GRO2197" s="10"/>
      <c r="GRP2197" s="10"/>
      <c r="GRQ2197" s="10"/>
      <c r="GRR2197" s="10"/>
      <c r="GRS2197" s="10"/>
      <c r="GRT2197" s="10"/>
      <c r="GRU2197" s="10"/>
      <c r="GRV2197" s="10"/>
      <c r="GRW2197" s="10"/>
      <c r="GRX2197" s="10"/>
      <c r="GRY2197" s="10"/>
      <c r="GRZ2197" s="10"/>
      <c r="GSA2197" s="10"/>
      <c r="GSB2197" s="10"/>
      <c r="GSC2197" s="10"/>
      <c r="GSD2197" s="10"/>
      <c r="GSE2197" s="10"/>
      <c r="GSF2197" s="10"/>
      <c r="GSG2197" s="10"/>
      <c r="GSH2197" s="10"/>
      <c r="GSI2197" s="10"/>
      <c r="GSJ2197" s="10"/>
      <c r="GSK2197" s="10"/>
      <c r="GSL2197" s="10"/>
      <c r="GSM2197" s="10"/>
      <c r="GSN2197" s="10"/>
      <c r="GSO2197" s="10"/>
      <c r="GSP2197" s="10"/>
      <c r="GSQ2197" s="10"/>
      <c r="GSR2197" s="10"/>
      <c r="GSS2197" s="10"/>
      <c r="GST2197" s="10"/>
      <c r="GSU2197" s="10"/>
      <c r="GSV2197" s="10"/>
      <c r="GSW2197" s="10"/>
      <c r="GSX2197" s="10"/>
      <c r="GSY2197" s="10"/>
      <c r="GSZ2197" s="10"/>
      <c r="GTA2197" s="10"/>
      <c r="GTB2197" s="10"/>
      <c r="GTC2197" s="10"/>
      <c r="GTD2197" s="10"/>
      <c r="GTE2197" s="10"/>
      <c r="GTF2197" s="10"/>
      <c r="GTG2197" s="10"/>
      <c r="GTH2197" s="10"/>
      <c r="GTI2197" s="10"/>
      <c r="GTJ2197" s="10"/>
      <c r="GTK2197" s="10"/>
      <c r="GTL2197" s="10"/>
      <c r="GTM2197" s="10"/>
      <c r="GTN2197" s="10"/>
      <c r="GTO2197" s="10"/>
      <c r="GTP2197" s="10"/>
      <c r="GTQ2197" s="10"/>
      <c r="GTR2197" s="10"/>
      <c r="GTS2197" s="10"/>
      <c r="GTT2197" s="10"/>
      <c r="GTU2197" s="10"/>
      <c r="GTV2197" s="10"/>
      <c r="GTW2197" s="10"/>
      <c r="GTX2197" s="10"/>
      <c r="GTY2197" s="10"/>
      <c r="GTZ2197" s="10"/>
      <c r="GUA2197" s="10"/>
      <c r="GUB2197" s="10"/>
      <c r="GUC2197" s="10"/>
      <c r="GUD2197" s="10"/>
      <c r="GUE2197" s="10"/>
      <c r="GUF2197" s="10"/>
      <c r="GUG2197" s="10"/>
      <c r="GUH2197" s="10"/>
      <c r="GUI2197" s="10"/>
      <c r="GUJ2197" s="10"/>
      <c r="GUK2197" s="10"/>
      <c r="GUL2197" s="10"/>
      <c r="GUM2197" s="10"/>
      <c r="GUN2197" s="10"/>
      <c r="GUO2197" s="10"/>
      <c r="GUP2197" s="10"/>
      <c r="GUQ2197" s="10"/>
      <c r="GUR2197" s="10"/>
      <c r="GUS2197" s="10"/>
      <c r="GUT2197" s="10"/>
      <c r="GUU2197" s="10"/>
      <c r="GUV2197" s="10"/>
      <c r="GUW2197" s="10"/>
      <c r="GUX2197" s="10"/>
      <c r="GUY2197" s="10"/>
      <c r="GUZ2197" s="10"/>
      <c r="GVA2197" s="10"/>
      <c r="GVB2197" s="10"/>
      <c r="GVC2197" s="10"/>
      <c r="GVD2197" s="10"/>
      <c r="GVE2197" s="10"/>
      <c r="GVF2197" s="10"/>
      <c r="GVG2197" s="10"/>
      <c r="GVH2197" s="10"/>
      <c r="GVI2197" s="10"/>
      <c r="GVJ2197" s="10"/>
      <c r="GVK2197" s="10"/>
      <c r="GVL2197" s="10"/>
      <c r="GVM2197" s="10"/>
      <c r="GVN2197" s="10"/>
      <c r="GVO2197" s="10"/>
      <c r="GVP2197" s="10"/>
      <c r="GVQ2197" s="10"/>
      <c r="GVR2197" s="10"/>
      <c r="GVS2197" s="10"/>
      <c r="GVT2197" s="10"/>
      <c r="GVU2197" s="10"/>
      <c r="GVV2197" s="10"/>
      <c r="GVW2197" s="10"/>
      <c r="GVX2197" s="10"/>
      <c r="GVY2197" s="10"/>
      <c r="GVZ2197" s="10"/>
      <c r="GWA2197" s="10"/>
      <c r="GWB2197" s="10"/>
      <c r="GWC2197" s="10"/>
      <c r="GWD2197" s="10"/>
      <c r="GWE2197" s="10"/>
      <c r="GWF2197" s="10"/>
      <c r="GWG2197" s="10"/>
      <c r="GWH2197" s="10"/>
      <c r="GWI2197" s="10"/>
      <c r="GWJ2197" s="10"/>
      <c r="GWK2197" s="10"/>
      <c r="GWL2197" s="10"/>
      <c r="GWM2197" s="10"/>
      <c r="GWN2197" s="10"/>
      <c r="GWO2197" s="10"/>
      <c r="GWP2197" s="10"/>
      <c r="GWQ2197" s="10"/>
      <c r="GWR2197" s="10"/>
      <c r="GWS2197" s="10"/>
      <c r="GWT2197" s="10"/>
      <c r="GWU2197" s="10"/>
      <c r="GWV2197" s="10"/>
      <c r="GWW2197" s="10"/>
      <c r="GWX2197" s="10"/>
      <c r="GWY2197" s="10"/>
      <c r="GWZ2197" s="10"/>
      <c r="GXA2197" s="10"/>
      <c r="GXB2197" s="10"/>
      <c r="GXC2197" s="10"/>
      <c r="GXD2197" s="10"/>
      <c r="GXE2197" s="10"/>
      <c r="GXF2197" s="10"/>
      <c r="GXG2197" s="10"/>
      <c r="GXH2197" s="10"/>
      <c r="GXI2197" s="10"/>
      <c r="GXJ2197" s="10"/>
      <c r="GXK2197" s="10"/>
      <c r="GXL2197" s="10"/>
      <c r="GXM2197" s="10"/>
      <c r="GXN2197" s="10"/>
      <c r="GXO2197" s="10"/>
      <c r="GXP2197" s="10"/>
      <c r="GXQ2197" s="10"/>
      <c r="GXR2197" s="10"/>
      <c r="GXS2197" s="10"/>
      <c r="GXT2197" s="10"/>
      <c r="GXU2197" s="10"/>
      <c r="GXV2197" s="10"/>
      <c r="GXW2197" s="10"/>
      <c r="GXX2197" s="10"/>
      <c r="GXY2197" s="10"/>
      <c r="GXZ2197" s="10"/>
      <c r="GYA2197" s="10"/>
      <c r="GYB2197" s="10"/>
      <c r="GYC2197" s="10"/>
      <c r="GYD2197" s="10"/>
      <c r="GYE2197" s="10"/>
      <c r="GYF2197" s="10"/>
      <c r="GYG2197" s="10"/>
      <c r="GYH2197" s="10"/>
      <c r="GYI2197" s="10"/>
      <c r="GYJ2197" s="10"/>
      <c r="GYK2197" s="10"/>
      <c r="GYL2197" s="10"/>
      <c r="GYM2197" s="10"/>
      <c r="GYN2197" s="10"/>
      <c r="GYO2197" s="10"/>
      <c r="GYP2197" s="10"/>
      <c r="GYQ2197" s="10"/>
      <c r="GYR2197" s="10"/>
      <c r="GYS2197" s="10"/>
      <c r="GYT2197" s="10"/>
      <c r="GYU2197" s="10"/>
      <c r="GYV2197" s="10"/>
      <c r="GYW2197" s="10"/>
      <c r="GYX2197" s="10"/>
      <c r="GYY2197" s="10"/>
      <c r="GYZ2197" s="10"/>
      <c r="GZA2197" s="10"/>
      <c r="GZB2197" s="10"/>
      <c r="GZC2197" s="10"/>
      <c r="GZD2197" s="10"/>
      <c r="GZE2197" s="10"/>
      <c r="GZF2197" s="10"/>
      <c r="GZG2197" s="10"/>
      <c r="GZH2197" s="10"/>
      <c r="GZI2197" s="10"/>
      <c r="GZJ2197" s="10"/>
      <c r="GZK2197" s="10"/>
      <c r="GZL2197" s="10"/>
      <c r="GZM2197" s="10"/>
      <c r="GZN2197" s="10"/>
      <c r="GZO2197" s="10"/>
      <c r="GZP2197" s="10"/>
      <c r="GZQ2197" s="10"/>
      <c r="GZR2197" s="10"/>
      <c r="GZS2197" s="10"/>
      <c r="GZT2197" s="10"/>
      <c r="GZU2197" s="10"/>
      <c r="GZV2197" s="10"/>
      <c r="GZW2197" s="10"/>
      <c r="GZX2197" s="10"/>
      <c r="GZY2197" s="10"/>
      <c r="GZZ2197" s="10"/>
      <c r="HAA2197" s="10"/>
      <c r="HAB2197" s="10"/>
      <c r="HAC2197" s="10"/>
      <c r="HAD2197" s="10"/>
      <c r="HAE2197" s="10"/>
      <c r="HAF2197" s="10"/>
      <c r="HAG2197" s="10"/>
      <c r="HAH2197" s="10"/>
      <c r="HAI2197" s="10"/>
      <c r="HAJ2197" s="10"/>
      <c r="HAK2197" s="10"/>
      <c r="HAL2197" s="10"/>
      <c r="HAM2197" s="10"/>
      <c r="HAN2197" s="10"/>
      <c r="HAO2197" s="10"/>
      <c r="HAP2197" s="10"/>
      <c r="HAQ2197" s="10"/>
      <c r="HAR2197" s="10"/>
      <c r="HAS2197" s="10"/>
      <c r="HAT2197" s="10"/>
      <c r="HAU2197" s="10"/>
      <c r="HAV2197" s="10"/>
      <c r="HAW2197" s="10"/>
      <c r="HAX2197" s="10"/>
      <c r="HAY2197" s="10"/>
      <c r="HAZ2197" s="10"/>
      <c r="HBA2197" s="10"/>
      <c r="HBB2197" s="10"/>
      <c r="HBC2197" s="10"/>
      <c r="HBD2197" s="10"/>
      <c r="HBE2197" s="10"/>
      <c r="HBF2197" s="10"/>
      <c r="HBG2197" s="10"/>
      <c r="HBH2197" s="10"/>
      <c r="HBI2197" s="10"/>
      <c r="HBJ2197" s="10"/>
      <c r="HBK2197" s="10"/>
      <c r="HBL2197" s="10"/>
      <c r="HBM2197" s="10"/>
      <c r="HBN2197" s="10"/>
      <c r="HBO2197" s="10"/>
      <c r="HBP2197" s="10"/>
      <c r="HBQ2197" s="10"/>
      <c r="HBR2197" s="10"/>
      <c r="HBS2197" s="10"/>
      <c r="HBT2197" s="10"/>
      <c r="HBU2197" s="10"/>
      <c r="HBV2197" s="10"/>
      <c r="HBW2197" s="10"/>
      <c r="HBX2197" s="10"/>
      <c r="HBY2197" s="10"/>
      <c r="HBZ2197" s="10"/>
      <c r="HCA2197" s="10"/>
      <c r="HCB2197" s="10"/>
      <c r="HCC2197" s="10"/>
      <c r="HCD2197" s="10"/>
      <c r="HCE2197" s="10"/>
      <c r="HCF2197" s="10"/>
      <c r="HCG2197" s="10"/>
      <c r="HCH2197" s="10"/>
      <c r="HCI2197" s="10"/>
      <c r="HCJ2197" s="10"/>
      <c r="HCK2197" s="10"/>
      <c r="HCL2197" s="10"/>
      <c r="HCM2197" s="10"/>
      <c r="HCN2197" s="10"/>
      <c r="HCO2197" s="10"/>
      <c r="HCP2197" s="10"/>
      <c r="HCQ2197" s="10"/>
      <c r="HCR2197" s="10"/>
      <c r="HCS2197" s="10"/>
      <c r="HCT2197" s="10"/>
      <c r="HCU2197" s="10"/>
      <c r="HCV2197" s="10"/>
      <c r="HCW2197" s="10"/>
      <c r="HCX2197" s="10"/>
      <c r="HCY2197" s="10"/>
      <c r="HCZ2197" s="10"/>
      <c r="HDA2197" s="10"/>
      <c r="HDB2197" s="10"/>
      <c r="HDC2197" s="10"/>
      <c r="HDD2197" s="10"/>
      <c r="HDE2197" s="10"/>
      <c r="HDF2197" s="10"/>
      <c r="HDG2197" s="10"/>
      <c r="HDH2197" s="10"/>
      <c r="HDI2197" s="10"/>
      <c r="HDJ2197" s="10"/>
      <c r="HDK2197" s="10"/>
      <c r="HDL2197" s="10"/>
      <c r="HDM2197" s="10"/>
      <c r="HDN2197" s="10"/>
      <c r="HDO2197" s="10"/>
      <c r="HDP2197" s="10"/>
      <c r="HDQ2197" s="10"/>
      <c r="HDR2197" s="10"/>
      <c r="HDS2197" s="10"/>
      <c r="HDT2197" s="10"/>
      <c r="HDU2197" s="10"/>
      <c r="HDV2197" s="10"/>
      <c r="HDW2197" s="10"/>
      <c r="HDX2197" s="10"/>
      <c r="HDY2197" s="10"/>
      <c r="HDZ2197" s="10"/>
      <c r="HEA2197" s="10"/>
      <c r="HEB2197" s="10"/>
      <c r="HEC2197" s="10"/>
      <c r="HED2197" s="10"/>
      <c r="HEE2197" s="10"/>
      <c r="HEF2197" s="10"/>
      <c r="HEG2197" s="10"/>
      <c r="HEH2197" s="10"/>
      <c r="HEI2197" s="10"/>
      <c r="HEJ2197" s="10"/>
      <c r="HEK2197" s="10"/>
      <c r="HEL2197" s="10"/>
      <c r="HEM2197" s="10"/>
      <c r="HEN2197" s="10"/>
      <c r="HEO2197" s="10"/>
      <c r="HEP2197" s="10"/>
      <c r="HEQ2197" s="10"/>
      <c r="HER2197" s="10"/>
      <c r="HES2197" s="10"/>
      <c r="HET2197" s="10"/>
      <c r="HEU2197" s="10"/>
      <c r="HEV2197" s="10"/>
      <c r="HEW2197" s="10"/>
      <c r="HEX2197" s="10"/>
      <c r="HEY2197" s="10"/>
      <c r="HEZ2197" s="10"/>
      <c r="HFA2197" s="10"/>
      <c r="HFB2197" s="10"/>
      <c r="HFC2197" s="10"/>
      <c r="HFD2197" s="10"/>
      <c r="HFE2197" s="10"/>
      <c r="HFF2197" s="10"/>
      <c r="HFG2197" s="10"/>
      <c r="HFH2197" s="10"/>
      <c r="HFI2197" s="10"/>
      <c r="HFJ2197" s="10"/>
      <c r="HFK2197" s="10"/>
      <c r="HFL2197" s="10"/>
      <c r="HFM2197" s="10"/>
      <c r="HFN2197" s="10"/>
      <c r="HFO2197" s="10"/>
      <c r="HFP2197" s="10"/>
      <c r="HFQ2197" s="10"/>
      <c r="HFR2197" s="10"/>
      <c r="HFS2197" s="10"/>
      <c r="HFT2197" s="10"/>
      <c r="HFU2197" s="10"/>
      <c r="HFV2197" s="10"/>
      <c r="HFW2197" s="10"/>
      <c r="HFX2197" s="10"/>
      <c r="HFY2197" s="10"/>
      <c r="HFZ2197" s="10"/>
      <c r="HGA2197" s="10"/>
      <c r="HGB2197" s="10"/>
      <c r="HGC2197" s="10"/>
      <c r="HGD2197" s="10"/>
      <c r="HGE2197" s="10"/>
      <c r="HGF2197" s="10"/>
      <c r="HGG2197" s="10"/>
      <c r="HGH2197" s="10"/>
      <c r="HGI2197" s="10"/>
      <c r="HGJ2197" s="10"/>
      <c r="HGK2197" s="10"/>
      <c r="HGL2197" s="10"/>
      <c r="HGM2197" s="10"/>
      <c r="HGN2197" s="10"/>
      <c r="HGO2197" s="10"/>
      <c r="HGP2197" s="10"/>
      <c r="HGQ2197" s="10"/>
      <c r="HGR2197" s="10"/>
      <c r="HGS2197" s="10"/>
      <c r="HGT2197" s="10"/>
      <c r="HGU2197" s="10"/>
      <c r="HGV2197" s="10"/>
      <c r="HGW2197" s="10"/>
      <c r="HGX2197" s="10"/>
      <c r="HGY2197" s="10"/>
      <c r="HGZ2197" s="10"/>
      <c r="HHA2197" s="10"/>
      <c r="HHB2197" s="10"/>
      <c r="HHC2197" s="10"/>
      <c r="HHD2197" s="10"/>
      <c r="HHE2197" s="10"/>
      <c r="HHF2197" s="10"/>
      <c r="HHG2197" s="10"/>
      <c r="HHH2197" s="10"/>
      <c r="HHI2197" s="10"/>
      <c r="HHJ2197" s="10"/>
      <c r="HHK2197" s="10"/>
      <c r="HHL2197" s="10"/>
      <c r="HHM2197" s="10"/>
      <c r="HHN2197" s="10"/>
      <c r="HHO2197" s="10"/>
      <c r="HHP2197" s="10"/>
      <c r="HHQ2197" s="10"/>
      <c r="HHR2197" s="10"/>
      <c r="HHS2197" s="10"/>
      <c r="HHT2197" s="10"/>
      <c r="HHU2197" s="10"/>
      <c r="HHV2197" s="10"/>
      <c r="HHW2197" s="10"/>
      <c r="HHX2197" s="10"/>
      <c r="HHY2197" s="10"/>
      <c r="HHZ2197" s="10"/>
      <c r="HIA2197" s="10"/>
      <c r="HIB2197" s="10"/>
      <c r="HIC2197" s="10"/>
      <c r="HID2197" s="10"/>
      <c r="HIE2197" s="10"/>
      <c r="HIF2197" s="10"/>
      <c r="HIG2197" s="10"/>
      <c r="HIH2197" s="10"/>
      <c r="HII2197" s="10"/>
      <c r="HIJ2197" s="10"/>
      <c r="HIK2197" s="10"/>
      <c r="HIL2197" s="10"/>
      <c r="HIM2197" s="10"/>
      <c r="HIN2197" s="10"/>
      <c r="HIO2197" s="10"/>
      <c r="HIP2197" s="10"/>
      <c r="HIQ2197" s="10"/>
      <c r="HIR2197" s="10"/>
      <c r="HIS2197" s="10"/>
      <c r="HIT2197" s="10"/>
      <c r="HIU2197" s="10"/>
      <c r="HIV2197" s="10"/>
      <c r="HIW2197" s="10"/>
      <c r="HIX2197" s="10"/>
      <c r="HIY2197" s="10"/>
      <c r="HIZ2197" s="10"/>
      <c r="HJA2197" s="10"/>
      <c r="HJB2197" s="10"/>
      <c r="HJC2197" s="10"/>
      <c r="HJD2197" s="10"/>
      <c r="HJE2197" s="10"/>
      <c r="HJF2197" s="10"/>
      <c r="HJG2197" s="10"/>
      <c r="HJH2197" s="10"/>
      <c r="HJI2197" s="10"/>
      <c r="HJJ2197" s="10"/>
      <c r="HJK2197" s="10"/>
      <c r="HJL2197" s="10"/>
      <c r="HJM2197" s="10"/>
      <c r="HJN2197" s="10"/>
      <c r="HJO2197" s="10"/>
      <c r="HJP2197" s="10"/>
      <c r="HJQ2197" s="10"/>
      <c r="HJR2197" s="10"/>
      <c r="HJS2197" s="10"/>
      <c r="HJT2197" s="10"/>
      <c r="HJU2197" s="10"/>
      <c r="HJV2197" s="10"/>
      <c r="HJW2197" s="10"/>
      <c r="HJX2197" s="10"/>
      <c r="HJY2197" s="10"/>
      <c r="HJZ2197" s="10"/>
      <c r="HKA2197" s="10"/>
      <c r="HKB2197" s="10"/>
      <c r="HKC2197" s="10"/>
      <c r="HKD2197" s="10"/>
      <c r="HKE2197" s="10"/>
      <c r="HKF2197" s="10"/>
      <c r="HKG2197" s="10"/>
      <c r="HKH2197" s="10"/>
      <c r="HKI2197" s="10"/>
      <c r="HKJ2197" s="10"/>
      <c r="HKK2197" s="10"/>
      <c r="HKL2197" s="10"/>
      <c r="HKM2197" s="10"/>
      <c r="HKN2197" s="10"/>
      <c r="HKO2197" s="10"/>
      <c r="HKP2197" s="10"/>
      <c r="HKQ2197" s="10"/>
      <c r="HKR2197" s="10"/>
      <c r="HKS2197" s="10"/>
      <c r="HKT2197" s="10"/>
      <c r="HKU2197" s="10"/>
      <c r="HKV2197" s="10"/>
      <c r="HKW2197" s="10"/>
      <c r="HKX2197" s="10"/>
      <c r="HKY2197" s="10"/>
      <c r="HKZ2197" s="10"/>
      <c r="HLA2197" s="10"/>
      <c r="HLB2197" s="10"/>
      <c r="HLC2197" s="10"/>
      <c r="HLD2197" s="10"/>
      <c r="HLE2197" s="10"/>
      <c r="HLF2197" s="10"/>
      <c r="HLG2197" s="10"/>
      <c r="HLH2197" s="10"/>
      <c r="HLI2197" s="10"/>
      <c r="HLJ2197" s="10"/>
      <c r="HLK2197" s="10"/>
      <c r="HLL2197" s="10"/>
      <c r="HLM2197" s="10"/>
      <c r="HLN2197" s="10"/>
      <c r="HLO2197" s="10"/>
      <c r="HLP2197" s="10"/>
      <c r="HLQ2197" s="10"/>
      <c r="HLR2197" s="10"/>
      <c r="HLS2197" s="10"/>
      <c r="HLT2197" s="10"/>
      <c r="HLU2197" s="10"/>
      <c r="HLV2197" s="10"/>
      <c r="HLW2197" s="10"/>
      <c r="HLX2197" s="10"/>
      <c r="HLY2197" s="10"/>
      <c r="HLZ2197" s="10"/>
      <c r="HMA2197" s="10"/>
      <c r="HMB2197" s="10"/>
      <c r="HMC2197" s="10"/>
      <c r="HMD2197" s="10"/>
      <c r="HME2197" s="10"/>
      <c r="HMF2197" s="10"/>
      <c r="HMG2197" s="10"/>
      <c r="HMH2197" s="10"/>
      <c r="HMI2197" s="10"/>
      <c r="HMJ2197" s="10"/>
      <c r="HMK2197" s="10"/>
      <c r="HML2197" s="10"/>
      <c r="HMM2197" s="10"/>
      <c r="HMN2197" s="10"/>
      <c r="HMO2197" s="10"/>
      <c r="HMP2197" s="10"/>
      <c r="HMQ2197" s="10"/>
      <c r="HMR2197" s="10"/>
      <c r="HMS2197" s="10"/>
      <c r="HMT2197" s="10"/>
      <c r="HMU2197" s="10"/>
      <c r="HMV2197" s="10"/>
      <c r="HMW2197" s="10"/>
      <c r="HMX2197" s="10"/>
      <c r="HMY2197" s="10"/>
      <c r="HMZ2197" s="10"/>
      <c r="HNA2197" s="10"/>
      <c r="HNB2197" s="10"/>
      <c r="HNC2197" s="10"/>
      <c r="HND2197" s="10"/>
      <c r="HNE2197" s="10"/>
      <c r="HNF2197" s="10"/>
      <c r="HNG2197" s="10"/>
      <c r="HNH2197" s="10"/>
      <c r="HNI2197" s="10"/>
      <c r="HNJ2197" s="10"/>
      <c r="HNK2197" s="10"/>
      <c r="HNL2197" s="10"/>
      <c r="HNM2197" s="10"/>
      <c r="HNN2197" s="10"/>
      <c r="HNO2197" s="10"/>
      <c r="HNP2197" s="10"/>
      <c r="HNQ2197" s="10"/>
      <c r="HNR2197" s="10"/>
      <c r="HNS2197" s="10"/>
      <c r="HNT2197" s="10"/>
      <c r="HNU2197" s="10"/>
      <c r="HNV2197" s="10"/>
      <c r="HNW2197" s="10"/>
      <c r="HNX2197" s="10"/>
      <c r="HNY2197" s="10"/>
      <c r="HNZ2197" s="10"/>
      <c r="HOA2197" s="10"/>
      <c r="HOB2197" s="10"/>
      <c r="HOC2197" s="10"/>
      <c r="HOD2197" s="10"/>
      <c r="HOE2197" s="10"/>
      <c r="HOF2197" s="10"/>
      <c r="HOG2197" s="10"/>
      <c r="HOH2197" s="10"/>
      <c r="HOI2197" s="10"/>
      <c r="HOJ2197" s="10"/>
      <c r="HOK2197" s="10"/>
      <c r="HOL2197" s="10"/>
      <c r="HOM2197" s="10"/>
      <c r="HON2197" s="10"/>
      <c r="HOO2197" s="10"/>
      <c r="HOP2197" s="10"/>
      <c r="HOQ2197" s="10"/>
      <c r="HOR2197" s="10"/>
      <c r="HOS2197" s="10"/>
      <c r="HOT2197" s="10"/>
      <c r="HOU2197" s="10"/>
      <c r="HOV2197" s="10"/>
      <c r="HOW2197" s="10"/>
      <c r="HOX2197" s="10"/>
      <c r="HOY2197" s="10"/>
      <c r="HOZ2197" s="10"/>
      <c r="HPA2197" s="10"/>
      <c r="HPB2197" s="10"/>
      <c r="HPC2197" s="10"/>
      <c r="HPD2197" s="10"/>
      <c r="HPE2197" s="10"/>
      <c r="HPF2197" s="10"/>
      <c r="HPG2197" s="10"/>
      <c r="HPH2197" s="10"/>
      <c r="HPI2197" s="10"/>
      <c r="HPJ2197" s="10"/>
      <c r="HPK2197" s="10"/>
      <c r="HPL2197" s="10"/>
      <c r="HPM2197" s="10"/>
      <c r="HPN2197" s="10"/>
      <c r="HPO2197" s="10"/>
      <c r="HPP2197" s="10"/>
      <c r="HPQ2197" s="10"/>
      <c r="HPR2197" s="10"/>
      <c r="HPS2197" s="10"/>
      <c r="HPT2197" s="10"/>
      <c r="HPU2197" s="10"/>
      <c r="HPV2197" s="10"/>
      <c r="HPW2197" s="10"/>
      <c r="HPX2197" s="10"/>
      <c r="HPY2197" s="10"/>
      <c r="HPZ2197" s="10"/>
      <c r="HQA2197" s="10"/>
      <c r="HQB2197" s="10"/>
      <c r="HQC2197" s="10"/>
      <c r="HQD2197" s="10"/>
      <c r="HQE2197" s="10"/>
      <c r="HQF2197" s="10"/>
      <c r="HQG2197" s="10"/>
      <c r="HQH2197" s="10"/>
      <c r="HQI2197" s="10"/>
      <c r="HQJ2197" s="10"/>
      <c r="HQK2197" s="10"/>
      <c r="HQL2197" s="10"/>
      <c r="HQM2197" s="10"/>
      <c r="HQN2197" s="10"/>
      <c r="HQO2197" s="10"/>
      <c r="HQP2197" s="10"/>
      <c r="HQQ2197" s="10"/>
      <c r="HQR2197" s="10"/>
      <c r="HQS2197" s="10"/>
      <c r="HQT2197" s="10"/>
      <c r="HQU2197" s="10"/>
      <c r="HQV2197" s="10"/>
      <c r="HQW2197" s="10"/>
      <c r="HQX2197" s="10"/>
      <c r="HQY2197" s="10"/>
      <c r="HQZ2197" s="10"/>
      <c r="HRA2197" s="10"/>
      <c r="HRB2197" s="10"/>
      <c r="HRC2197" s="10"/>
      <c r="HRD2197" s="10"/>
      <c r="HRE2197" s="10"/>
      <c r="HRF2197" s="10"/>
      <c r="HRG2197" s="10"/>
      <c r="HRH2197" s="10"/>
      <c r="HRI2197" s="10"/>
      <c r="HRJ2197" s="10"/>
      <c r="HRK2197" s="10"/>
      <c r="HRL2197" s="10"/>
      <c r="HRM2197" s="10"/>
      <c r="HRN2197" s="10"/>
      <c r="HRO2197" s="10"/>
      <c r="HRP2197" s="10"/>
      <c r="HRQ2197" s="10"/>
      <c r="HRR2197" s="10"/>
      <c r="HRS2197" s="10"/>
      <c r="HRT2197" s="10"/>
      <c r="HRU2197" s="10"/>
      <c r="HRV2197" s="10"/>
      <c r="HRW2197" s="10"/>
      <c r="HRX2197" s="10"/>
      <c r="HRY2197" s="10"/>
      <c r="HRZ2197" s="10"/>
      <c r="HSA2197" s="10"/>
      <c r="HSB2197" s="10"/>
      <c r="HSC2197" s="10"/>
      <c r="HSD2197" s="10"/>
      <c r="HSE2197" s="10"/>
      <c r="HSF2197" s="10"/>
      <c r="HSG2197" s="10"/>
      <c r="HSH2197" s="10"/>
      <c r="HSI2197" s="10"/>
      <c r="HSJ2197" s="10"/>
      <c r="HSK2197" s="10"/>
      <c r="HSL2197" s="10"/>
      <c r="HSM2197" s="10"/>
      <c r="HSN2197" s="10"/>
      <c r="HSO2197" s="10"/>
      <c r="HSP2197" s="10"/>
      <c r="HSQ2197" s="10"/>
      <c r="HSR2197" s="10"/>
      <c r="HSS2197" s="10"/>
      <c r="HST2197" s="10"/>
      <c r="HSU2197" s="10"/>
      <c r="HSV2197" s="10"/>
      <c r="HSW2197" s="10"/>
      <c r="HSX2197" s="10"/>
      <c r="HSY2197" s="10"/>
      <c r="HSZ2197" s="10"/>
      <c r="HTA2197" s="10"/>
      <c r="HTB2197" s="10"/>
      <c r="HTC2197" s="10"/>
      <c r="HTD2197" s="10"/>
      <c r="HTE2197" s="10"/>
      <c r="HTF2197" s="10"/>
      <c r="HTG2197" s="10"/>
      <c r="HTH2197" s="10"/>
      <c r="HTI2197" s="10"/>
      <c r="HTJ2197" s="10"/>
      <c r="HTK2197" s="10"/>
      <c r="HTL2197" s="10"/>
      <c r="HTM2197" s="10"/>
      <c r="HTN2197" s="10"/>
      <c r="HTO2197" s="10"/>
      <c r="HTP2197" s="10"/>
      <c r="HTQ2197" s="10"/>
      <c r="HTR2197" s="10"/>
      <c r="HTS2197" s="10"/>
      <c r="HTT2197" s="10"/>
      <c r="HTU2197" s="10"/>
      <c r="HTV2197" s="10"/>
      <c r="HTW2197" s="10"/>
      <c r="HTX2197" s="10"/>
      <c r="HTY2197" s="10"/>
      <c r="HTZ2197" s="10"/>
      <c r="HUA2197" s="10"/>
      <c r="HUB2197" s="10"/>
      <c r="HUC2197" s="10"/>
      <c r="HUD2197" s="10"/>
      <c r="HUE2197" s="10"/>
      <c r="HUF2197" s="10"/>
      <c r="HUG2197" s="10"/>
      <c r="HUH2197" s="10"/>
      <c r="HUI2197" s="10"/>
      <c r="HUJ2197" s="10"/>
      <c r="HUK2197" s="10"/>
      <c r="HUL2197" s="10"/>
      <c r="HUM2197" s="10"/>
      <c r="HUN2197" s="10"/>
      <c r="HUO2197" s="10"/>
      <c r="HUP2197" s="10"/>
      <c r="HUQ2197" s="10"/>
      <c r="HUR2197" s="10"/>
      <c r="HUS2197" s="10"/>
      <c r="HUT2197" s="10"/>
      <c r="HUU2197" s="10"/>
      <c r="HUV2197" s="10"/>
      <c r="HUW2197" s="10"/>
      <c r="HUX2197" s="10"/>
      <c r="HUY2197" s="10"/>
      <c r="HUZ2197" s="10"/>
      <c r="HVA2197" s="10"/>
      <c r="HVB2197" s="10"/>
      <c r="HVC2197" s="10"/>
      <c r="HVD2197" s="10"/>
      <c r="HVE2197" s="10"/>
      <c r="HVF2197" s="10"/>
      <c r="HVG2197" s="10"/>
      <c r="HVH2197" s="10"/>
      <c r="HVI2197" s="10"/>
      <c r="HVJ2197" s="10"/>
      <c r="HVK2197" s="10"/>
      <c r="HVL2197" s="10"/>
      <c r="HVM2197" s="10"/>
      <c r="HVN2197" s="10"/>
      <c r="HVO2197" s="10"/>
      <c r="HVP2197" s="10"/>
      <c r="HVQ2197" s="10"/>
      <c r="HVR2197" s="10"/>
      <c r="HVS2197" s="10"/>
      <c r="HVT2197" s="10"/>
      <c r="HVU2197" s="10"/>
      <c r="HVV2197" s="10"/>
      <c r="HVW2197" s="10"/>
      <c r="HVX2197" s="10"/>
      <c r="HVY2197" s="10"/>
      <c r="HVZ2197" s="10"/>
      <c r="HWA2197" s="10"/>
      <c r="HWB2197" s="10"/>
      <c r="HWC2197" s="10"/>
      <c r="HWD2197" s="10"/>
      <c r="HWE2197" s="10"/>
      <c r="HWF2197" s="10"/>
      <c r="HWG2197" s="10"/>
      <c r="HWH2197" s="10"/>
      <c r="HWI2197" s="10"/>
      <c r="HWJ2197" s="10"/>
      <c r="HWK2197" s="10"/>
      <c r="HWL2197" s="10"/>
      <c r="HWM2197" s="10"/>
      <c r="HWN2197" s="10"/>
      <c r="HWO2197" s="10"/>
      <c r="HWP2197" s="10"/>
      <c r="HWQ2197" s="10"/>
      <c r="HWR2197" s="10"/>
      <c r="HWS2197" s="10"/>
      <c r="HWT2197" s="10"/>
      <c r="HWU2197" s="10"/>
      <c r="HWV2197" s="10"/>
      <c r="HWW2197" s="10"/>
      <c r="HWX2197" s="10"/>
      <c r="HWY2197" s="10"/>
      <c r="HWZ2197" s="10"/>
      <c r="HXA2197" s="10"/>
      <c r="HXB2197" s="10"/>
      <c r="HXC2197" s="10"/>
      <c r="HXD2197" s="10"/>
      <c r="HXE2197" s="10"/>
      <c r="HXF2197" s="10"/>
      <c r="HXG2197" s="10"/>
      <c r="HXH2197" s="10"/>
      <c r="HXI2197" s="10"/>
      <c r="HXJ2197" s="10"/>
      <c r="HXK2197" s="10"/>
      <c r="HXL2197" s="10"/>
      <c r="HXM2197" s="10"/>
      <c r="HXN2197" s="10"/>
      <c r="HXO2197" s="10"/>
      <c r="HXP2197" s="10"/>
      <c r="HXQ2197" s="10"/>
      <c r="HXR2197" s="10"/>
      <c r="HXS2197" s="10"/>
      <c r="HXT2197" s="10"/>
      <c r="HXU2197" s="10"/>
      <c r="HXV2197" s="10"/>
      <c r="HXW2197" s="10"/>
      <c r="HXX2197" s="10"/>
      <c r="HXY2197" s="10"/>
      <c r="HXZ2197" s="10"/>
      <c r="HYA2197" s="10"/>
      <c r="HYB2197" s="10"/>
      <c r="HYC2197" s="10"/>
      <c r="HYD2197" s="10"/>
      <c r="HYE2197" s="10"/>
      <c r="HYF2197" s="10"/>
      <c r="HYG2197" s="10"/>
      <c r="HYH2197" s="10"/>
      <c r="HYI2197" s="10"/>
      <c r="HYJ2197" s="10"/>
      <c r="HYK2197" s="10"/>
      <c r="HYL2197" s="10"/>
      <c r="HYM2197" s="10"/>
      <c r="HYN2197" s="10"/>
      <c r="HYO2197" s="10"/>
      <c r="HYP2197" s="10"/>
      <c r="HYQ2197" s="10"/>
      <c r="HYR2197" s="10"/>
      <c r="HYS2197" s="10"/>
      <c r="HYT2197" s="10"/>
      <c r="HYU2197" s="10"/>
      <c r="HYV2197" s="10"/>
      <c r="HYW2197" s="10"/>
      <c r="HYX2197" s="10"/>
      <c r="HYY2197" s="10"/>
      <c r="HYZ2197" s="10"/>
      <c r="HZA2197" s="10"/>
      <c r="HZB2197" s="10"/>
      <c r="HZC2197" s="10"/>
      <c r="HZD2197" s="10"/>
      <c r="HZE2197" s="10"/>
      <c r="HZF2197" s="10"/>
      <c r="HZG2197" s="10"/>
      <c r="HZH2197" s="10"/>
      <c r="HZI2197" s="10"/>
      <c r="HZJ2197" s="10"/>
      <c r="HZK2197" s="10"/>
      <c r="HZL2197" s="10"/>
      <c r="HZM2197" s="10"/>
      <c r="HZN2197" s="10"/>
      <c r="HZO2197" s="10"/>
      <c r="HZP2197" s="10"/>
      <c r="HZQ2197" s="10"/>
      <c r="HZR2197" s="10"/>
      <c r="HZS2197" s="10"/>
      <c r="HZT2197" s="10"/>
      <c r="HZU2197" s="10"/>
      <c r="HZV2197" s="10"/>
      <c r="HZW2197" s="10"/>
      <c r="HZX2197" s="10"/>
      <c r="HZY2197" s="10"/>
      <c r="HZZ2197" s="10"/>
      <c r="IAA2197" s="10"/>
      <c r="IAB2197" s="10"/>
      <c r="IAC2197" s="10"/>
      <c r="IAD2197" s="10"/>
      <c r="IAE2197" s="10"/>
      <c r="IAF2197" s="10"/>
      <c r="IAG2197" s="10"/>
      <c r="IAH2197" s="10"/>
      <c r="IAI2197" s="10"/>
      <c r="IAJ2197" s="10"/>
      <c r="IAK2197" s="10"/>
      <c r="IAL2197" s="10"/>
      <c r="IAM2197" s="10"/>
      <c r="IAN2197" s="10"/>
      <c r="IAO2197" s="10"/>
      <c r="IAP2197" s="10"/>
      <c r="IAQ2197" s="10"/>
      <c r="IAR2197" s="10"/>
      <c r="IAS2197" s="10"/>
      <c r="IAT2197" s="10"/>
      <c r="IAU2197" s="10"/>
      <c r="IAV2197" s="10"/>
      <c r="IAW2197" s="10"/>
      <c r="IAX2197" s="10"/>
      <c r="IAY2197" s="10"/>
      <c r="IAZ2197" s="10"/>
      <c r="IBA2197" s="10"/>
      <c r="IBB2197" s="10"/>
      <c r="IBC2197" s="10"/>
      <c r="IBD2197" s="10"/>
      <c r="IBE2197" s="10"/>
      <c r="IBF2197" s="10"/>
      <c r="IBG2197" s="10"/>
      <c r="IBH2197" s="10"/>
      <c r="IBI2197" s="10"/>
      <c r="IBJ2197" s="10"/>
      <c r="IBK2197" s="10"/>
      <c r="IBL2197" s="10"/>
      <c r="IBM2197" s="10"/>
      <c r="IBN2197" s="10"/>
      <c r="IBO2197" s="10"/>
      <c r="IBP2197" s="10"/>
      <c r="IBQ2197" s="10"/>
      <c r="IBR2197" s="10"/>
      <c r="IBS2197" s="10"/>
      <c r="IBT2197" s="10"/>
      <c r="IBU2197" s="10"/>
      <c r="IBV2197" s="10"/>
      <c r="IBW2197" s="10"/>
      <c r="IBX2197" s="10"/>
      <c r="IBY2197" s="10"/>
      <c r="IBZ2197" s="10"/>
      <c r="ICA2197" s="10"/>
      <c r="ICB2197" s="10"/>
      <c r="ICC2197" s="10"/>
      <c r="ICD2197" s="10"/>
      <c r="ICE2197" s="10"/>
      <c r="ICF2197" s="10"/>
      <c r="ICG2197" s="10"/>
      <c r="ICH2197" s="10"/>
      <c r="ICI2197" s="10"/>
      <c r="ICJ2197" s="10"/>
      <c r="ICK2197" s="10"/>
      <c r="ICL2197" s="10"/>
      <c r="ICM2197" s="10"/>
      <c r="ICN2197" s="10"/>
      <c r="ICO2197" s="10"/>
      <c r="ICP2197" s="10"/>
      <c r="ICQ2197" s="10"/>
      <c r="ICR2197" s="10"/>
      <c r="ICS2197" s="10"/>
      <c r="ICT2197" s="10"/>
      <c r="ICU2197" s="10"/>
      <c r="ICV2197" s="10"/>
      <c r="ICW2197" s="10"/>
      <c r="ICX2197" s="10"/>
      <c r="ICY2197" s="10"/>
      <c r="ICZ2197" s="10"/>
      <c r="IDA2197" s="10"/>
      <c r="IDB2197" s="10"/>
      <c r="IDC2197" s="10"/>
      <c r="IDD2197" s="10"/>
      <c r="IDE2197" s="10"/>
      <c r="IDF2197" s="10"/>
      <c r="IDG2197" s="10"/>
      <c r="IDH2197" s="10"/>
      <c r="IDI2197" s="10"/>
      <c r="IDJ2197" s="10"/>
      <c r="IDK2197" s="10"/>
      <c r="IDL2197" s="10"/>
      <c r="IDM2197" s="10"/>
      <c r="IDN2197" s="10"/>
      <c r="IDO2197" s="10"/>
      <c r="IDP2197" s="10"/>
      <c r="IDQ2197" s="10"/>
      <c r="IDR2197" s="10"/>
      <c r="IDS2197" s="10"/>
      <c r="IDT2197" s="10"/>
      <c r="IDU2197" s="10"/>
      <c r="IDV2197" s="10"/>
      <c r="IDW2197" s="10"/>
      <c r="IDX2197" s="10"/>
      <c r="IDY2197" s="10"/>
      <c r="IDZ2197" s="10"/>
      <c r="IEA2197" s="10"/>
      <c r="IEB2197" s="10"/>
      <c r="IEC2197" s="10"/>
      <c r="IED2197" s="10"/>
      <c r="IEE2197" s="10"/>
      <c r="IEF2197" s="10"/>
      <c r="IEG2197" s="10"/>
      <c r="IEH2197" s="10"/>
      <c r="IEI2197" s="10"/>
      <c r="IEJ2197" s="10"/>
      <c r="IEK2197" s="10"/>
      <c r="IEL2197" s="10"/>
      <c r="IEM2197" s="10"/>
      <c r="IEN2197" s="10"/>
      <c r="IEO2197" s="10"/>
      <c r="IEP2197" s="10"/>
      <c r="IEQ2197" s="10"/>
      <c r="IER2197" s="10"/>
      <c r="IES2197" s="10"/>
      <c r="IET2197" s="10"/>
      <c r="IEU2197" s="10"/>
      <c r="IEV2197" s="10"/>
      <c r="IEW2197" s="10"/>
      <c r="IEX2197" s="10"/>
      <c r="IEY2197" s="10"/>
      <c r="IEZ2197" s="10"/>
      <c r="IFA2197" s="10"/>
      <c r="IFB2197" s="10"/>
      <c r="IFC2197" s="10"/>
      <c r="IFD2197" s="10"/>
      <c r="IFE2197" s="10"/>
      <c r="IFF2197" s="10"/>
      <c r="IFG2197" s="10"/>
      <c r="IFH2197" s="10"/>
      <c r="IFI2197" s="10"/>
      <c r="IFJ2197" s="10"/>
      <c r="IFK2197" s="10"/>
      <c r="IFL2197" s="10"/>
      <c r="IFM2197" s="10"/>
      <c r="IFN2197" s="10"/>
      <c r="IFO2197" s="10"/>
      <c r="IFP2197" s="10"/>
      <c r="IFQ2197" s="10"/>
      <c r="IFR2197" s="10"/>
      <c r="IFS2197" s="10"/>
      <c r="IFT2197" s="10"/>
      <c r="IFU2197" s="10"/>
      <c r="IFV2197" s="10"/>
      <c r="IFW2197" s="10"/>
      <c r="IFX2197" s="10"/>
      <c r="IFY2197" s="10"/>
      <c r="IFZ2197" s="10"/>
      <c r="IGA2197" s="10"/>
      <c r="IGB2197" s="10"/>
      <c r="IGC2197" s="10"/>
      <c r="IGD2197" s="10"/>
      <c r="IGE2197" s="10"/>
      <c r="IGF2197" s="10"/>
      <c r="IGG2197" s="10"/>
      <c r="IGH2197" s="10"/>
      <c r="IGI2197" s="10"/>
      <c r="IGJ2197" s="10"/>
      <c r="IGK2197" s="10"/>
      <c r="IGL2197" s="10"/>
      <c r="IGM2197" s="10"/>
      <c r="IGN2197" s="10"/>
      <c r="IGO2197" s="10"/>
      <c r="IGP2197" s="10"/>
      <c r="IGQ2197" s="10"/>
      <c r="IGR2197" s="10"/>
      <c r="IGS2197" s="10"/>
      <c r="IGT2197" s="10"/>
      <c r="IGU2197" s="10"/>
      <c r="IGV2197" s="10"/>
      <c r="IGW2197" s="10"/>
      <c r="IGX2197" s="10"/>
      <c r="IGY2197" s="10"/>
      <c r="IGZ2197" s="10"/>
      <c r="IHA2197" s="10"/>
      <c r="IHB2197" s="10"/>
      <c r="IHC2197" s="10"/>
      <c r="IHD2197" s="10"/>
      <c r="IHE2197" s="10"/>
      <c r="IHF2197" s="10"/>
      <c r="IHG2197" s="10"/>
      <c r="IHH2197" s="10"/>
      <c r="IHI2197" s="10"/>
      <c r="IHJ2197" s="10"/>
      <c r="IHK2197" s="10"/>
      <c r="IHL2197" s="10"/>
      <c r="IHM2197" s="10"/>
      <c r="IHN2197" s="10"/>
      <c r="IHO2197" s="10"/>
      <c r="IHP2197" s="10"/>
      <c r="IHQ2197" s="10"/>
      <c r="IHR2197" s="10"/>
      <c r="IHS2197" s="10"/>
      <c r="IHT2197" s="10"/>
      <c r="IHU2197" s="10"/>
      <c r="IHV2197" s="10"/>
      <c r="IHW2197" s="10"/>
      <c r="IHX2197" s="10"/>
      <c r="IHY2197" s="10"/>
      <c r="IHZ2197" s="10"/>
      <c r="IIA2197" s="10"/>
      <c r="IIB2197" s="10"/>
      <c r="IIC2197" s="10"/>
      <c r="IID2197" s="10"/>
      <c r="IIE2197" s="10"/>
      <c r="IIF2197" s="10"/>
      <c r="IIG2197" s="10"/>
      <c r="IIH2197" s="10"/>
      <c r="III2197" s="10"/>
      <c r="IIJ2197" s="10"/>
      <c r="IIK2197" s="10"/>
      <c r="IIL2197" s="10"/>
      <c r="IIM2197" s="10"/>
      <c r="IIN2197" s="10"/>
      <c r="IIO2197" s="10"/>
      <c r="IIP2197" s="10"/>
      <c r="IIQ2197" s="10"/>
      <c r="IIR2197" s="10"/>
      <c r="IIS2197" s="10"/>
      <c r="IIT2197" s="10"/>
      <c r="IIU2197" s="10"/>
      <c r="IIV2197" s="10"/>
      <c r="IIW2197" s="10"/>
      <c r="IIX2197" s="10"/>
      <c r="IIY2197" s="10"/>
      <c r="IIZ2197" s="10"/>
      <c r="IJA2197" s="10"/>
      <c r="IJB2197" s="10"/>
      <c r="IJC2197" s="10"/>
      <c r="IJD2197" s="10"/>
      <c r="IJE2197" s="10"/>
      <c r="IJF2197" s="10"/>
      <c r="IJG2197" s="10"/>
      <c r="IJH2197" s="10"/>
      <c r="IJI2197" s="10"/>
      <c r="IJJ2197" s="10"/>
      <c r="IJK2197" s="10"/>
      <c r="IJL2197" s="10"/>
      <c r="IJM2197" s="10"/>
      <c r="IJN2197" s="10"/>
      <c r="IJO2197" s="10"/>
      <c r="IJP2197" s="10"/>
      <c r="IJQ2197" s="10"/>
      <c r="IJR2197" s="10"/>
      <c r="IJS2197" s="10"/>
      <c r="IJT2197" s="10"/>
      <c r="IJU2197" s="10"/>
      <c r="IJV2197" s="10"/>
      <c r="IJW2197" s="10"/>
      <c r="IJX2197" s="10"/>
      <c r="IJY2197" s="10"/>
      <c r="IJZ2197" s="10"/>
      <c r="IKA2197" s="10"/>
      <c r="IKB2197" s="10"/>
      <c r="IKC2197" s="10"/>
      <c r="IKD2197" s="10"/>
      <c r="IKE2197" s="10"/>
      <c r="IKF2197" s="10"/>
      <c r="IKG2197" s="10"/>
      <c r="IKH2197" s="10"/>
      <c r="IKI2197" s="10"/>
      <c r="IKJ2197" s="10"/>
      <c r="IKK2197" s="10"/>
      <c r="IKL2197" s="10"/>
      <c r="IKM2197" s="10"/>
      <c r="IKN2197" s="10"/>
      <c r="IKO2197" s="10"/>
      <c r="IKP2197" s="10"/>
      <c r="IKQ2197" s="10"/>
      <c r="IKR2197" s="10"/>
      <c r="IKS2197" s="10"/>
      <c r="IKT2197" s="10"/>
      <c r="IKU2197" s="10"/>
      <c r="IKV2197" s="10"/>
      <c r="IKW2197" s="10"/>
      <c r="IKX2197" s="10"/>
      <c r="IKY2197" s="10"/>
      <c r="IKZ2197" s="10"/>
      <c r="ILA2197" s="10"/>
      <c r="ILB2197" s="10"/>
      <c r="ILC2197" s="10"/>
      <c r="ILD2197" s="10"/>
      <c r="ILE2197" s="10"/>
      <c r="ILF2197" s="10"/>
      <c r="ILG2197" s="10"/>
      <c r="ILH2197" s="10"/>
      <c r="ILI2197" s="10"/>
      <c r="ILJ2197" s="10"/>
      <c r="ILK2197" s="10"/>
      <c r="ILL2197" s="10"/>
      <c r="ILM2197" s="10"/>
      <c r="ILN2197" s="10"/>
      <c r="ILO2197" s="10"/>
      <c r="ILP2197" s="10"/>
      <c r="ILQ2197" s="10"/>
      <c r="ILR2197" s="10"/>
      <c r="ILS2197" s="10"/>
      <c r="ILT2197" s="10"/>
      <c r="ILU2197" s="10"/>
      <c r="ILV2197" s="10"/>
      <c r="ILW2197" s="10"/>
      <c r="ILX2197" s="10"/>
      <c r="ILY2197" s="10"/>
      <c r="ILZ2197" s="10"/>
      <c r="IMA2197" s="10"/>
      <c r="IMB2197" s="10"/>
      <c r="IMC2197" s="10"/>
      <c r="IMD2197" s="10"/>
      <c r="IME2197" s="10"/>
      <c r="IMF2197" s="10"/>
      <c r="IMG2197" s="10"/>
      <c r="IMH2197" s="10"/>
      <c r="IMI2197" s="10"/>
      <c r="IMJ2197" s="10"/>
      <c r="IMK2197" s="10"/>
      <c r="IML2197" s="10"/>
      <c r="IMM2197" s="10"/>
      <c r="IMN2197" s="10"/>
      <c r="IMO2197" s="10"/>
      <c r="IMP2197" s="10"/>
      <c r="IMQ2197" s="10"/>
      <c r="IMR2197" s="10"/>
      <c r="IMS2197" s="10"/>
      <c r="IMT2197" s="10"/>
      <c r="IMU2197" s="10"/>
      <c r="IMV2197" s="10"/>
      <c r="IMW2197" s="10"/>
      <c r="IMX2197" s="10"/>
      <c r="IMY2197" s="10"/>
      <c r="IMZ2197" s="10"/>
      <c r="INA2197" s="10"/>
      <c r="INB2197" s="10"/>
      <c r="INC2197" s="10"/>
      <c r="IND2197" s="10"/>
      <c r="INE2197" s="10"/>
      <c r="INF2197" s="10"/>
      <c r="ING2197" s="10"/>
      <c r="INH2197" s="10"/>
      <c r="INI2197" s="10"/>
      <c r="INJ2197" s="10"/>
      <c r="INK2197" s="10"/>
      <c r="INL2197" s="10"/>
      <c r="INM2197" s="10"/>
      <c r="INN2197" s="10"/>
      <c r="INO2197" s="10"/>
      <c r="INP2197" s="10"/>
      <c r="INQ2197" s="10"/>
      <c r="INR2197" s="10"/>
      <c r="INS2197" s="10"/>
      <c r="INT2197" s="10"/>
      <c r="INU2197" s="10"/>
      <c r="INV2197" s="10"/>
      <c r="INW2197" s="10"/>
      <c r="INX2197" s="10"/>
      <c r="INY2197" s="10"/>
      <c r="INZ2197" s="10"/>
      <c r="IOA2197" s="10"/>
      <c r="IOB2197" s="10"/>
      <c r="IOC2197" s="10"/>
      <c r="IOD2197" s="10"/>
      <c r="IOE2197" s="10"/>
      <c r="IOF2197" s="10"/>
      <c r="IOG2197" s="10"/>
      <c r="IOH2197" s="10"/>
      <c r="IOI2197" s="10"/>
      <c r="IOJ2197" s="10"/>
      <c r="IOK2197" s="10"/>
      <c r="IOL2197" s="10"/>
      <c r="IOM2197" s="10"/>
      <c r="ION2197" s="10"/>
      <c r="IOO2197" s="10"/>
      <c r="IOP2197" s="10"/>
      <c r="IOQ2197" s="10"/>
      <c r="IOR2197" s="10"/>
      <c r="IOS2197" s="10"/>
      <c r="IOT2197" s="10"/>
      <c r="IOU2197" s="10"/>
      <c r="IOV2197" s="10"/>
      <c r="IOW2197" s="10"/>
      <c r="IOX2197" s="10"/>
      <c r="IOY2197" s="10"/>
      <c r="IOZ2197" s="10"/>
      <c r="IPA2197" s="10"/>
      <c r="IPB2197" s="10"/>
      <c r="IPC2197" s="10"/>
      <c r="IPD2197" s="10"/>
      <c r="IPE2197" s="10"/>
      <c r="IPF2197" s="10"/>
      <c r="IPG2197" s="10"/>
      <c r="IPH2197" s="10"/>
      <c r="IPI2197" s="10"/>
      <c r="IPJ2197" s="10"/>
      <c r="IPK2197" s="10"/>
      <c r="IPL2197" s="10"/>
      <c r="IPM2197" s="10"/>
      <c r="IPN2197" s="10"/>
      <c r="IPO2197" s="10"/>
      <c r="IPP2197" s="10"/>
      <c r="IPQ2197" s="10"/>
      <c r="IPR2197" s="10"/>
      <c r="IPS2197" s="10"/>
      <c r="IPT2197" s="10"/>
      <c r="IPU2197" s="10"/>
      <c r="IPV2197" s="10"/>
      <c r="IPW2197" s="10"/>
      <c r="IPX2197" s="10"/>
      <c r="IPY2197" s="10"/>
      <c r="IPZ2197" s="10"/>
      <c r="IQA2197" s="10"/>
      <c r="IQB2197" s="10"/>
      <c r="IQC2197" s="10"/>
      <c r="IQD2197" s="10"/>
      <c r="IQE2197" s="10"/>
      <c r="IQF2197" s="10"/>
      <c r="IQG2197" s="10"/>
      <c r="IQH2197" s="10"/>
      <c r="IQI2197" s="10"/>
      <c r="IQJ2197" s="10"/>
      <c r="IQK2197" s="10"/>
      <c r="IQL2197" s="10"/>
      <c r="IQM2197" s="10"/>
      <c r="IQN2197" s="10"/>
      <c r="IQO2197" s="10"/>
      <c r="IQP2197" s="10"/>
      <c r="IQQ2197" s="10"/>
      <c r="IQR2197" s="10"/>
      <c r="IQS2197" s="10"/>
      <c r="IQT2197" s="10"/>
      <c r="IQU2197" s="10"/>
      <c r="IQV2197" s="10"/>
      <c r="IQW2197" s="10"/>
      <c r="IQX2197" s="10"/>
      <c r="IQY2197" s="10"/>
      <c r="IQZ2197" s="10"/>
      <c r="IRA2197" s="10"/>
      <c r="IRB2197" s="10"/>
      <c r="IRC2197" s="10"/>
      <c r="IRD2197" s="10"/>
      <c r="IRE2197" s="10"/>
      <c r="IRF2197" s="10"/>
      <c r="IRG2197" s="10"/>
      <c r="IRH2197" s="10"/>
      <c r="IRI2197" s="10"/>
      <c r="IRJ2197" s="10"/>
      <c r="IRK2197" s="10"/>
      <c r="IRL2197" s="10"/>
      <c r="IRM2197" s="10"/>
      <c r="IRN2197" s="10"/>
      <c r="IRO2197" s="10"/>
      <c r="IRP2197" s="10"/>
      <c r="IRQ2197" s="10"/>
      <c r="IRR2197" s="10"/>
      <c r="IRS2197" s="10"/>
      <c r="IRT2197" s="10"/>
      <c r="IRU2197" s="10"/>
      <c r="IRV2197" s="10"/>
      <c r="IRW2197" s="10"/>
      <c r="IRX2197" s="10"/>
      <c r="IRY2197" s="10"/>
      <c r="IRZ2197" s="10"/>
      <c r="ISA2197" s="10"/>
      <c r="ISB2197" s="10"/>
      <c r="ISC2197" s="10"/>
      <c r="ISD2197" s="10"/>
      <c r="ISE2197" s="10"/>
      <c r="ISF2197" s="10"/>
      <c r="ISG2197" s="10"/>
      <c r="ISH2197" s="10"/>
      <c r="ISI2197" s="10"/>
      <c r="ISJ2197" s="10"/>
      <c r="ISK2197" s="10"/>
      <c r="ISL2197" s="10"/>
      <c r="ISM2197" s="10"/>
      <c r="ISN2197" s="10"/>
      <c r="ISO2197" s="10"/>
      <c r="ISP2197" s="10"/>
      <c r="ISQ2197" s="10"/>
      <c r="ISR2197" s="10"/>
      <c r="ISS2197" s="10"/>
      <c r="IST2197" s="10"/>
      <c r="ISU2197" s="10"/>
      <c r="ISV2197" s="10"/>
      <c r="ISW2197" s="10"/>
      <c r="ISX2197" s="10"/>
      <c r="ISY2197" s="10"/>
      <c r="ISZ2197" s="10"/>
      <c r="ITA2197" s="10"/>
      <c r="ITB2197" s="10"/>
      <c r="ITC2197" s="10"/>
      <c r="ITD2197" s="10"/>
      <c r="ITE2197" s="10"/>
      <c r="ITF2197" s="10"/>
      <c r="ITG2197" s="10"/>
      <c r="ITH2197" s="10"/>
      <c r="ITI2197" s="10"/>
      <c r="ITJ2197" s="10"/>
      <c r="ITK2197" s="10"/>
      <c r="ITL2197" s="10"/>
      <c r="ITM2197" s="10"/>
      <c r="ITN2197" s="10"/>
      <c r="ITO2197" s="10"/>
      <c r="ITP2197" s="10"/>
      <c r="ITQ2197" s="10"/>
      <c r="ITR2197" s="10"/>
      <c r="ITS2197" s="10"/>
      <c r="ITT2197" s="10"/>
      <c r="ITU2197" s="10"/>
      <c r="ITV2197" s="10"/>
      <c r="ITW2197" s="10"/>
      <c r="ITX2197" s="10"/>
      <c r="ITY2197" s="10"/>
      <c r="ITZ2197" s="10"/>
      <c r="IUA2197" s="10"/>
      <c r="IUB2197" s="10"/>
      <c r="IUC2197" s="10"/>
      <c r="IUD2197" s="10"/>
      <c r="IUE2197" s="10"/>
      <c r="IUF2197" s="10"/>
      <c r="IUG2197" s="10"/>
      <c r="IUH2197" s="10"/>
      <c r="IUI2197" s="10"/>
      <c r="IUJ2197" s="10"/>
      <c r="IUK2197" s="10"/>
      <c r="IUL2197" s="10"/>
      <c r="IUM2197" s="10"/>
      <c r="IUN2197" s="10"/>
      <c r="IUO2197" s="10"/>
      <c r="IUP2197" s="10"/>
      <c r="IUQ2197" s="10"/>
      <c r="IUR2197" s="10"/>
      <c r="IUS2197" s="10"/>
      <c r="IUT2197" s="10"/>
      <c r="IUU2197" s="10"/>
      <c r="IUV2197" s="10"/>
      <c r="IUW2197" s="10"/>
      <c r="IUX2197" s="10"/>
      <c r="IUY2197" s="10"/>
      <c r="IUZ2197" s="10"/>
      <c r="IVA2197" s="10"/>
      <c r="IVB2197" s="10"/>
      <c r="IVC2197" s="10"/>
      <c r="IVD2197" s="10"/>
      <c r="IVE2197" s="10"/>
      <c r="IVF2197" s="10"/>
      <c r="IVG2197" s="10"/>
      <c r="IVH2197" s="10"/>
      <c r="IVI2197" s="10"/>
      <c r="IVJ2197" s="10"/>
      <c r="IVK2197" s="10"/>
      <c r="IVL2197" s="10"/>
      <c r="IVM2197" s="10"/>
      <c r="IVN2197" s="10"/>
      <c r="IVO2197" s="10"/>
      <c r="IVP2197" s="10"/>
      <c r="IVQ2197" s="10"/>
      <c r="IVR2197" s="10"/>
      <c r="IVS2197" s="10"/>
      <c r="IVT2197" s="10"/>
      <c r="IVU2197" s="10"/>
      <c r="IVV2197" s="10"/>
      <c r="IVW2197" s="10"/>
      <c r="IVX2197" s="10"/>
      <c r="IVY2197" s="10"/>
      <c r="IVZ2197" s="10"/>
      <c r="IWA2197" s="10"/>
      <c r="IWB2197" s="10"/>
      <c r="IWC2197" s="10"/>
      <c r="IWD2197" s="10"/>
      <c r="IWE2197" s="10"/>
      <c r="IWF2197" s="10"/>
      <c r="IWG2197" s="10"/>
      <c r="IWH2197" s="10"/>
      <c r="IWI2197" s="10"/>
      <c r="IWJ2197" s="10"/>
      <c r="IWK2197" s="10"/>
      <c r="IWL2197" s="10"/>
      <c r="IWM2197" s="10"/>
      <c r="IWN2197" s="10"/>
      <c r="IWO2197" s="10"/>
      <c r="IWP2197" s="10"/>
      <c r="IWQ2197" s="10"/>
      <c r="IWR2197" s="10"/>
      <c r="IWS2197" s="10"/>
      <c r="IWT2197" s="10"/>
      <c r="IWU2197" s="10"/>
      <c r="IWV2197" s="10"/>
      <c r="IWW2197" s="10"/>
      <c r="IWX2197" s="10"/>
      <c r="IWY2197" s="10"/>
      <c r="IWZ2197" s="10"/>
      <c r="IXA2197" s="10"/>
      <c r="IXB2197" s="10"/>
      <c r="IXC2197" s="10"/>
      <c r="IXD2197" s="10"/>
      <c r="IXE2197" s="10"/>
      <c r="IXF2197" s="10"/>
      <c r="IXG2197" s="10"/>
      <c r="IXH2197" s="10"/>
      <c r="IXI2197" s="10"/>
      <c r="IXJ2197" s="10"/>
      <c r="IXK2197" s="10"/>
      <c r="IXL2197" s="10"/>
      <c r="IXM2197" s="10"/>
      <c r="IXN2197" s="10"/>
      <c r="IXO2197" s="10"/>
      <c r="IXP2197" s="10"/>
      <c r="IXQ2197" s="10"/>
      <c r="IXR2197" s="10"/>
      <c r="IXS2197" s="10"/>
      <c r="IXT2197" s="10"/>
      <c r="IXU2197" s="10"/>
      <c r="IXV2197" s="10"/>
      <c r="IXW2197" s="10"/>
      <c r="IXX2197" s="10"/>
      <c r="IXY2197" s="10"/>
      <c r="IXZ2197" s="10"/>
      <c r="IYA2197" s="10"/>
      <c r="IYB2197" s="10"/>
      <c r="IYC2197" s="10"/>
      <c r="IYD2197" s="10"/>
      <c r="IYE2197" s="10"/>
      <c r="IYF2197" s="10"/>
      <c r="IYG2197" s="10"/>
      <c r="IYH2197" s="10"/>
      <c r="IYI2197" s="10"/>
      <c r="IYJ2197" s="10"/>
      <c r="IYK2197" s="10"/>
      <c r="IYL2197" s="10"/>
      <c r="IYM2197" s="10"/>
      <c r="IYN2197" s="10"/>
      <c r="IYO2197" s="10"/>
      <c r="IYP2197" s="10"/>
      <c r="IYQ2197" s="10"/>
      <c r="IYR2197" s="10"/>
      <c r="IYS2197" s="10"/>
      <c r="IYT2197" s="10"/>
      <c r="IYU2197" s="10"/>
      <c r="IYV2197" s="10"/>
      <c r="IYW2197" s="10"/>
      <c r="IYX2197" s="10"/>
      <c r="IYY2197" s="10"/>
      <c r="IYZ2197" s="10"/>
      <c r="IZA2197" s="10"/>
      <c r="IZB2197" s="10"/>
      <c r="IZC2197" s="10"/>
      <c r="IZD2197" s="10"/>
      <c r="IZE2197" s="10"/>
      <c r="IZF2197" s="10"/>
      <c r="IZG2197" s="10"/>
      <c r="IZH2197" s="10"/>
      <c r="IZI2197" s="10"/>
      <c r="IZJ2197" s="10"/>
      <c r="IZK2197" s="10"/>
      <c r="IZL2197" s="10"/>
      <c r="IZM2197" s="10"/>
      <c r="IZN2197" s="10"/>
      <c r="IZO2197" s="10"/>
      <c r="IZP2197" s="10"/>
      <c r="IZQ2197" s="10"/>
      <c r="IZR2197" s="10"/>
      <c r="IZS2197" s="10"/>
      <c r="IZT2197" s="10"/>
      <c r="IZU2197" s="10"/>
      <c r="IZV2197" s="10"/>
      <c r="IZW2197" s="10"/>
      <c r="IZX2197" s="10"/>
      <c r="IZY2197" s="10"/>
      <c r="IZZ2197" s="10"/>
      <c r="JAA2197" s="10"/>
      <c r="JAB2197" s="10"/>
      <c r="JAC2197" s="10"/>
      <c r="JAD2197" s="10"/>
      <c r="JAE2197" s="10"/>
      <c r="JAF2197" s="10"/>
      <c r="JAG2197" s="10"/>
      <c r="JAH2197" s="10"/>
      <c r="JAI2197" s="10"/>
      <c r="JAJ2197" s="10"/>
      <c r="JAK2197" s="10"/>
      <c r="JAL2197" s="10"/>
      <c r="JAM2197" s="10"/>
      <c r="JAN2197" s="10"/>
      <c r="JAO2197" s="10"/>
      <c r="JAP2197" s="10"/>
      <c r="JAQ2197" s="10"/>
      <c r="JAR2197" s="10"/>
      <c r="JAS2197" s="10"/>
      <c r="JAT2197" s="10"/>
      <c r="JAU2197" s="10"/>
      <c r="JAV2197" s="10"/>
      <c r="JAW2197" s="10"/>
      <c r="JAX2197" s="10"/>
      <c r="JAY2197" s="10"/>
      <c r="JAZ2197" s="10"/>
      <c r="JBA2197" s="10"/>
      <c r="JBB2197" s="10"/>
      <c r="JBC2197" s="10"/>
      <c r="JBD2197" s="10"/>
      <c r="JBE2197" s="10"/>
      <c r="JBF2197" s="10"/>
      <c r="JBG2197" s="10"/>
      <c r="JBH2197" s="10"/>
      <c r="JBI2197" s="10"/>
      <c r="JBJ2197" s="10"/>
      <c r="JBK2197" s="10"/>
      <c r="JBL2197" s="10"/>
      <c r="JBM2197" s="10"/>
      <c r="JBN2197" s="10"/>
      <c r="JBO2197" s="10"/>
      <c r="JBP2197" s="10"/>
      <c r="JBQ2197" s="10"/>
      <c r="JBR2197" s="10"/>
      <c r="JBS2197" s="10"/>
      <c r="JBT2197" s="10"/>
      <c r="JBU2197" s="10"/>
      <c r="JBV2197" s="10"/>
      <c r="JBW2197" s="10"/>
      <c r="JBX2197" s="10"/>
      <c r="JBY2197" s="10"/>
      <c r="JBZ2197" s="10"/>
      <c r="JCA2197" s="10"/>
      <c r="JCB2197" s="10"/>
      <c r="JCC2197" s="10"/>
      <c r="JCD2197" s="10"/>
      <c r="JCE2197" s="10"/>
      <c r="JCF2197" s="10"/>
      <c r="JCG2197" s="10"/>
      <c r="JCH2197" s="10"/>
      <c r="JCI2197" s="10"/>
      <c r="JCJ2197" s="10"/>
      <c r="JCK2197" s="10"/>
      <c r="JCL2197" s="10"/>
      <c r="JCM2197" s="10"/>
      <c r="JCN2197" s="10"/>
      <c r="JCO2197" s="10"/>
      <c r="JCP2197" s="10"/>
      <c r="JCQ2197" s="10"/>
      <c r="JCR2197" s="10"/>
      <c r="JCS2197" s="10"/>
      <c r="JCT2197" s="10"/>
      <c r="JCU2197" s="10"/>
      <c r="JCV2197" s="10"/>
      <c r="JCW2197" s="10"/>
      <c r="JCX2197" s="10"/>
      <c r="JCY2197" s="10"/>
      <c r="JCZ2197" s="10"/>
      <c r="JDA2197" s="10"/>
      <c r="JDB2197" s="10"/>
      <c r="JDC2197" s="10"/>
      <c r="JDD2197" s="10"/>
      <c r="JDE2197" s="10"/>
      <c r="JDF2197" s="10"/>
      <c r="JDG2197" s="10"/>
      <c r="JDH2197" s="10"/>
      <c r="JDI2197" s="10"/>
      <c r="JDJ2197" s="10"/>
      <c r="JDK2197" s="10"/>
      <c r="JDL2197" s="10"/>
      <c r="JDM2197" s="10"/>
      <c r="JDN2197" s="10"/>
      <c r="JDO2197" s="10"/>
      <c r="JDP2197" s="10"/>
      <c r="JDQ2197" s="10"/>
      <c r="JDR2197" s="10"/>
      <c r="JDS2197" s="10"/>
      <c r="JDT2197" s="10"/>
      <c r="JDU2197" s="10"/>
      <c r="JDV2197" s="10"/>
      <c r="JDW2197" s="10"/>
      <c r="JDX2197" s="10"/>
      <c r="JDY2197" s="10"/>
      <c r="JDZ2197" s="10"/>
      <c r="JEA2197" s="10"/>
      <c r="JEB2197" s="10"/>
      <c r="JEC2197" s="10"/>
      <c r="JED2197" s="10"/>
      <c r="JEE2197" s="10"/>
      <c r="JEF2197" s="10"/>
      <c r="JEG2197" s="10"/>
      <c r="JEH2197" s="10"/>
      <c r="JEI2197" s="10"/>
      <c r="JEJ2197" s="10"/>
      <c r="JEK2197" s="10"/>
      <c r="JEL2197" s="10"/>
      <c r="JEM2197" s="10"/>
      <c r="JEN2197" s="10"/>
      <c r="JEO2197" s="10"/>
      <c r="JEP2197" s="10"/>
      <c r="JEQ2197" s="10"/>
      <c r="JER2197" s="10"/>
      <c r="JES2197" s="10"/>
      <c r="JET2197" s="10"/>
      <c r="JEU2197" s="10"/>
      <c r="JEV2197" s="10"/>
      <c r="JEW2197" s="10"/>
      <c r="JEX2197" s="10"/>
      <c r="JEY2197" s="10"/>
      <c r="JEZ2197" s="10"/>
      <c r="JFA2197" s="10"/>
      <c r="JFB2197" s="10"/>
      <c r="JFC2197" s="10"/>
      <c r="JFD2197" s="10"/>
      <c r="JFE2197" s="10"/>
      <c r="JFF2197" s="10"/>
      <c r="JFG2197" s="10"/>
      <c r="JFH2197" s="10"/>
      <c r="JFI2197" s="10"/>
      <c r="JFJ2197" s="10"/>
      <c r="JFK2197" s="10"/>
      <c r="JFL2197" s="10"/>
      <c r="JFM2197" s="10"/>
      <c r="JFN2197" s="10"/>
      <c r="JFO2197" s="10"/>
      <c r="JFP2197" s="10"/>
      <c r="JFQ2197" s="10"/>
      <c r="JFR2197" s="10"/>
      <c r="JFS2197" s="10"/>
      <c r="JFT2197" s="10"/>
      <c r="JFU2197" s="10"/>
      <c r="JFV2197" s="10"/>
      <c r="JFW2197" s="10"/>
      <c r="JFX2197" s="10"/>
      <c r="JFY2197" s="10"/>
      <c r="JFZ2197" s="10"/>
      <c r="JGA2197" s="10"/>
      <c r="JGB2197" s="10"/>
      <c r="JGC2197" s="10"/>
      <c r="JGD2197" s="10"/>
      <c r="JGE2197" s="10"/>
      <c r="JGF2197" s="10"/>
      <c r="JGG2197" s="10"/>
      <c r="JGH2197" s="10"/>
      <c r="JGI2197" s="10"/>
      <c r="JGJ2197" s="10"/>
      <c r="JGK2197" s="10"/>
      <c r="JGL2197" s="10"/>
      <c r="JGM2197" s="10"/>
      <c r="JGN2197" s="10"/>
      <c r="JGO2197" s="10"/>
      <c r="JGP2197" s="10"/>
      <c r="JGQ2197" s="10"/>
      <c r="JGR2197" s="10"/>
      <c r="JGS2197" s="10"/>
      <c r="JGT2197" s="10"/>
      <c r="JGU2197" s="10"/>
      <c r="JGV2197" s="10"/>
      <c r="JGW2197" s="10"/>
      <c r="JGX2197" s="10"/>
      <c r="JGY2197" s="10"/>
      <c r="JGZ2197" s="10"/>
      <c r="JHA2197" s="10"/>
      <c r="JHB2197" s="10"/>
      <c r="JHC2197" s="10"/>
      <c r="JHD2197" s="10"/>
      <c r="JHE2197" s="10"/>
      <c r="JHF2197" s="10"/>
      <c r="JHG2197" s="10"/>
      <c r="JHH2197" s="10"/>
      <c r="JHI2197" s="10"/>
      <c r="JHJ2197" s="10"/>
      <c r="JHK2197" s="10"/>
      <c r="JHL2197" s="10"/>
      <c r="JHM2197" s="10"/>
      <c r="JHN2197" s="10"/>
      <c r="JHO2197" s="10"/>
      <c r="JHP2197" s="10"/>
      <c r="JHQ2197" s="10"/>
      <c r="JHR2197" s="10"/>
      <c r="JHS2197" s="10"/>
      <c r="JHT2197" s="10"/>
      <c r="JHU2197" s="10"/>
      <c r="JHV2197" s="10"/>
      <c r="JHW2197" s="10"/>
      <c r="JHX2197" s="10"/>
      <c r="JHY2197" s="10"/>
      <c r="JHZ2197" s="10"/>
      <c r="JIA2197" s="10"/>
      <c r="JIB2197" s="10"/>
      <c r="JIC2197" s="10"/>
      <c r="JID2197" s="10"/>
      <c r="JIE2197" s="10"/>
      <c r="JIF2197" s="10"/>
      <c r="JIG2197" s="10"/>
      <c r="JIH2197" s="10"/>
      <c r="JII2197" s="10"/>
      <c r="JIJ2197" s="10"/>
      <c r="JIK2197" s="10"/>
      <c r="JIL2197" s="10"/>
      <c r="JIM2197" s="10"/>
      <c r="JIN2197" s="10"/>
      <c r="JIO2197" s="10"/>
      <c r="JIP2197" s="10"/>
      <c r="JIQ2197" s="10"/>
      <c r="JIR2197" s="10"/>
      <c r="JIS2197" s="10"/>
      <c r="JIT2197" s="10"/>
      <c r="JIU2197" s="10"/>
      <c r="JIV2197" s="10"/>
      <c r="JIW2197" s="10"/>
      <c r="JIX2197" s="10"/>
      <c r="JIY2197" s="10"/>
      <c r="JIZ2197" s="10"/>
      <c r="JJA2197" s="10"/>
      <c r="JJB2197" s="10"/>
      <c r="JJC2197" s="10"/>
      <c r="JJD2197" s="10"/>
      <c r="JJE2197" s="10"/>
      <c r="JJF2197" s="10"/>
      <c r="JJG2197" s="10"/>
      <c r="JJH2197" s="10"/>
      <c r="JJI2197" s="10"/>
      <c r="JJJ2197" s="10"/>
      <c r="JJK2197" s="10"/>
      <c r="JJL2197" s="10"/>
      <c r="JJM2197" s="10"/>
      <c r="JJN2197" s="10"/>
      <c r="JJO2197" s="10"/>
      <c r="JJP2197" s="10"/>
      <c r="JJQ2197" s="10"/>
      <c r="JJR2197" s="10"/>
      <c r="JJS2197" s="10"/>
      <c r="JJT2197" s="10"/>
      <c r="JJU2197" s="10"/>
      <c r="JJV2197" s="10"/>
      <c r="JJW2197" s="10"/>
      <c r="JJX2197" s="10"/>
      <c r="JJY2197" s="10"/>
      <c r="JJZ2197" s="10"/>
      <c r="JKA2197" s="10"/>
      <c r="JKB2197" s="10"/>
      <c r="JKC2197" s="10"/>
      <c r="JKD2197" s="10"/>
      <c r="JKE2197" s="10"/>
      <c r="JKF2197" s="10"/>
      <c r="JKG2197" s="10"/>
      <c r="JKH2197" s="10"/>
      <c r="JKI2197" s="10"/>
      <c r="JKJ2197" s="10"/>
      <c r="JKK2197" s="10"/>
      <c r="JKL2197" s="10"/>
      <c r="JKM2197" s="10"/>
      <c r="JKN2197" s="10"/>
      <c r="JKO2197" s="10"/>
      <c r="JKP2197" s="10"/>
      <c r="JKQ2197" s="10"/>
      <c r="JKR2197" s="10"/>
      <c r="JKS2197" s="10"/>
      <c r="JKT2197" s="10"/>
      <c r="JKU2197" s="10"/>
      <c r="JKV2197" s="10"/>
      <c r="JKW2197" s="10"/>
      <c r="JKX2197" s="10"/>
      <c r="JKY2197" s="10"/>
      <c r="JKZ2197" s="10"/>
      <c r="JLA2197" s="10"/>
      <c r="JLB2197" s="10"/>
      <c r="JLC2197" s="10"/>
      <c r="JLD2197" s="10"/>
      <c r="JLE2197" s="10"/>
      <c r="JLF2197" s="10"/>
      <c r="JLG2197" s="10"/>
      <c r="JLH2197" s="10"/>
      <c r="JLI2197" s="10"/>
      <c r="JLJ2197" s="10"/>
      <c r="JLK2197" s="10"/>
      <c r="JLL2197" s="10"/>
      <c r="JLM2197" s="10"/>
      <c r="JLN2197" s="10"/>
      <c r="JLO2197" s="10"/>
      <c r="JLP2197" s="10"/>
      <c r="JLQ2197" s="10"/>
      <c r="JLR2197" s="10"/>
      <c r="JLS2197" s="10"/>
      <c r="JLT2197" s="10"/>
      <c r="JLU2197" s="10"/>
      <c r="JLV2197" s="10"/>
      <c r="JLW2197" s="10"/>
      <c r="JLX2197" s="10"/>
      <c r="JLY2197" s="10"/>
      <c r="JLZ2197" s="10"/>
      <c r="JMA2197" s="10"/>
      <c r="JMB2197" s="10"/>
      <c r="JMC2197" s="10"/>
      <c r="JMD2197" s="10"/>
      <c r="JME2197" s="10"/>
      <c r="JMF2197" s="10"/>
      <c r="JMG2197" s="10"/>
      <c r="JMH2197" s="10"/>
      <c r="JMI2197" s="10"/>
      <c r="JMJ2197" s="10"/>
      <c r="JMK2197" s="10"/>
      <c r="JML2197" s="10"/>
      <c r="JMM2197" s="10"/>
      <c r="JMN2197" s="10"/>
      <c r="JMO2197" s="10"/>
      <c r="JMP2197" s="10"/>
      <c r="JMQ2197" s="10"/>
      <c r="JMR2197" s="10"/>
      <c r="JMS2197" s="10"/>
      <c r="JMT2197" s="10"/>
      <c r="JMU2197" s="10"/>
      <c r="JMV2197" s="10"/>
      <c r="JMW2197" s="10"/>
      <c r="JMX2197" s="10"/>
      <c r="JMY2197" s="10"/>
      <c r="JMZ2197" s="10"/>
      <c r="JNA2197" s="10"/>
      <c r="JNB2197" s="10"/>
      <c r="JNC2197" s="10"/>
      <c r="JND2197" s="10"/>
      <c r="JNE2197" s="10"/>
      <c r="JNF2197" s="10"/>
      <c r="JNG2197" s="10"/>
      <c r="JNH2197" s="10"/>
      <c r="JNI2197" s="10"/>
      <c r="JNJ2197" s="10"/>
      <c r="JNK2197" s="10"/>
      <c r="JNL2197" s="10"/>
      <c r="JNM2197" s="10"/>
      <c r="JNN2197" s="10"/>
      <c r="JNO2197" s="10"/>
      <c r="JNP2197" s="10"/>
      <c r="JNQ2197" s="10"/>
      <c r="JNR2197" s="10"/>
      <c r="JNS2197" s="10"/>
      <c r="JNT2197" s="10"/>
      <c r="JNU2197" s="10"/>
      <c r="JNV2197" s="10"/>
      <c r="JNW2197" s="10"/>
      <c r="JNX2197" s="10"/>
      <c r="JNY2197" s="10"/>
      <c r="JNZ2197" s="10"/>
      <c r="JOA2197" s="10"/>
      <c r="JOB2197" s="10"/>
      <c r="JOC2197" s="10"/>
      <c r="JOD2197" s="10"/>
      <c r="JOE2197" s="10"/>
      <c r="JOF2197" s="10"/>
      <c r="JOG2197" s="10"/>
      <c r="JOH2197" s="10"/>
      <c r="JOI2197" s="10"/>
      <c r="JOJ2197" s="10"/>
      <c r="JOK2197" s="10"/>
      <c r="JOL2197" s="10"/>
      <c r="JOM2197" s="10"/>
      <c r="JON2197" s="10"/>
      <c r="JOO2197" s="10"/>
      <c r="JOP2197" s="10"/>
      <c r="JOQ2197" s="10"/>
      <c r="JOR2197" s="10"/>
      <c r="JOS2197" s="10"/>
      <c r="JOT2197" s="10"/>
      <c r="JOU2197" s="10"/>
      <c r="JOV2197" s="10"/>
      <c r="JOW2197" s="10"/>
      <c r="JOX2197" s="10"/>
      <c r="JOY2197" s="10"/>
      <c r="JOZ2197" s="10"/>
      <c r="JPA2197" s="10"/>
      <c r="JPB2197" s="10"/>
      <c r="JPC2197" s="10"/>
      <c r="JPD2197" s="10"/>
      <c r="JPE2197" s="10"/>
      <c r="JPF2197" s="10"/>
      <c r="JPG2197" s="10"/>
      <c r="JPH2197" s="10"/>
      <c r="JPI2197" s="10"/>
      <c r="JPJ2197" s="10"/>
      <c r="JPK2197" s="10"/>
      <c r="JPL2197" s="10"/>
      <c r="JPM2197" s="10"/>
      <c r="JPN2197" s="10"/>
      <c r="JPO2197" s="10"/>
      <c r="JPP2197" s="10"/>
      <c r="JPQ2197" s="10"/>
      <c r="JPR2197" s="10"/>
      <c r="JPS2197" s="10"/>
      <c r="JPT2197" s="10"/>
      <c r="JPU2197" s="10"/>
      <c r="JPV2197" s="10"/>
      <c r="JPW2197" s="10"/>
      <c r="JPX2197" s="10"/>
      <c r="JPY2197" s="10"/>
      <c r="JPZ2197" s="10"/>
      <c r="JQA2197" s="10"/>
      <c r="JQB2197" s="10"/>
      <c r="JQC2197" s="10"/>
      <c r="JQD2197" s="10"/>
      <c r="JQE2197" s="10"/>
      <c r="JQF2197" s="10"/>
      <c r="JQG2197" s="10"/>
      <c r="JQH2197" s="10"/>
      <c r="JQI2197" s="10"/>
      <c r="JQJ2197" s="10"/>
      <c r="JQK2197" s="10"/>
      <c r="JQL2197" s="10"/>
      <c r="JQM2197" s="10"/>
      <c r="JQN2197" s="10"/>
      <c r="JQO2197" s="10"/>
      <c r="JQP2197" s="10"/>
      <c r="JQQ2197" s="10"/>
      <c r="JQR2197" s="10"/>
      <c r="JQS2197" s="10"/>
      <c r="JQT2197" s="10"/>
      <c r="JQU2197" s="10"/>
      <c r="JQV2197" s="10"/>
      <c r="JQW2197" s="10"/>
      <c r="JQX2197" s="10"/>
      <c r="JQY2197" s="10"/>
      <c r="JQZ2197" s="10"/>
      <c r="JRA2197" s="10"/>
      <c r="JRB2197" s="10"/>
      <c r="JRC2197" s="10"/>
      <c r="JRD2197" s="10"/>
      <c r="JRE2197" s="10"/>
      <c r="JRF2197" s="10"/>
      <c r="JRG2197" s="10"/>
      <c r="JRH2197" s="10"/>
      <c r="JRI2197" s="10"/>
      <c r="JRJ2197" s="10"/>
      <c r="JRK2197" s="10"/>
      <c r="JRL2197" s="10"/>
      <c r="JRM2197" s="10"/>
      <c r="JRN2197" s="10"/>
      <c r="JRO2197" s="10"/>
      <c r="JRP2197" s="10"/>
      <c r="JRQ2197" s="10"/>
      <c r="JRR2197" s="10"/>
      <c r="JRS2197" s="10"/>
      <c r="JRT2197" s="10"/>
      <c r="JRU2197" s="10"/>
      <c r="JRV2197" s="10"/>
      <c r="JRW2197" s="10"/>
      <c r="JRX2197" s="10"/>
      <c r="JRY2197" s="10"/>
      <c r="JRZ2197" s="10"/>
      <c r="JSA2197" s="10"/>
      <c r="JSB2197" s="10"/>
      <c r="JSC2197" s="10"/>
      <c r="JSD2197" s="10"/>
      <c r="JSE2197" s="10"/>
      <c r="JSF2197" s="10"/>
      <c r="JSG2197" s="10"/>
      <c r="JSH2197" s="10"/>
      <c r="JSI2197" s="10"/>
      <c r="JSJ2197" s="10"/>
      <c r="JSK2197" s="10"/>
      <c r="JSL2197" s="10"/>
      <c r="JSM2197" s="10"/>
      <c r="JSN2197" s="10"/>
      <c r="JSO2197" s="10"/>
      <c r="JSP2197" s="10"/>
      <c r="JSQ2197" s="10"/>
      <c r="JSR2197" s="10"/>
      <c r="JSS2197" s="10"/>
      <c r="JST2197" s="10"/>
      <c r="JSU2197" s="10"/>
      <c r="JSV2197" s="10"/>
      <c r="JSW2197" s="10"/>
      <c r="JSX2197" s="10"/>
      <c r="JSY2197" s="10"/>
      <c r="JSZ2197" s="10"/>
      <c r="JTA2197" s="10"/>
      <c r="JTB2197" s="10"/>
      <c r="JTC2197" s="10"/>
      <c r="JTD2197" s="10"/>
      <c r="JTE2197" s="10"/>
      <c r="JTF2197" s="10"/>
      <c r="JTG2197" s="10"/>
      <c r="JTH2197" s="10"/>
      <c r="JTI2197" s="10"/>
      <c r="JTJ2197" s="10"/>
      <c r="JTK2197" s="10"/>
      <c r="JTL2197" s="10"/>
      <c r="JTM2197" s="10"/>
      <c r="JTN2197" s="10"/>
      <c r="JTO2197" s="10"/>
      <c r="JTP2197" s="10"/>
      <c r="JTQ2197" s="10"/>
      <c r="JTR2197" s="10"/>
      <c r="JTS2197" s="10"/>
      <c r="JTT2197" s="10"/>
      <c r="JTU2197" s="10"/>
      <c r="JTV2197" s="10"/>
      <c r="JTW2197" s="10"/>
      <c r="JTX2197" s="10"/>
      <c r="JTY2197" s="10"/>
      <c r="JTZ2197" s="10"/>
      <c r="JUA2197" s="10"/>
      <c r="JUB2197" s="10"/>
      <c r="JUC2197" s="10"/>
      <c r="JUD2197" s="10"/>
      <c r="JUE2197" s="10"/>
      <c r="JUF2197" s="10"/>
      <c r="JUG2197" s="10"/>
      <c r="JUH2197" s="10"/>
      <c r="JUI2197" s="10"/>
      <c r="JUJ2197" s="10"/>
      <c r="JUK2197" s="10"/>
      <c r="JUL2197" s="10"/>
      <c r="JUM2197" s="10"/>
      <c r="JUN2197" s="10"/>
      <c r="JUO2197" s="10"/>
      <c r="JUP2197" s="10"/>
      <c r="JUQ2197" s="10"/>
      <c r="JUR2197" s="10"/>
      <c r="JUS2197" s="10"/>
      <c r="JUT2197" s="10"/>
      <c r="JUU2197" s="10"/>
      <c r="JUV2197" s="10"/>
      <c r="JUW2197" s="10"/>
      <c r="JUX2197" s="10"/>
      <c r="JUY2197" s="10"/>
      <c r="JUZ2197" s="10"/>
      <c r="JVA2197" s="10"/>
      <c r="JVB2197" s="10"/>
      <c r="JVC2197" s="10"/>
      <c r="JVD2197" s="10"/>
      <c r="JVE2197" s="10"/>
      <c r="JVF2197" s="10"/>
      <c r="JVG2197" s="10"/>
      <c r="JVH2197" s="10"/>
      <c r="JVI2197" s="10"/>
      <c r="JVJ2197" s="10"/>
      <c r="JVK2197" s="10"/>
      <c r="JVL2197" s="10"/>
      <c r="JVM2197" s="10"/>
      <c r="JVN2197" s="10"/>
      <c r="JVO2197" s="10"/>
      <c r="JVP2197" s="10"/>
      <c r="JVQ2197" s="10"/>
      <c r="JVR2197" s="10"/>
      <c r="JVS2197" s="10"/>
      <c r="JVT2197" s="10"/>
      <c r="JVU2197" s="10"/>
      <c r="JVV2197" s="10"/>
      <c r="JVW2197" s="10"/>
      <c r="JVX2197" s="10"/>
      <c r="JVY2197" s="10"/>
      <c r="JVZ2197" s="10"/>
      <c r="JWA2197" s="10"/>
      <c r="JWB2197" s="10"/>
      <c r="JWC2197" s="10"/>
      <c r="JWD2197" s="10"/>
      <c r="JWE2197" s="10"/>
      <c r="JWF2197" s="10"/>
      <c r="JWG2197" s="10"/>
      <c r="JWH2197" s="10"/>
      <c r="JWI2197" s="10"/>
      <c r="JWJ2197" s="10"/>
      <c r="JWK2197" s="10"/>
      <c r="JWL2197" s="10"/>
      <c r="JWM2197" s="10"/>
      <c r="JWN2197" s="10"/>
      <c r="JWO2197" s="10"/>
      <c r="JWP2197" s="10"/>
      <c r="JWQ2197" s="10"/>
      <c r="JWR2197" s="10"/>
      <c r="JWS2197" s="10"/>
      <c r="JWT2197" s="10"/>
      <c r="JWU2197" s="10"/>
      <c r="JWV2197" s="10"/>
      <c r="JWW2197" s="10"/>
      <c r="JWX2197" s="10"/>
      <c r="JWY2197" s="10"/>
      <c r="JWZ2197" s="10"/>
      <c r="JXA2197" s="10"/>
      <c r="JXB2197" s="10"/>
      <c r="JXC2197" s="10"/>
      <c r="JXD2197" s="10"/>
      <c r="JXE2197" s="10"/>
      <c r="JXF2197" s="10"/>
      <c r="JXG2197" s="10"/>
      <c r="JXH2197" s="10"/>
      <c r="JXI2197" s="10"/>
      <c r="JXJ2197" s="10"/>
      <c r="JXK2197" s="10"/>
      <c r="JXL2197" s="10"/>
      <c r="JXM2197" s="10"/>
      <c r="JXN2197" s="10"/>
      <c r="JXO2197" s="10"/>
      <c r="JXP2197" s="10"/>
      <c r="JXQ2197" s="10"/>
      <c r="JXR2197" s="10"/>
      <c r="JXS2197" s="10"/>
      <c r="JXT2197" s="10"/>
      <c r="JXU2197" s="10"/>
      <c r="JXV2197" s="10"/>
      <c r="JXW2197" s="10"/>
      <c r="JXX2197" s="10"/>
      <c r="JXY2197" s="10"/>
      <c r="JXZ2197" s="10"/>
      <c r="JYA2197" s="10"/>
      <c r="JYB2197" s="10"/>
      <c r="JYC2197" s="10"/>
      <c r="JYD2197" s="10"/>
      <c r="JYE2197" s="10"/>
      <c r="JYF2197" s="10"/>
      <c r="JYG2197" s="10"/>
      <c r="JYH2197" s="10"/>
      <c r="JYI2197" s="10"/>
      <c r="JYJ2197" s="10"/>
      <c r="JYK2197" s="10"/>
      <c r="JYL2197" s="10"/>
      <c r="JYM2197" s="10"/>
      <c r="JYN2197" s="10"/>
      <c r="JYO2197" s="10"/>
      <c r="JYP2197" s="10"/>
      <c r="JYQ2197" s="10"/>
      <c r="JYR2197" s="10"/>
      <c r="JYS2197" s="10"/>
      <c r="JYT2197" s="10"/>
      <c r="JYU2197" s="10"/>
      <c r="JYV2197" s="10"/>
      <c r="JYW2197" s="10"/>
      <c r="JYX2197" s="10"/>
      <c r="JYY2197" s="10"/>
      <c r="JYZ2197" s="10"/>
      <c r="JZA2197" s="10"/>
      <c r="JZB2197" s="10"/>
      <c r="JZC2197" s="10"/>
      <c r="JZD2197" s="10"/>
      <c r="JZE2197" s="10"/>
      <c r="JZF2197" s="10"/>
      <c r="JZG2197" s="10"/>
      <c r="JZH2197" s="10"/>
      <c r="JZI2197" s="10"/>
      <c r="JZJ2197" s="10"/>
      <c r="JZK2197" s="10"/>
      <c r="JZL2197" s="10"/>
      <c r="JZM2197" s="10"/>
      <c r="JZN2197" s="10"/>
      <c r="JZO2197" s="10"/>
      <c r="JZP2197" s="10"/>
      <c r="JZQ2197" s="10"/>
      <c r="JZR2197" s="10"/>
      <c r="JZS2197" s="10"/>
      <c r="JZT2197" s="10"/>
      <c r="JZU2197" s="10"/>
      <c r="JZV2197" s="10"/>
      <c r="JZW2197" s="10"/>
      <c r="JZX2197" s="10"/>
      <c r="JZY2197" s="10"/>
      <c r="JZZ2197" s="10"/>
      <c r="KAA2197" s="10"/>
      <c r="KAB2197" s="10"/>
      <c r="KAC2197" s="10"/>
      <c r="KAD2197" s="10"/>
      <c r="KAE2197" s="10"/>
      <c r="KAF2197" s="10"/>
      <c r="KAG2197" s="10"/>
      <c r="KAH2197" s="10"/>
      <c r="KAI2197" s="10"/>
      <c r="KAJ2197" s="10"/>
      <c r="KAK2197" s="10"/>
      <c r="KAL2197" s="10"/>
      <c r="KAM2197" s="10"/>
      <c r="KAN2197" s="10"/>
      <c r="KAO2197" s="10"/>
      <c r="KAP2197" s="10"/>
      <c r="KAQ2197" s="10"/>
      <c r="KAR2197" s="10"/>
      <c r="KAS2197" s="10"/>
      <c r="KAT2197" s="10"/>
      <c r="KAU2197" s="10"/>
      <c r="KAV2197" s="10"/>
      <c r="KAW2197" s="10"/>
      <c r="KAX2197" s="10"/>
      <c r="KAY2197" s="10"/>
      <c r="KAZ2197" s="10"/>
      <c r="KBA2197" s="10"/>
      <c r="KBB2197" s="10"/>
      <c r="KBC2197" s="10"/>
      <c r="KBD2197" s="10"/>
      <c r="KBE2197" s="10"/>
      <c r="KBF2197" s="10"/>
      <c r="KBG2197" s="10"/>
      <c r="KBH2197" s="10"/>
      <c r="KBI2197" s="10"/>
      <c r="KBJ2197" s="10"/>
      <c r="KBK2197" s="10"/>
      <c r="KBL2197" s="10"/>
      <c r="KBM2197" s="10"/>
      <c r="KBN2197" s="10"/>
      <c r="KBO2197" s="10"/>
      <c r="KBP2197" s="10"/>
      <c r="KBQ2197" s="10"/>
      <c r="KBR2197" s="10"/>
      <c r="KBS2197" s="10"/>
      <c r="KBT2197" s="10"/>
      <c r="KBU2197" s="10"/>
      <c r="KBV2197" s="10"/>
      <c r="KBW2197" s="10"/>
      <c r="KBX2197" s="10"/>
      <c r="KBY2197" s="10"/>
      <c r="KBZ2197" s="10"/>
      <c r="KCA2197" s="10"/>
      <c r="KCB2197" s="10"/>
      <c r="KCC2197" s="10"/>
      <c r="KCD2197" s="10"/>
      <c r="KCE2197" s="10"/>
      <c r="KCF2197" s="10"/>
      <c r="KCG2197" s="10"/>
      <c r="KCH2197" s="10"/>
      <c r="KCI2197" s="10"/>
      <c r="KCJ2197" s="10"/>
      <c r="KCK2197" s="10"/>
      <c r="KCL2197" s="10"/>
      <c r="KCM2197" s="10"/>
      <c r="KCN2197" s="10"/>
      <c r="KCO2197" s="10"/>
      <c r="KCP2197" s="10"/>
      <c r="KCQ2197" s="10"/>
      <c r="KCR2197" s="10"/>
      <c r="KCS2197" s="10"/>
      <c r="KCT2197" s="10"/>
      <c r="KCU2197" s="10"/>
      <c r="KCV2197" s="10"/>
      <c r="KCW2197" s="10"/>
      <c r="KCX2197" s="10"/>
      <c r="KCY2197" s="10"/>
      <c r="KCZ2197" s="10"/>
      <c r="KDA2197" s="10"/>
      <c r="KDB2197" s="10"/>
      <c r="KDC2197" s="10"/>
      <c r="KDD2197" s="10"/>
      <c r="KDE2197" s="10"/>
      <c r="KDF2197" s="10"/>
      <c r="KDG2197" s="10"/>
      <c r="KDH2197" s="10"/>
      <c r="KDI2197" s="10"/>
      <c r="KDJ2197" s="10"/>
      <c r="KDK2197" s="10"/>
      <c r="KDL2197" s="10"/>
      <c r="KDM2197" s="10"/>
      <c r="KDN2197" s="10"/>
      <c r="KDO2197" s="10"/>
      <c r="KDP2197" s="10"/>
      <c r="KDQ2197" s="10"/>
      <c r="KDR2197" s="10"/>
      <c r="KDS2197" s="10"/>
      <c r="KDT2197" s="10"/>
      <c r="KDU2197" s="10"/>
      <c r="KDV2197" s="10"/>
      <c r="KDW2197" s="10"/>
      <c r="KDX2197" s="10"/>
      <c r="KDY2197" s="10"/>
      <c r="KDZ2197" s="10"/>
      <c r="KEA2197" s="10"/>
      <c r="KEB2197" s="10"/>
      <c r="KEC2197" s="10"/>
      <c r="KED2197" s="10"/>
      <c r="KEE2197" s="10"/>
      <c r="KEF2197" s="10"/>
      <c r="KEG2197" s="10"/>
      <c r="KEH2197" s="10"/>
      <c r="KEI2197" s="10"/>
      <c r="KEJ2197" s="10"/>
      <c r="KEK2197" s="10"/>
      <c r="KEL2197" s="10"/>
      <c r="KEM2197" s="10"/>
      <c r="KEN2197" s="10"/>
      <c r="KEO2197" s="10"/>
      <c r="KEP2197" s="10"/>
      <c r="KEQ2197" s="10"/>
      <c r="KER2197" s="10"/>
      <c r="KES2197" s="10"/>
      <c r="KET2197" s="10"/>
      <c r="KEU2197" s="10"/>
      <c r="KEV2197" s="10"/>
      <c r="KEW2197" s="10"/>
      <c r="KEX2197" s="10"/>
      <c r="KEY2197" s="10"/>
      <c r="KEZ2197" s="10"/>
      <c r="KFA2197" s="10"/>
      <c r="KFB2197" s="10"/>
      <c r="KFC2197" s="10"/>
      <c r="KFD2197" s="10"/>
      <c r="KFE2197" s="10"/>
      <c r="KFF2197" s="10"/>
      <c r="KFG2197" s="10"/>
      <c r="KFH2197" s="10"/>
      <c r="KFI2197" s="10"/>
      <c r="KFJ2197" s="10"/>
      <c r="KFK2197" s="10"/>
      <c r="KFL2197" s="10"/>
      <c r="KFM2197" s="10"/>
      <c r="KFN2197" s="10"/>
      <c r="KFO2197" s="10"/>
      <c r="KFP2197" s="10"/>
      <c r="KFQ2197" s="10"/>
      <c r="KFR2197" s="10"/>
      <c r="KFS2197" s="10"/>
      <c r="KFT2197" s="10"/>
      <c r="KFU2197" s="10"/>
      <c r="KFV2197" s="10"/>
      <c r="KFW2197" s="10"/>
      <c r="KFX2197" s="10"/>
      <c r="KFY2197" s="10"/>
      <c r="KFZ2197" s="10"/>
      <c r="KGA2197" s="10"/>
      <c r="KGB2197" s="10"/>
      <c r="KGC2197" s="10"/>
      <c r="KGD2197" s="10"/>
      <c r="KGE2197" s="10"/>
      <c r="KGF2197" s="10"/>
      <c r="KGG2197" s="10"/>
      <c r="KGH2197" s="10"/>
      <c r="KGI2197" s="10"/>
      <c r="KGJ2197" s="10"/>
      <c r="KGK2197" s="10"/>
      <c r="KGL2197" s="10"/>
      <c r="KGM2197" s="10"/>
      <c r="KGN2197" s="10"/>
      <c r="KGO2197" s="10"/>
      <c r="KGP2197" s="10"/>
      <c r="KGQ2197" s="10"/>
      <c r="KGR2197" s="10"/>
      <c r="KGS2197" s="10"/>
      <c r="KGT2197" s="10"/>
      <c r="KGU2197" s="10"/>
      <c r="KGV2197" s="10"/>
      <c r="KGW2197" s="10"/>
      <c r="KGX2197" s="10"/>
      <c r="KGY2197" s="10"/>
      <c r="KGZ2197" s="10"/>
      <c r="KHA2197" s="10"/>
      <c r="KHB2197" s="10"/>
      <c r="KHC2197" s="10"/>
      <c r="KHD2197" s="10"/>
      <c r="KHE2197" s="10"/>
      <c r="KHF2197" s="10"/>
      <c r="KHG2197" s="10"/>
      <c r="KHH2197" s="10"/>
      <c r="KHI2197" s="10"/>
      <c r="KHJ2197" s="10"/>
      <c r="KHK2197" s="10"/>
      <c r="KHL2197" s="10"/>
      <c r="KHM2197" s="10"/>
      <c r="KHN2197" s="10"/>
      <c r="KHO2197" s="10"/>
      <c r="KHP2197" s="10"/>
      <c r="KHQ2197" s="10"/>
      <c r="KHR2197" s="10"/>
      <c r="KHS2197" s="10"/>
      <c r="KHT2197" s="10"/>
      <c r="KHU2197" s="10"/>
      <c r="KHV2197" s="10"/>
      <c r="KHW2197" s="10"/>
      <c r="KHX2197" s="10"/>
      <c r="KHY2197" s="10"/>
      <c r="KHZ2197" s="10"/>
      <c r="KIA2197" s="10"/>
      <c r="KIB2197" s="10"/>
      <c r="KIC2197" s="10"/>
      <c r="KID2197" s="10"/>
      <c r="KIE2197" s="10"/>
      <c r="KIF2197" s="10"/>
      <c r="KIG2197" s="10"/>
      <c r="KIH2197" s="10"/>
      <c r="KII2197" s="10"/>
      <c r="KIJ2197" s="10"/>
      <c r="KIK2197" s="10"/>
      <c r="KIL2197" s="10"/>
      <c r="KIM2197" s="10"/>
      <c r="KIN2197" s="10"/>
      <c r="KIO2197" s="10"/>
      <c r="KIP2197" s="10"/>
      <c r="KIQ2197" s="10"/>
      <c r="KIR2197" s="10"/>
      <c r="KIS2197" s="10"/>
      <c r="KIT2197" s="10"/>
      <c r="KIU2197" s="10"/>
      <c r="KIV2197" s="10"/>
      <c r="KIW2197" s="10"/>
      <c r="KIX2197" s="10"/>
      <c r="KIY2197" s="10"/>
      <c r="KIZ2197" s="10"/>
      <c r="KJA2197" s="10"/>
      <c r="KJB2197" s="10"/>
      <c r="KJC2197" s="10"/>
      <c r="KJD2197" s="10"/>
      <c r="KJE2197" s="10"/>
      <c r="KJF2197" s="10"/>
      <c r="KJG2197" s="10"/>
      <c r="KJH2197" s="10"/>
      <c r="KJI2197" s="10"/>
      <c r="KJJ2197" s="10"/>
      <c r="KJK2197" s="10"/>
      <c r="KJL2197" s="10"/>
      <c r="KJM2197" s="10"/>
      <c r="KJN2197" s="10"/>
      <c r="KJO2197" s="10"/>
      <c r="KJP2197" s="10"/>
      <c r="KJQ2197" s="10"/>
      <c r="KJR2197" s="10"/>
      <c r="KJS2197" s="10"/>
      <c r="KJT2197" s="10"/>
      <c r="KJU2197" s="10"/>
      <c r="KJV2197" s="10"/>
      <c r="KJW2197" s="10"/>
      <c r="KJX2197" s="10"/>
      <c r="KJY2197" s="10"/>
      <c r="KJZ2197" s="10"/>
      <c r="KKA2197" s="10"/>
      <c r="KKB2197" s="10"/>
      <c r="KKC2197" s="10"/>
      <c r="KKD2197" s="10"/>
      <c r="KKE2197" s="10"/>
      <c r="KKF2197" s="10"/>
      <c r="KKG2197" s="10"/>
      <c r="KKH2197" s="10"/>
      <c r="KKI2197" s="10"/>
      <c r="KKJ2197" s="10"/>
      <c r="KKK2197" s="10"/>
      <c r="KKL2197" s="10"/>
      <c r="KKM2197" s="10"/>
      <c r="KKN2197" s="10"/>
      <c r="KKO2197" s="10"/>
      <c r="KKP2197" s="10"/>
      <c r="KKQ2197" s="10"/>
      <c r="KKR2197" s="10"/>
      <c r="KKS2197" s="10"/>
      <c r="KKT2197" s="10"/>
      <c r="KKU2197" s="10"/>
      <c r="KKV2197" s="10"/>
      <c r="KKW2197" s="10"/>
      <c r="KKX2197" s="10"/>
      <c r="KKY2197" s="10"/>
      <c r="KKZ2197" s="10"/>
      <c r="KLA2197" s="10"/>
      <c r="KLB2197" s="10"/>
      <c r="KLC2197" s="10"/>
      <c r="KLD2197" s="10"/>
      <c r="KLE2197" s="10"/>
      <c r="KLF2197" s="10"/>
      <c r="KLG2197" s="10"/>
      <c r="KLH2197" s="10"/>
      <c r="KLI2197" s="10"/>
      <c r="KLJ2197" s="10"/>
      <c r="KLK2197" s="10"/>
      <c r="KLL2197" s="10"/>
      <c r="KLM2197" s="10"/>
      <c r="KLN2197" s="10"/>
      <c r="KLO2197" s="10"/>
      <c r="KLP2197" s="10"/>
      <c r="KLQ2197" s="10"/>
      <c r="KLR2197" s="10"/>
      <c r="KLS2197" s="10"/>
      <c r="KLT2197" s="10"/>
      <c r="KLU2197" s="10"/>
      <c r="KLV2197" s="10"/>
      <c r="KLW2197" s="10"/>
      <c r="KLX2197" s="10"/>
      <c r="KLY2197" s="10"/>
      <c r="KLZ2197" s="10"/>
      <c r="KMA2197" s="10"/>
      <c r="KMB2197" s="10"/>
      <c r="KMC2197" s="10"/>
      <c r="KMD2197" s="10"/>
      <c r="KME2197" s="10"/>
      <c r="KMF2197" s="10"/>
      <c r="KMG2197" s="10"/>
      <c r="KMH2197" s="10"/>
      <c r="KMI2197" s="10"/>
      <c r="KMJ2197" s="10"/>
      <c r="KMK2197" s="10"/>
      <c r="KML2197" s="10"/>
      <c r="KMM2197" s="10"/>
      <c r="KMN2197" s="10"/>
      <c r="KMO2197" s="10"/>
      <c r="KMP2197" s="10"/>
      <c r="KMQ2197" s="10"/>
      <c r="KMR2197" s="10"/>
      <c r="KMS2197" s="10"/>
      <c r="KMT2197" s="10"/>
      <c r="KMU2197" s="10"/>
      <c r="KMV2197" s="10"/>
      <c r="KMW2197" s="10"/>
      <c r="KMX2197" s="10"/>
      <c r="KMY2197" s="10"/>
      <c r="KMZ2197" s="10"/>
      <c r="KNA2197" s="10"/>
      <c r="KNB2197" s="10"/>
      <c r="KNC2197" s="10"/>
      <c r="KND2197" s="10"/>
      <c r="KNE2197" s="10"/>
      <c r="KNF2197" s="10"/>
      <c r="KNG2197" s="10"/>
      <c r="KNH2197" s="10"/>
      <c r="KNI2197" s="10"/>
      <c r="KNJ2197" s="10"/>
      <c r="KNK2197" s="10"/>
      <c r="KNL2197" s="10"/>
      <c r="KNM2197" s="10"/>
      <c r="KNN2197" s="10"/>
      <c r="KNO2197" s="10"/>
      <c r="KNP2197" s="10"/>
      <c r="KNQ2197" s="10"/>
      <c r="KNR2197" s="10"/>
      <c r="KNS2197" s="10"/>
      <c r="KNT2197" s="10"/>
      <c r="KNU2197" s="10"/>
      <c r="KNV2197" s="10"/>
      <c r="KNW2197" s="10"/>
      <c r="KNX2197" s="10"/>
      <c r="KNY2197" s="10"/>
      <c r="KNZ2197" s="10"/>
      <c r="KOA2197" s="10"/>
      <c r="KOB2197" s="10"/>
      <c r="KOC2197" s="10"/>
      <c r="KOD2197" s="10"/>
      <c r="KOE2197" s="10"/>
      <c r="KOF2197" s="10"/>
      <c r="KOG2197" s="10"/>
      <c r="KOH2197" s="10"/>
      <c r="KOI2197" s="10"/>
      <c r="KOJ2197" s="10"/>
      <c r="KOK2197" s="10"/>
      <c r="KOL2197" s="10"/>
      <c r="KOM2197" s="10"/>
      <c r="KON2197" s="10"/>
      <c r="KOO2197" s="10"/>
      <c r="KOP2197" s="10"/>
      <c r="KOQ2197" s="10"/>
      <c r="KOR2197" s="10"/>
      <c r="KOS2197" s="10"/>
      <c r="KOT2197" s="10"/>
      <c r="KOU2197" s="10"/>
      <c r="KOV2197" s="10"/>
      <c r="KOW2197" s="10"/>
      <c r="KOX2197" s="10"/>
      <c r="KOY2197" s="10"/>
      <c r="KOZ2197" s="10"/>
      <c r="KPA2197" s="10"/>
      <c r="KPB2197" s="10"/>
      <c r="KPC2197" s="10"/>
      <c r="KPD2197" s="10"/>
      <c r="KPE2197" s="10"/>
      <c r="KPF2197" s="10"/>
      <c r="KPG2197" s="10"/>
      <c r="KPH2197" s="10"/>
      <c r="KPI2197" s="10"/>
      <c r="KPJ2197" s="10"/>
      <c r="KPK2197" s="10"/>
      <c r="KPL2197" s="10"/>
      <c r="KPM2197" s="10"/>
      <c r="KPN2197" s="10"/>
      <c r="KPO2197" s="10"/>
      <c r="KPP2197" s="10"/>
      <c r="KPQ2197" s="10"/>
      <c r="KPR2197" s="10"/>
      <c r="KPS2197" s="10"/>
      <c r="KPT2197" s="10"/>
      <c r="KPU2197" s="10"/>
      <c r="KPV2197" s="10"/>
      <c r="KPW2197" s="10"/>
      <c r="KPX2197" s="10"/>
      <c r="KPY2197" s="10"/>
      <c r="KPZ2197" s="10"/>
      <c r="KQA2197" s="10"/>
      <c r="KQB2197" s="10"/>
      <c r="KQC2197" s="10"/>
      <c r="KQD2197" s="10"/>
      <c r="KQE2197" s="10"/>
      <c r="KQF2197" s="10"/>
      <c r="KQG2197" s="10"/>
      <c r="KQH2197" s="10"/>
      <c r="KQI2197" s="10"/>
      <c r="KQJ2197" s="10"/>
      <c r="KQK2197" s="10"/>
      <c r="KQL2197" s="10"/>
      <c r="KQM2197" s="10"/>
      <c r="KQN2197" s="10"/>
      <c r="KQO2197" s="10"/>
      <c r="KQP2197" s="10"/>
      <c r="KQQ2197" s="10"/>
      <c r="KQR2197" s="10"/>
      <c r="KQS2197" s="10"/>
      <c r="KQT2197" s="10"/>
      <c r="KQU2197" s="10"/>
      <c r="KQV2197" s="10"/>
      <c r="KQW2197" s="10"/>
      <c r="KQX2197" s="10"/>
      <c r="KQY2197" s="10"/>
      <c r="KQZ2197" s="10"/>
      <c r="KRA2197" s="10"/>
      <c r="KRB2197" s="10"/>
      <c r="KRC2197" s="10"/>
      <c r="KRD2197" s="10"/>
      <c r="KRE2197" s="10"/>
      <c r="KRF2197" s="10"/>
      <c r="KRG2197" s="10"/>
      <c r="KRH2197" s="10"/>
      <c r="KRI2197" s="10"/>
      <c r="KRJ2197" s="10"/>
      <c r="KRK2197" s="10"/>
      <c r="KRL2197" s="10"/>
      <c r="KRM2197" s="10"/>
      <c r="KRN2197" s="10"/>
      <c r="KRO2197" s="10"/>
      <c r="KRP2197" s="10"/>
      <c r="KRQ2197" s="10"/>
      <c r="KRR2197" s="10"/>
      <c r="KRS2197" s="10"/>
      <c r="KRT2197" s="10"/>
      <c r="KRU2197" s="10"/>
      <c r="KRV2197" s="10"/>
      <c r="KRW2197" s="10"/>
      <c r="KRX2197" s="10"/>
      <c r="KRY2197" s="10"/>
      <c r="KRZ2197" s="10"/>
      <c r="KSA2197" s="10"/>
      <c r="KSB2197" s="10"/>
      <c r="KSC2197" s="10"/>
      <c r="KSD2197" s="10"/>
      <c r="KSE2197" s="10"/>
      <c r="KSF2197" s="10"/>
      <c r="KSG2197" s="10"/>
      <c r="KSH2197" s="10"/>
      <c r="KSI2197" s="10"/>
      <c r="KSJ2197" s="10"/>
      <c r="KSK2197" s="10"/>
      <c r="KSL2197" s="10"/>
      <c r="KSM2197" s="10"/>
      <c r="KSN2197" s="10"/>
      <c r="KSO2197" s="10"/>
      <c r="KSP2197" s="10"/>
      <c r="KSQ2197" s="10"/>
      <c r="KSR2197" s="10"/>
      <c r="KSS2197" s="10"/>
      <c r="KST2197" s="10"/>
      <c r="KSU2197" s="10"/>
      <c r="KSV2197" s="10"/>
      <c r="KSW2197" s="10"/>
      <c r="KSX2197" s="10"/>
      <c r="KSY2197" s="10"/>
      <c r="KSZ2197" s="10"/>
      <c r="KTA2197" s="10"/>
      <c r="KTB2197" s="10"/>
      <c r="KTC2197" s="10"/>
      <c r="KTD2197" s="10"/>
      <c r="KTE2197" s="10"/>
      <c r="KTF2197" s="10"/>
      <c r="KTG2197" s="10"/>
      <c r="KTH2197" s="10"/>
      <c r="KTI2197" s="10"/>
      <c r="KTJ2197" s="10"/>
      <c r="KTK2197" s="10"/>
      <c r="KTL2197" s="10"/>
      <c r="KTM2197" s="10"/>
      <c r="KTN2197" s="10"/>
      <c r="KTO2197" s="10"/>
      <c r="KTP2197" s="10"/>
      <c r="KTQ2197" s="10"/>
      <c r="KTR2197" s="10"/>
      <c r="KTS2197" s="10"/>
      <c r="KTT2197" s="10"/>
      <c r="KTU2197" s="10"/>
      <c r="KTV2197" s="10"/>
      <c r="KTW2197" s="10"/>
      <c r="KTX2197" s="10"/>
      <c r="KTY2197" s="10"/>
      <c r="KTZ2197" s="10"/>
      <c r="KUA2197" s="10"/>
      <c r="KUB2197" s="10"/>
      <c r="KUC2197" s="10"/>
      <c r="KUD2197" s="10"/>
      <c r="KUE2197" s="10"/>
      <c r="KUF2197" s="10"/>
      <c r="KUG2197" s="10"/>
      <c r="KUH2197" s="10"/>
      <c r="KUI2197" s="10"/>
      <c r="KUJ2197" s="10"/>
      <c r="KUK2197" s="10"/>
      <c r="KUL2197" s="10"/>
      <c r="KUM2197" s="10"/>
      <c r="KUN2197" s="10"/>
      <c r="KUO2197" s="10"/>
      <c r="KUP2197" s="10"/>
      <c r="KUQ2197" s="10"/>
      <c r="KUR2197" s="10"/>
      <c r="KUS2197" s="10"/>
      <c r="KUT2197" s="10"/>
      <c r="KUU2197" s="10"/>
      <c r="KUV2197" s="10"/>
      <c r="KUW2197" s="10"/>
      <c r="KUX2197" s="10"/>
      <c r="KUY2197" s="10"/>
      <c r="KUZ2197" s="10"/>
      <c r="KVA2197" s="10"/>
      <c r="KVB2197" s="10"/>
      <c r="KVC2197" s="10"/>
      <c r="KVD2197" s="10"/>
      <c r="KVE2197" s="10"/>
      <c r="KVF2197" s="10"/>
      <c r="KVG2197" s="10"/>
      <c r="KVH2197" s="10"/>
      <c r="KVI2197" s="10"/>
      <c r="KVJ2197" s="10"/>
      <c r="KVK2197" s="10"/>
      <c r="KVL2197" s="10"/>
      <c r="KVM2197" s="10"/>
      <c r="KVN2197" s="10"/>
      <c r="KVO2197" s="10"/>
      <c r="KVP2197" s="10"/>
      <c r="KVQ2197" s="10"/>
      <c r="KVR2197" s="10"/>
      <c r="KVS2197" s="10"/>
      <c r="KVT2197" s="10"/>
      <c r="KVU2197" s="10"/>
      <c r="KVV2197" s="10"/>
      <c r="KVW2197" s="10"/>
      <c r="KVX2197" s="10"/>
      <c r="KVY2197" s="10"/>
      <c r="KVZ2197" s="10"/>
      <c r="KWA2197" s="10"/>
      <c r="KWB2197" s="10"/>
      <c r="KWC2197" s="10"/>
      <c r="KWD2197" s="10"/>
      <c r="KWE2197" s="10"/>
      <c r="KWF2197" s="10"/>
      <c r="KWG2197" s="10"/>
      <c r="KWH2197" s="10"/>
      <c r="KWI2197" s="10"/>
      <c r="KWJ2197" s="10"/>
      <c r="KWK2197" s="10"/>
      <c r="KWL2197" s="10"/>
      <c r="KWM2197" s="10"/>
      <c r="KWN2197" s="10"/>
      <c r="KWO2197" s="10"/>
      <c r="KWP2197" s="10"/>
      <c r="KWQ2197" s="10"/>
      <c r="KWR2197" s="10"/>
      <c r="KWS2197" s="10"/>
      <c r="KWT2197" s="10"/>
      <c r="KWU2197" s="10"/>
      <c r="KWV2197" s="10"/>
      <c r="KWW2197" s="10"/>
      <c r="KWX2197" s="10"/>
      <c r="KWY2197" s="10"/>
      <c r="KWZ2197" s="10"/>
      <c r="KXA2197" s="10"/>
      <c r="KXB2197" s="10"/>
      <c r="KXC2197" s="10"/>
      <c r="KXD2197" s="10"/>
      <c r="KXE2197" s="10"/>
      <c r="KXF2197" s="10"/>
      <c r="KXG2197" s="10"/>
      <c r="KXH2197" s="10"/>
      <c r="KXI2197" s="10"/>
      <c r="KXJ2197" s="10"/>
      <c r="KXK2197" s="10"/>
      <c r="KXL2197" s="10"/>
      <c r="KXM2197" s="10"/>
      <c r="KXN2197" s="10"/>
      <c r="KXO2197" s="10"/>
      <c r="KXP2197" s="10"/>
      <c r="KXQ2197" s="10"/>
      <c r="KXR2197" s="10"/>
      <c r="KXS2197" s="10"/>
      <c r="KXT2197" s="10"/>
      <c r="KXU2197" s="10"/>
      <c r="KXV2197" s="10"/>
      <c r="KXW2197" s="10"/>
      <c r="KXX2197" s="10"/>
      <c r="KXY2197" s="10"/>
      <c r="KXZ2197" s="10"/>
      <c r="KYA2197" s="10"/>
      <c r="KYB2197" s="10"/>
      <c r="KYC2197" s="10"/>
      <c r="KYD2197" s="10"/>
      <c r="KYE2197" s="10"/>
      <c r="KYF2197" s="10"/>
      <c r="KYG2197" s="10"/>
      <c r="KYH2197" s="10"/>
      <c r="KYI2197" s="10"/>
      <c r="KYJ2197" s="10"/>
      <c r="KYK2197" s="10"/>
      <c r="KYL2197" s="10"/>
      <c r="KYM2197" s="10"/>
      <c r="KYN2197" s="10"/>
      <c r="KYO2197" s="10"/>
      <c r="KYP2197" s="10"/>
      <c r="KYQ2197" s="10"/>
      <c r="KYR2197" s="10"/>
      <c r="KYS2197" s="10"/>
      <c r="KYT2197" s="10"/>
      <c r="KYU2197" s="10"/>
      <c r="KYV2197" s="10"/>
      <c r="KYW2197" s="10"/>
      <c r="KYX2197" s="10"/>
      <c r="KYY2197" s="10"/>
      <c r="KYZ2197" s="10"/>
      <c r="KZA2197" s="10"/>
      <c r="KZB2197" s="10"/>
      <c r="KZC2197" s="10"/>
      <c r="KZD2197" s="10"/>
      <c r="KZE2197" s="10"/>
      <c r="KZF2197" s="10"/>
      <c r="KZG2197" s="10"/>
      <c r="KZH2197" s="10"/>
      <c r="KZI2197" s="10"/>
      <c r="KZJ2197" s="10"/>
      <c r="KZK2197" s="10"/>
      <c r="KZL2197" s="10"/>
      <c r="KZM2197" s="10"/>
      <c r="KZN2197" s="10"/>
      <c r="KZO2197" s="10"/>
      <c r="KZP2197" s="10"/>
      <c r="KZQ2197" s="10"/>
      <c r="KZR2197" s="10"/>
      <c r="KZS2197" s="10"/>
      <c r="KZT2197" s="10"/>
      <c r="KZU2197" s="10"/>
      <c r="KZV2197" s="10"/>
      <c r="KZW2197" s="10"/>
      <c r="KZX2197" s="10"/>
      <c r="KZY2197" s="10"/>
      <c r="KZZ2197" s="10"/>
      <c r="LAA2197" s="10"/>
      <c r="LAB2197" s="10"/>
      <c r="LAC2197" s="10"/>
      <c r="LAD2197" s="10"/>
      <c r="LAE2197" s="10"/>
      <c r="LAF2197" s="10"/>
      <c r="LAG2197" s="10"/>
      <c r="LAH2197" s="10"/>
      <c r="LAI2197" s="10"/>
      <c r="LAJ2197" s="10"/>
      <c r="LAK2197" s="10"/>
      <c r="LAL2197" s="10"/>
      <c r="LAM2197" s="10"/>
      <c r="LAN2197" s="10"/>
      <c r="LAO2197" s="10"/>
      <c r="LAP2197" s="10"/>
      <c r="LAQ2197" s="10"/>
      <c r="LAR2197" s="10"/>
      <c r="LAS2197" s="10"/>
      <c r="LAT2197" s="10"/>
      <c r="LAU2197" s="10"/>
      <c r="LAV2197" s="10"/>
      <c r="LAW2197" s="10"/>
      <c r="LAX2197" s="10"/>
      <c r="LAY2197" s="10"/>
      <c r="LAZ2197" s="10"/>
      <c r="LBA2197" s="10"/>
      <c r="LBB2197" s="10"/>
      <c r="LBC2197" s="10"/>
      <c r="LBD2197" s="10"/>
      <c r="LBE2197" s="10"/>
      <c r="LBF2197" s="10"/>
      <c r="LBG2197" s="10"/>
      <c r="LBH2197" s="10"/>
      <c r="LBI2197" s="10"/>
      <c r="LBJ2197" s="10"/>
      <c r="LBK2197" s="10"/>
      <c r="LBL2197" s="10"/>
      <c r="LBM2197" s="10"/>
      <c r="LBN2197" s="10"/>
      <c r="LBO2197" s="10"/>
      <c r="LBP2197" s="10"/>
      <c r="LBQ2197" s="10"/>
      <c r="LBR2197" s="10"/>
      <c r="LBS2197" s="10"/>
      <c r="LBT2197" s="10"/>
      <c r="LBU2197" s="10"/>
      <c r="LBV2197" s="10"/>
      <c r="LBW2197" s="10"/>
      <c r="LBX2197" s="10"/>
      <c r="LBY2197" s="10"/>
      <c r="LBZ2197" s="10"/>
      <c r="LCA2197" s="10"/>
      <c r="LCB2197" s="10"/>
      <c r="LCC2197" s="10"/>
      <c r="LCD2197" s="10"/>
      <c r="LCE2197" s="10"/>
      <c r="LCF2197" s="10"/>
      <c r="LCG2197" s="10"/>
      <c r="LCH2197" s="10"/>
      <c r="LCI2197" s="10"/>
      <c r="LCJ2197" s="10"/>
      <c r="LCK2197" s="10"/>
      <c r="LCL2197" s="10"/>
      <c r="LCM2197" s="10"/>
      <c r="LCN2197" s="10"/>
      <c r="LCO2197" s="10"/>
      <c r="LCP2197" s="10"/>
      <c r="LCQ2197" s="10"/>
      <c r="LCR2197" s="10"/>
      <c r="LCS2197" s="10"/>
      <c r="LCT2197" s="10"/>
      <c r="LCU2197" s="10"/>
      <c r="LCV2197" s="10"/>
      <c r="LCW2197" s="10"/>
      <c r="LCX2197" s="10"/>
      <c r="LCY2197" s="10"/>
      <c r="LCZ2197" s="10"/>
      <c r="LDA2197" s="10"/>
      <c r="LDB2197" s="10"/>
      <c r="LDC2197" s="10"/>
      <c r="LDD2197" s="10"/>
      <c r="LDE2197" s="10"/>
      <c r="LDF2197" s="10"/>
      <c r="LDG2197" s="10"/>
      <c r="LDH2197" s="10"/>
      <c r="LDI2197" s="10"/>
      <c r="LDJ2197" s="10"/>
      <c r="LDK2197" s="10"/>
      <c r="LDL2197" s="10"/>
      <c r="LDM2197" s="10"/>
      <c r="LDN2197" s="10"/>
      <c r="LDO2197" s="10"/>
      <c r="LDP2197" s="10"/>
      <c r="LDQ2197" s="10"/>
      <c r="LDR2197" s="10"/>
      <c r="LDS2197" s="10"/>
      <c r="LDT2197" s="10"/>
      <c r="LDU2197" s="10"/>
      <c r="LDV2197" s="10"/>
      <c r="LDW2197" s="10"/>
      <c r="LDX2197" s="10"/>
      <c r="LDY2197" s="10"/>
      <c r="LDZ2197" s="10"/>
      <c r="LEA2197" s="10"/>
      <c r="LEB2197" s="10"/>
      <c r="LEC2197" s="10"/>
      <c r="LED2197" s="10"/>
      <c r="LEE2197" s="10"/>
      <c r="LEF2197" s="10"/>
      <c r="LEG2197" s="10"/>
      <c r="LEH2197" s="10"/>
      <c r="LEI2197" s="10"/>
      <c r="LEJ2197" s="10"/>
      <c r="LEK2197" s="10"/>
      <c r="LEL2197" s="10"/>
      <c r="LEM2197" s="10"/>
      <c r="LEN2197" s="10"/>
      <c r="LEO2197" s="10"/>
      <c r="LEP2197" s="10"/>
      <c r="LEQ2197" s="10"/>
      <c r="LER2197" s="10"/>
      <c r="LES2197" s="10"/>
      <c r="LET2197" s="10"/>
      <c r="LEU2197" s="10"/>
      <c r="LEV2197" s="10"/>
      <c r="LEW2197" s="10"/>
      <c r="LEX2197" s="10"/>
      <c r="LEY2197" s="10"/>
      <c r="LEZ2197" s="10"/>
      <c r="LFA2197" s="10"/>
      <c r="LFB2197" s="10"/>
      <c r="LFC2197" s="10"/>
      <c r="LFD2197" s="10"/>
      <c r="LFE2197" s="10"/>
      <c r="LFF2197" s="10"/>
      <c r="LFG2197" s="10"/>
      <c r="LFH2197" s="10"/>
      <c r="LFI2197" s="10"/>
      <c r="LFJ2197" s="10"/>
      <c r="LFK2197" s="10"/>
      <c r="LFL2197" s="10"/>
      <c r="LFM2197" s="10"/>
      <c r="LFN2197" s="10"/>
      <c r="LFO2197" s="10"/>
      <c r="LFP2197" s="10"/>
      <c r="LFQ2197" s="10"/>
      <c r="LFR2197" s="10"/>
      <c r="LFS2197" s="10"/>
      <c r="LFT2197" s="10"/>
      <c r="LFU2197" s="10"/>
      <c r="LFV2197" s="10"/>
      <c r="LFW2197" s="10"/>
      <c r="LFX2197" s="10"/>
      <c r="LFY2197" s="10"/>
      <c r="LFZ2197" s="10"/>
      <c r="LGA2197" s="10"/>
      <c r="LGB2197" s="10"/>
      <c r="LGC2197" s="10"/>
      <c r="LGD2197" s="10"/>
      <c r="LGE2197" s="10"/>
      <c r="LGF2197" s="10"/>
      <c r="LGG2197" s="10"/>
      <c r="LGH2197" s="10"/>
      <c r="LGI2197" s="10"/>
      <c r="LGJ2197" s="10"/>
      <c r="LGK2197" s="10"/>
      <c r="LGL2197" s="10"/>
      <c r="LGM2197" s="10"/>
      <c r="LGN2197" s="10"/>
      <c r="LGO2197" s="10"/>
      <c r="LGP2197" s="10"/>
      <c r="LGQ2197" s="10"/>
      <c r="LGR2197" s="10"/>
      <c r="LGS2197" s="10"/>
      <c r="LGT2197" s="10"/>
      <c r="LGU2197" s="10"/>
      <c r="LGV2197" s="10"/>
      <c r="LGW2197" s="10"/>
      <c r="LGX2197" s="10"/>
      <c r="LGY2197" s="10"/>
      <c r="LGZ2197" s="10"/>
      <c r="LHA2197" s="10"/>
      <c r="LHB2197" s="10"/>
      <c r="LHC2197" s="10"/>
      <c r="LHD2197" s="10"/>
      <c r="LHE2197" s="10"/>
      <c r="LHF2197" s="10"/>
      <c r="LHG2197" s="10"/>
      <c r="LHH2197" s="10"/>
      <c r="LHI2197" s="10"/>
      <c r="LHJ2197" s="10"/>
      <c r="LHK2197" s="10"/>
      <c r="LHL2197" s="10"/>
      <c r="LHM2197" s="10"/>
      <c r="LHN2197" s="10"/>
      <c r="LHO2197" s="10"/>
      <c r="LHP2197" s="10"/>
      <c r="LHQ2197" s="10"/>
      <c r="LHR2197" s="10"/>
      <c r="LHS2197" s="10"/>
      <c r="LHT2197" s="10"/>
      <c r="LHU2197" s="10"/>
      <c r="LHV2197" s="10"/>
      <c r="LHW2197" s="10"/>
      <c r="LHX2197" s="10"/>
      <c r="LHY2197" s="10"/>
      <c r="LHZ2197" s="10"/>
      <c r="LIA2197" s="10"/>
      <c r="LIB2197" s="10"/>
      <c r="LIC2197" s="10"/>
      <c r="LID2197" s="10"/>
      <c r="LIE2197" s="10"/>
      <c r="LIF2197" s="10"/>
      <c r="LIG2197" s="10"/>
      <c r="LIH2197" s="10"/>
      <c r="LII2197" s="10"/>
      <c r="LIJ2197" s="10"/>
      <c r="LIK2197" s="10"/>
      <c r="LIL2197" s="10"/>
      <c r="LIM2197" s="10"/>
      <c r="LIN2197" s="10"/>
      <c r="LIO2197" s="10"/>
      <c r="LIP2197" s="10"/>
      <c r="LIQ2197" s="10"/>
      <c r="LIR2197" s="10"/>
      <c r="LIS2197" s="10"/>
      <c r="LIT2197" s="10"/>
      <c r="LIU2197" s="10"/>
      <c r="LIV2197" s="10"/>
      <c r="LIW2197" s="10"/>
      <c r="LIX2197" s="10"/>
      <c r="LIY2197" s="10"/>
      <c r="LIZ2197" s="10"/>
      <c r="LJA2197" s="10"/>
      <c r="LJB2197" s="10"/>
      <c r="LJC2197" s="10"/>
      <c r="LJD2197" s="10"/>
      <c r="LJE2197" s="10"/>
      <c r="LJF2197" s="10"/>
      <c r="LJG2197" s="10"/>
      <c r="LJH2197" s="10"/>
      <c r="LJI2197" s="10"/>
      <c r="LJJ2197" s="10"/>
      <c r="LJK2197" s="10"/>
      <c r="LJL2197" s="10"/>
      <c r="LJM2197" s="10"/>
      <c r="LJN2197" s="10"/>
      <c r="LJO2197" s="10"/>
      <c r="LJP2197" s="10"/>
      <c r="LJQ2197" s="10"/>
      <c r="LJR2197" s="10"/>
      <c r="LJS2197" s="10"/>
      <c r="LJT2197" s="10"/>
      <c r="LJU2197" s="10"/>
      <c r="LJV2197" s="10"/>
      <c r="LJW2197" s="10"/>
      <c r="LJX2197" s="10"/>
      <c r="LJY2197" s="10"/>
      <c r="LJZ2197" s="10"/>
      <c r="LKA2197" s="10"/>
      <c r="LKB2197" s="10"/>
      <c r="LKC2197" s="10"/>
      <c r="LKD2197" s="10"/>
      <c r="LKE2197" s="10"/>
      <c r="LKF2197" s="10"/>
      <c r="LKG2197" s="10"/>
      <c r="LKH2197" s="10"/>
      <c r="LKI2197" s="10"/>
      <c r="LKJ2197" s="10"/>
      <c r="LKK2197" s="10"/>
      <c r="LKL2197" s="10"/>
      <c r="LKM2197" s="10"/>
      <c r="LKN2197" s="10"/>
      <c r="LKO2197" s="10"/>
      <c r="LKP2197" s="10"/>
      <c r="LKQ2197" s="10"/>
      <c r="LKR2197" s="10"/>
      <c r="LKS2197" s="10"/>
      <c r="LKT2197" s="10"/>
      <c r="LKU2197" s="10"/>
      <c r="LKV2197" s="10"/>
      <c r="LKW2197" s="10"/>
      <c r="LKX2197" s="10"/>
      <c r="LKY2197" s="10"/>
      <c r="LKZ2197" s="10"/>
      <c r="LLA2197" s="10"/>
      <c r="LLB2197" s="10"/>
      <c r="LLC2197" s="10"/>
      <c r="LLD2197" s="10"/>
      <c r="LLE2197" s="10"/>
      <c r="LLF2197" s="10"/>
      <c r="LLG2197" s="10"/>
      <c r="LLH2197" s="10"/>
      <c r="LLI2197" s="10"/>
      <c r="LLJ2197" s="10"/>
      <c r="LLK2197" s="10"/>
      <c r="LLL2197" s="10"/>
      <c r="LLM2197" s="10"/>
      <c r="LLN2197" s="10"/>
      <c r="LLO2197" s="10"/>
      <c r="LLP2197" s="10"/>
      <c r="LLQ2197" s="10"/>
      <c r="LLR2197" s="10"/>
      <c r="LLS2197" s="10"/>
      <c r="LLT2197" s="10"/>
      <c r="LLU2197" s="10"/>
      <c r="LLV2197" s="10"/>
      <c r="LLW2197" s="10"/>
      <c r="LLX2197" s="10"/>
      <c r="LLY2197" s="10"/>
      <c r="LLZ2197" s="10"/>
      <c r="LMA2197" s="10"/>
      <c r="LMB2197" s="10"/>
      <c r="LMC2197" s="10"/>
      <c r="LMD2197" s="10"/>
      <c r="LME2197" s="10"/>
      <c r="LMF2197" s="10"/>
      <c r="LMG2197" s="10"/>
      <c r="LMH2197" s="10"/>
      <c r="LMI2197" s="10"/>
      <c r="LMJ2197" s="10"/>
      <c r="LMK2197" s="10"/>
      <c r="LML2197" s="10"/>
      <c r="LMM2197" s="10"/>
      <c r="LMN2197" s="10"/>
      <c r="LMO2197" s="10"/>
      <c r="LMP2197" s="10"/>
      <c r="LMQ2197" s="10"/>
      <c r="LMR2197" s="10"/>
      <c r="LMS2197" s="10"/>
      <c r="LMT2197" s="10"/>
      <c r="LMU2197" s="10"/>
      <c r="LMV2197" s="10"/>
      <c r="LMW2197" s="10"/>
      <c r="LMX2197" s="10"/>
      <c r="LMY2197" s="10"/>
      <c r="LMZ2197" s="10"/>
      <c r="LNA2197" s="10"/>
      <c r="LNB2197" s="10"/>
      <c r="LNC2197" s="10"/>
      <c r="LND2197" s="10"/>
      <c r="LNE2197" s="10"/>
      <c r="LNF2197" s="10"/>
      <c r="LNG2197" s="10"/>
      <c r="LNH2197" s="10"/>
      <c r="LNI2197" s="10"/>
      <c r="LNJ2197" s="10"/>
      <c r="LNK2197" s="10"/>
      <c r="LNL2197" s="10"/>
      <c r="LNM2197" s="10"/>
      <c r="LNN2197" s="10"/>
      <c r="LNO2197" s="10"/>
      <c r="LNP2197" s="10"/>
      <c r="LNQ2197" s="10"/>
      <c r="LNR2197" s="10"/>
      <c r="LNS2197" s="10"/>
      <c r="LNT2197" s="10"/>
      <c r="LNU2197" s="10"/>
      <c r="LNV2197" s="10"/>
      <c r="LNW2197" s="10"/>
      <c r="LNX2197" s="10"/>
      <c r="LNY2197" s="10"/>
      <c r="LNZ2197" s="10"/>
      <c r="LOA2197" s="10"/>
      <c r="LOB2197" s="10"/>
      <c r="LOC2197" s="10"/>
      <c r="LOD2197" s="10"/>
      <c r="LOE2197" s="10"/>
      <c r="LOF2197" s="10"/>
      <c r="LOG2197" s="10"/>
      <c r="LOH2197" s="10"/>
      <c r="LOI2197" s="10"/>
      <c r="LOJ2197" s="10"/>
      <c r="LOK2197" s="10"/>
      <c r="LOL2197" s="10"/>
      <c r="LOM2197" s="10"/>
      <c r="LON2197" s="10"/>
      <c r="LOO2197" s="10"/>
      <c r="LOP2197" s="10"/>
      <c r="LOQ2197" s="10"/>
      <c r="LOR2197" s="10"/>
      <c r="LOS2197" s="10"/>
      <c r="LOT2197" s="10"/>
      <c r="LOU2197" s="10"/>
      <c r="LOV2197" s="10"/>
      <c r="LOW2197" s="10"/>
      <c r="LOX2197" s="10"/>
      <c r="LOY2197" s="10"/>
      <c r="LOZ2197" s="10"/>
      <c r="LPA2197" s="10"/>
      <c r="LPB2197" s="10"/>
      <c r="LPC2197" s="10"/>
      <c r="LPD2197" s="10"/>
      <c r="LPE2197" s="10"/>
      <c r="LPF2197" s="10"/>
      <c r="LPG2197" s="10"/>
      <c r="LPH2197" s="10"/>
      <c r="LPI2197" s="10"/>
      <c r="LPJ2197" s="10"/>
      <c r="LPK2197" s="10"/>
      <c r="LPL2197" s="10"/>
      <c r="LPM2197" s="10"/>
      <c r="LPN2197" s="10"/>
      <c r="LPO2197" s="10"/>
      <c r="LPP2197" s="10"/>
      <c r="LPQ2197" s="10"/>
      <c r="LPR2197" s="10"/>
      <c r="LPS2197" s="10"/>
      <c r="LPT2197" s="10"/>
      <c r="LPU2197" s="10"/>
      <c r="LPV2197" s="10"/>
      <c r="LPW2197" s="10"/>
      <c r="LPX2197" s="10"/>
      <c r="LPY2197" s="10"/>
      <c r="LPZ2197" s="10"/>
      <c r="LQA2197" s="10"/>
      <c r="LQB2197" s="10"/>
      <c r="LQC2197" s="10"/>
      <c r="LQD2197" s="10"/>
      <c r="LQE2197" s="10"/>
      <c r="LQF2197" s="10"/>
      <c r="LQG2197" s="10"/>
      <c r="LQH2197" s="10"/>
      <c r="LQI2197" s="10"/>
      <c r="LQJ2197" s="10"/>
      <c r="LQK2197" s="10"/>
      <c r="LQL2197" s="10"/>
      <c r="LQM2197" s="10"/>
      <c r="LQN2197" s="10"/>
      <c r="LQO2197" s="10"/>
      <c r="LQP2197" s="10"/>
      <c r="LQQ2197" s="10"/>
      <c r="LQR2197" s="10"/>
      <c r="LQS2197" s="10"/>
      <c r="LQT2197" s="10"/>
      <c r="LQU2197" s="10"/>
      <c r="LQV2197" s="10"/>
      <c r="LQW2197" s="10"/>
      <c r="LQX2197" s="10"/>
      <c r="LQY2197" s="10"/>
      <c r="LQZ2197" s="10"/>
      <c r="LRA2197" s="10"/>
      <c r="LRB2197" s="10"/>
      <c r="LRC2197" s="10"/>
      <c r="LRD2197" s="10"/>
      <c r="LRE2197" s="10"/>
      <c r="LRF2197" s="10"/>
      <c r="LRG2197" s="10"/>
      <c r="LRH2197" s="10"/>
      <c r="LRI2197" s="10"/>
      <c r="LRJ2197" s="10"/>
      <c r="LRK2197" s="10"/>
      <c r="LRL2197" s="10"/>
      <c r="LRM2197" s="10"/>
      <c r="LRN2197" s="10"/>
      <c r="LRO2197" s="10"/>
      <c r="LRP2197" s="10"/>
      <c r="LRQ2197" s="10"/>
      <c r="LRR2197" s="10"/>
      <c r="LRS2197" s="10"/>
      <c r="LRT2197" s="10"/>
      <c r="LRU2197" s="10"/>
      <c r="LRV2197" s="10"/>
      <c r="LRW2197" s="10"/>
      <c r="LRX2197" s="10"/>
      <c r="LRY2197" s="10"/>
      <c r="LRZ2197" s="10"/>
      <c r="LSA2197" s="10"/>
      <c r="LSB2197" s="10"/>
      <c r="LSC2197" s="10"/>
      <c r="LSD2197" s="10"/>
      <c r="LSE2197" s="10"/>
      <c r="LSF2197" s="10"/>
      <c r="LSG2197" s="10"/>
      <c r="LSH2197" s="10"/>
      <c r="LSI2197" s="10"/>
      <c r="LSJ2197" s="10"/>
      <c r="LSK2197" s="10"/>
      <c r="LSL2197" s="10"/>
      <c r="LSM2197" s="10"/>
      <c r="LSN2197" s="10"/>
      <c r="LSO2197" s="10"/>
      <c r="LSP2197" s="10"/>
      <c r="LSQ2197" s="10"/>
      <c r="LSR2197" s="10"/>
      <c r="LSS2197" s="10"/>
      <c r="LST2197" s="10"/>
      <c r="LSU2197" s="10"/>
      <c r="LSV2197" s="10"/>
      <c r="LSW2197" s="10"/>
      <c r="LSX2197" s="10"/>
      <c r="LSY2197" s="10"/>
      <c r="LSZ2197" s="10"/>
      <c r="LTA2197" s="10"/>
      <c r="LTB2197" s="10"/>
      <c r="LTC2197" s="10"/>
      <c r="LTD2197" s="10"/>
      <c r="LTE2197" s="10"/>
      <c r="LTF2197" s="10"/>
      <c r="LTG2197" s="10"/>
      <c r="LTH2197" s="10"/>
      <c r="LTI2197" s="10"/>
      <c r="LTJ2197" s="10"/>
      <c r="LTK2197" s="10"/>
      <c r="LTL2197" s="10"/>
      <c r="LTM2197" s="10"/>
      <c r="LTN2197" s="10"/>
      <c r="LTO2197" s="10"/>
      <c r="LTP2197" s="10"/>
      <c r="LTQ2197" s="10"/>
      <c r="LTR2197" s="10"/>
      <c r="LTS2197" s="10"/>
      <c r="LTT2197" s="10"/>
      <c r="LTU2197" s="10"/>
      <c r="LTV2197" s="10"/>
      <c r="LTW2197" s="10"/>
      <c r="LTX2197" s="10"/>
      <c r="LTY2197" s="10"/>
      <c r="LTZ2197" s="10"/>
      <c r="LUA2197" s="10"/>
      <c r="LUB2197" s="10"/>
      <c r="LUC2197" s="10"/>
      <c r="LUD2197" s="10"/>
      <c r="LUE2197" s="10"/>
      <c r="LUF2197" s="10"/>
      <c r="LUG2197" s="10"/>
      <c r="LUH2197" s="10"/>
      <c r="LUI2197" s="10"/>
      <c r="LUJ2197" s="10"/>
      <c r="LUK2197" s="10"/>
      <c r="LUL2197" s="10"/>
      <c r="LUM2197" s="10"/>
      <c r="LUN2197" s="10"/>
      <c r="LUO2197" s="10"/>
      <c r="LUP2197" s="10"/>
      <c r="LUQ2197" s="10"/>
      <c r="LUR2197" s="10"/>
      <c r="LUS2197" s="10"/>
      <c r="LUT2197" s="10"/>
      <c r="LUU2197" s="10"/>
      <c r="LUV2197" s="10"/>
      <c r="LUW2197" s="10"/>
      <c r="LUX2197" s="10"/>
      <c r="LUY2197" s="10"/>
      <c r="LUZ2197" s="10"/>
      <c r="LVA2197" s="10"/>
      <c r="LVB2197" s="10"/>
      <c r="LVC2197" s="10"/>
      <c r="LVD2197" s="10"/>
      <c r="LVE2197" s="10"/>
      <c r="LVF2197" s="10"/>
      <c r="LVG2197" s="10"/>
      <c r="LVH2197" s="10"/>
      <c r="LVI2197" s="10"/>
      <c r="LVJ2197" s="10"/>
      <c r="LVK2197" s="10"/>
      <c r="LVL2197" s="10"/>
      <c r="LVM2197" s="10"/>
      <c r="LVN2197" s="10"/>
      <c r="LVO2197" s="10"/>
      <c r="LVP2197" s="10"/>
      <c r="LVQ2197" s="10"/>
      <c r="LVR2197" s="10"/>
      <c r="LVS2197" s="10"/>
      <c r="LVT2197" s="10"/>
      <c r="LVU2197" s="10"/>
      <c r="LVV2197" s="10"/>
      <c r="LVW2197" s="10"/>
      <c r="LVX2197" s="10"/>
      <c r="LVY2197" s="10"/>
      <c r="LVZ2197" s="10"/>
      <c r="LWA2197" s="10"/>
      <c r="LWB2197" s="10"/>
      <c r="LWC2197" s="10"/>
      <c r="LWD2197" s="10"/>
      <c r="LWE2197" s="10"/>
      <c r="LWF2197" s="10"/>
      <c r="LWG2197" s="10"/>
      <c r="LWH2197" s="10"/>
      <c r="LWI2197" s="10"/>
      <c r="LWJ2197" s="10"/>
      <c r="LWK2197" s="10"/>
      <c r="LWL2197" s="10"/>
      <c r="LWM2197" s="10"/>
      <c r="LWN2197" s="10"/>
      <c r="LWO2197" s="10"/>
      <c r="LWP2197" s="10"/>
      <c r="LWQ2197" s="10"/>
      <c r="LWR2197" s="10"/>
      <c r="LWS2197" s="10"/>
      <c r="LWT2197" s="10"/>
      <c r="LWU2197" s="10"/>
      <c r="LWV2197" s="10"/>
      <c r="LWW2197" s="10"/>
      <c r="LWX2197" s="10"/>
      <c r="LWY2197" s="10"/>
      <c r="LWZ2197" s="10"/>
      <c r="LXA2197" s="10"/>
      <c r="LXB2197" s="10"/>
      <c r="LXC2197" s="10"/>
      <c r="LXD2197" s="10"/>
      <c r="LXE2197" s="10"/>
      <c r="LXF2197" s="10"/>
      <c r="LXG2197" s="10"/>
      <c r="LXH2197" s="10"/>
      <c r="LXI2197" s="10"/>
      <c r="LXJ2197" s="10"/>
      <c r="LXK2197" s="10"/>
      <c r="LXL2197" s="10"/>
      <c r="LXM2197" s="10"/>
      <c r="LXN2197" s="10"/>
      <c r="LXO2197" s="10"/>
      <c r="LXP2197" s="10"/>
      <c r="LXQ2197" s="10"/>
      <c r="LXR2197" s="10"/>
      <c r="LXS2197" s="10"/>
      <c r="LXT2197" s="10"/>
      <c r="LXU2197" s="10"/>
      <c r="LXV2197" s="10"/>
      <c r="LXW2197" s="10"/>
      <c r="LXX2197" s="10"/>
      <c r="LXY2197" s="10"/>
      <c r="LXZ2197" s="10"/>
      <c r="LYA2197" s="10"/>
      <c r="LYB2197" s="10"/>
      <c r="LYC2197" s="10"/>
      <c r="LYD2197" s="10"/>
      <c r="LYE2197" s="10"/>
      <c r="LYF2197" s="10"/>
      <c r="LYG2197" s="10"/>
      <c r="LYH2197" s="10"/>
      <c r="LYI2197" s="10"/>
      <c r="LYJ2197" s="10"/>
      <c r="LYK2197" s="10"/>
      <c r="LYL2197" s="10"/>
      <c r="LYM2197" s="10"/>
      <c r="LYN2197" s="10"/>
      <c r="LYO2197" s="10"/>
      <c r="LYP2197" s="10"/>
      <c r="LYQ2197" s="10"/>
      <c r="LYR2197" s="10"/>
      <c r="LYS2197" s="10"/>
      <c r="LYT2197" s="10"/>
      <c r="LYU2197" s="10"/>
      <c r="LYV2197" s="10"/>
      <c r="LYW2197" s="10"/>
      <c r="LYX2197" s="10"/>
      <c r="LYY2197" s="10"/>
      <c r="LYZ2197" s="10"/>
      <c r="LZA2197" s="10"/>
      <c r="LZB2197" s="10"/>
      <c r="LZC2197" s="10"/>
      <c r="LZD2197" s="10"/>
      <c r="LZE2197" s="10"/>
      <c r="LZF2197" s="10"/>
      <c r="LZG2197" s="10"/>
      <c r="LZH2197" s="10"/>
      <c r="LZI2197" s="10"/>
      <c r="LZJ2197" s="10"/>
      <c r="LZK2197" s="10"/>
      <c r="LZL2197" s="10"/>
      <c r="LZM2197" s="10"/>
      <c r="LZN2197" s="10"/>
      <c r="LZO2197" s="10"/>
      <c r="LZP2197" s="10"/>
      <c r="LZQ2197" s="10"/>
      <c r="LZR2197" s="10"/>
      <c r="LZS2197" s="10"/>
      <c r="LZT2197" s="10"/>
      <c r="LZU2197" s="10"/>
      <c r="LZV2197" s="10"/>
      <c r="LZW2197" s="10"/>
      <c r="LZX2197" s="10"/>
      <c r="LZY2197" s="10"/>
      <c r="LZZ2197" s="10"/>
      <c r="MAA2197" s="10"/>
      <c r="MAB2197" s="10"/>
      <c r="MAC2197" s="10"/>
      <c r="MAD2197" s="10"/>
      <c r="MAE2197" s="10"/>
      <c r="MAF2197" s="10"/>
      <c r="MAG2197" s="10"/>
      <c r="MAH2197" s="10"/>
      <c r="MAI2197" s="10"/>
      <c r="MAJ2197" s="10"/>
      <c r="MAK2197" s="10"/>
      <c r="MAL2197" s="10"/>
      <c r="MAM2197" s="10"/>
      <c r="MAN2197" s="10"/>
      <c r="MAO2197" s="10"/>
      <c r="MAP2197" s="10"/>
      <c r="MAQ2197" s="10"/>
      <c r="MAR2197" s="10"/>
      <c r="MAS2197" s="10"/>
      <c r="MAT2197" s="10"/>
      <c r="MAU2197" s="10"/>
      <c r="MAV2197" s="10"/>
      <c r="MAW2197" s="10"/>
      <c r="MAX2197" s="10"/>
      <c r="MAY2197" s="10"/>
      <c r="MAZ2197" s="10"/>
      <c r="MBA2197" s="10"/>
      <c r="MBB2197" s="10"/>
      <c r="MBC2197" s="10"/>
      <c r="MBD2197" s="10"/>
      <c r="MBE2197" s="10"/>
      <c r="MBF2197" s="10"/>
      <c r="MBG2197" s="10"/>
      <c r="MBH2197" s="10"/>
      <c r="MBI2197" s="10"/>
      <c r="MBJ2197" s="10"/>
      <c r="MBK2197" s="10"/>
      <c r="MBL2197" s="10"/>
      <c r="MBM2197" s="10"/>
      <c r="MBN2197" s="10"/>
      <c r="MBO2197" s="10"/>
      <c r="MBP2197" s="10"/>
      <c r="MBQ2197" s="10"/>
      <c r="MBR2197" s="10"/>
      <c r="MBS2197" s="10"/>
      <c r="MBT2197" s="10"/>
      <c r="MBU2197" s="10"/>
      <c r="MBV2197" s="10"/>
      <c r="MBW2197" s="10"/>
      <c r="MBX2197" s="10"/>
      <c r="MBY2197" s="10"/>
      <c r="MBZ2197" s="10"/>
      <c r="MCA2197" s="10"/>
      <c r="MCB2197" s="10"/>
      <c r="MCC2197" s="10"/>
      <c r="MCD2197" s="10"/>
      <c r="MCE2197" s="10"/>
      <c r="MCF2197" s="10"/>
      <c r="MCG2197" s="10"/>
      <c r="MCH2197" s="10"/>
      <c r="MCI2197" s="10"/>
      <c r="MCJ2197" s="10"/>
      <c r="MCK2197" s="10"/>
      <c r="MCL2197" s="10"/>
      <c r="MCM2197" s="10"/>
      <c r="MCN2197" s="10"/>
      <c r="MCO2197" s="10"/>
      <c r="MCP2197" s="10"/>
      <c r="MCQ2197" s="10"/>
      <c r="MCR2197" s="10"/>
      <c r="MCS2197" s="10"/>
      <c r="MCT2197" s="10"/>
      <c r="MCU2197" s="10"/>
      <c r="MCV2197" s="10"/>
      <c r="MCW2197" s="10"/>
      <c r="MCX2197" s="10"/>
      <c r="MCY2197" s="10"/>
      <c r="MCZ2197" s="10"/>
      <c r="MDA2197" s="10"/>
      <c r="MDB2197" s="10"/>
      <c r="MDC2197" s="10"/>
      <c r="MDD2197" s="10"/>
      <c r="MDE2197" s="10"/>
      <c r="MDF2197" s="10"/>
      <c r="MDG2197" s="10"/>
      <c r="MDH2197" s="10"/>
      <c r="MDI2197" s="10"/>
      <c r="MDJ2197" s="10"/>
      <c r="MDK2197" s="10"/>
      <c r="MDL2197" s="10"/>
      <c r="MDM2197" s="10"/>
      <c r="MDN2197" s="10"/>
      <c r="MDO2197" s="10"/>
      <c r="MDP2197" s="10"/>
      <c r="MDQ2197" s="10"/>
      <c r="MDR2197" s="10"/>
      <c r="MDS2197" s="10"/>
      <c r="MDT2197" s="10"/>
      <c r="MDU2197" s="10"/>
      <c r="MDV2197" s="10"/>
      <c r="MDW2197" s="10"/>
      <c r="MDX2197" s="10"/>
      <c r="MDY2197" s="10"/>
      <c r="MDZ2197" s="10"/>
      <c r="MEA2197" s="10"/>
      <c r="MEB2197" s="10"/>
      <c r="MEC2197" s="10"/>
      <c r="MED2197" s="10"/>
      <c r="MEE2197" s="10"/>
      <c r="MEF2197" s="10"/>
      <c r="MEG2197" s="10"/>
      <c r="MEH2197" s="10"/>
      <c r="MEI2197" s="10"/>
      <c r="MEJ2197" s="10"/>
      <c r="MEK2197" s="10"/>
      <c r="MEL2197" s="10"/>
      <c r="MEM2197" s="10"/>
      <c r="MEN2197" s="10"/>
      <c r="MEO2197" s="10"/>
      <c r="MEP2197" s="10"/>
      <c r="MEQ2197" s="10"/>
      <c r="MER2197" s="10"/>
      <c r="MES2197" s="10"/>
      <c r="MET2197" s="10"/>
      <c r="MEU2197" s="10"/>
      <c r="MEV2197" s="10"/>
      <c r="MEW2197" s="10"/>
      <c r="MEX2197" s="10"/>
      <c r="MEY2197" s="10"/>
      <c r="MEZ2197" s="10"/>
      <c r="MFA2197" s="10"/>
      <c r="MFB2197" s="10"/>
      <c r="MFC2197" s="10"/>
      <c r="MFD2197" s="10"/>
      <c r="MFE2197" s="10"/>
      <c r="MFF2197" s="10"/>
      <c r="MFG2197" s="10"/>
      <c r="MFH2197" s="10"/>
      <c r="MFI2197" s="10"/>
      <c r="MFJ2197" s="10"/>
      <c r="MFK2197" s="10"/>
      <c r="MFL2197" s="10"/>
      <c r="MFM2197" s="10"/>
      <c r="MFN2197" s="10"/>
      <c r="MFO2197" s="10"/>
      <c r="MFP2197" s="10"/>
      <c r="MFQ2197" s="10"/>
      <c r="MFR2197" s="10"/>
      <c r="MFS2197" s="10"/>
      <c r="MFT2197" s="10"/>
      <c r="MFU2197" s="10"/>
      <c r="MFV2197" s="10"/>
      <c r="MFW2197" s="10"/>
      <c r="MFX2197" s="10"/>
      <c r="MFY2197" s="10"/>
      <c r="MFZ2197" s="10"/>
      <c r="MGA2197" s="10"/>
      <c r="MGB2197" s="10"/>
      <c r="MGC2197" s="10"/>
      <c r="MGD2197" s="10"/>
      <c r="MGE2197" s="10"/>
      <c r="MGF2197" s="10"/>
      <c r="MGG2197" s="10"/>
      <c r="MGH2197" s="10"/>
      <c r="MGI2197" s="10"/>
      <c r="MGJ2197" s="10"/>
      <c r="MGK2197" s="10"/>
      <c r="MGL2197" s="10"/>
      <c r="MGM2197" s="10"/>
      <c r="MGN2197" s="10"/>
      <c r="MGO2197" s="10"/>
      <c r="MGP2197" s="10"/>
      <c r="MGQ2197" s="10"/>
      <c r="MGR2197" s="10"/>
      <c r="MGS2197" s="10"/>
      <c r="MGT2197" s="10"/>
      <c r="MGU2197" s="10"/>
      <c r="MGV2197" s="10"/>
      <c r="MGW2197" s="10"/>
      <c r="MGX2197" s="10"/>
      <c r="MGY2197" s="10"/>
      <c r="MGZ2197" s="10"/>
      <c r="MHA2197" s="10"/>
      <c r="MHB2197" s="10"/>
      <c r="MHC2197" s="10"/>
      <c r="MHD2197" s="10"/>
      <c r="MHE2197" s="10"/>
      <c r="MHF2197" s="10"/>
      <c r="MHG2197" s="10"/>
      <c r="MHH2197" s="10"/>
      <c r="MHI2197" s="10"/>
      <c r="MHJ2197" s="10"/>
      <c r="MHK2197" s="10"/>
      <c r="MHL2197" s="10"/>
      <c r="MHM2197" s="10"/>
      <c r="MHN2197" s="10"/>
      <c r="MHO2197" s="10"/>
      <c r="MHP2197" s="10"/>
      <c r="MHQ2197" s="10"/>
      <c r="MHR2197" s="10"/>
      <c r="MHS2197" s="10"/>
      <c r="MHT2197" s="10"/>
      <c r="MHU2197" s="10"/>
      <c r="MHV2197" s="10"/>
      <c r="MHW2197" s="10"/>
      <c r="MHX2197" s="10"/>
      <c r="MHY2197" s="10"/>
      <c r="MHZ2197" s="10"/>
      <c r="MIA2197" s="10"/>
      <c r="MIB2197" s="10"/>
      <c r="MIC2197" s="10"/>
      <c r="MID2197" s="10"/>
      <c r="MIE2197" s="10"/>
      <c r="MIF2197" s="10"/>
      <c r="MIG2197" s="10"/>
      <c r="MIH2197" s="10"/>
      <c r="MII2197" s="10"/>
      <c r="MIJ2197" s="10"/>
      <c r="MIK2197" s="10"/>
      <c r="MIL2197" s="10"/>
      <c r="MIM2197" s="10"/>
      <c r="MIN2197" s="10"/>
      <c r="MIO2197" s="10"/>
      <c r="MIP2197" s="10"/>
      <c r="MIQ2197" s="10"/>
      <c r="MIR2197" s="10"/>
      <c r="MIS2197" s="10"/>
      <c r="MIT2197" s="10"/>
      <c r="MIU2197" s="10"/>
      <c r="MIV2197" s="10"/>
      <c r="MIW2197" s="10"/>
      <c r="MIX2197" s="10"/>
      <c r="MIY2197" s="10"/>
      <c r="MIZ2197" s="10"/>
      <c r="MJA2197" s="10"/>
      <c r="MJB2197" s="10"/>
      <c r="MJC2197" s="10"/>
      <c r="MJD2197" s="10"/>
      <c r="MJE2197" s="10"/>
      <c r="MJF2197" s="10"/>
      <c r="MJG2197" s="10"/>
      <c r="MJH2197" s="10"/>
      <c r="MJI2197" s="10"/>
      <c r="MJJ2197" s="10"/>
      <c r="MJK2197" s="10"/>
      <c r="MJL2197" s="10"/>
      <c r="MJM2197" s="10"/>
      <c r="MJN2197" s="10"/>
      <c r="MJO2197" s="10"/>
      <c r="MJP2197" s="10"/>
      <c r="MJQ2197" s="10"/>
      <c r="MJR2197" s="10"/>
      <c r="MJS2197" s="10"/>
      <c r="MJT2197" s="10"/>
      <c r="MJU2197" s="10"/>
      <c r="MJV2197" s="10"/>
      <c r="MJW2197" s="10"/>
      <c r="MJX2197" s="10"/>
      <c r="MJY2197" s="10"/>
      <c r="MJZ2197" s="10"/>
      <c r="MKA2197" s="10"/>
      <c r="MKB2197" s="10"/>
      <c r="MKC2197" s="10"/>
      <c r="MKD2197" s="10"/>
      <c r="MKE2197" s="10"/>
      <c r="MKF2197" s="10"/>
      <c r="MKG2197" s="10"/>
      <c r="MKH2197" s="10"/>
      <c r="MKI2197" s="10"/>
      <c r="MKJ2197" s="10"/>
      <c r="MKK2197" s="10"/>
      <c r="MKL2197" s="10"/>
      <c r="MKM2197" s="10"/>
      <c r="MKN2197" s="10"/>
      <c r="MKO2197" s="10"/>
      <c r="MKP2197" s="10"/>
      <c r="MKQ2197" s="10"/>
      <c r="MKR2197" s="10"/>
      <c r="MKS2197" s="10"/>
      <c r="MKT2197" s="10"/>
      <c r="MKU2197" s="10"/>
      <c r="MKV2197" s="10"/>
      <c r="MKW2197" s="10"/>
      <c r="MKX2197" s="10"/>
      <c r="MKY2197" s="10"/>
      <c r="MKZ2197" s="10"/>
      <c r="MLA2197" s="10"/>
      <c r="MLB2197" s="10"/>
      <c r="MLC2197" s="10"/>
      <c r="MLD2197" s="10"/>
      <c r="MLE2197" s="10"/>
      <c r="MLF2197" s="10"/>
      <c r="MLG2197" s="10"/>
      <c r="MLH2197" s="10"/>
      <c r="MLI2197" s="10"/>
      <c r="MLJ2197" s="10"/>
      <c r="MLK2197" s="10"/>
      <c r="MLL2197" s="10"/>
      <c r="MLM2197" s="10"/>
      <c r="MLN2197" s="10"/>
      <c r="MLO2197" s="10"/>
      <c r="MLP2197" s="10"/>
      <c r="MLQ2197" s="10"/>
      <c r="MLR2197" s="10"/>
      <c r="MLS2197" s="10"/>
      <c r="MLT2197" s="10"/>
      <c r="MLU2197" s="10"/>
      <c r="MLV2197" s="10"/>
      <c r="MLW2197" s="10"/>
      <c r="MLX2197" s="10"/>
      <c r="MLY2197" s="10"/>
      <c r="MLZ2197" s="10"/>
      <c r="MMA2197" s="10"/>
      <c r="MMB2197" s="10"/>
      <c r="MMC2197" s="10"/>
      <c r="MMD2197" s="10"/>
      <c r="MME2197" s="10"/>
      <c r="MMF2197" s="10"/>
      <c r="MMG2197" s="10"/>
      <c r="MMH2197" s="10"/>
      <c r="MMI2197" s="10"/>
      <c r="MMJ2197" s="10"/>
      <c r="MMK2197" s="10"/>
      <c r="MML2197" s="10"/>
      <c r="MMM2197" s="10"/>
      <c r="MMN2197" s="10"/>
      <c r="MMO2197" s="10"/>
      <c r="MMP2197" s="10"/>
      <c r="MMQ2197" s="10"/>
      <c r="MMR2197" s="10"/>
      <c r="MMS2197" s="10"/>
      <c r="MMT2197" s="10"/>
      <c r="MMU2197" s="10"/>
      <c r="MMV2197" s="10"/>
      <c r="MMW2197" s="10"/>
      <c r="MMX2197" s="10"/>
      <c r="MMY2197" s="10"/>
      <c r="MMZ2197" s="10"/>
      <c r="MNA2197" s="10"/>
      <c r="MNB2197" s="10"/>
      <c r="MNC2197" s="10"/>
      <c r="MND2197" s="10"/>
      <c r="MNE2197" s="10"/>
      <c r="MNF2197" s="10"/>
      <c r="MNG2197" s="10"/>
      <c r="MNH2197" s="10"/>
      <c r="MNI2197" s="10"/>
      <c r="MNJ2197" s="10"/>
      <c r="MNK2197" s="10"/>
      <c r="MNL2197" s="10"/>
      <c r="MNM2197" s="10"/>
      <c r="MNN2197" s="10"/>
      <c r="MNO2197" s="10"/>
      <c r="MNP2197" s="10"/>
      <c r="MNQ2197" s="10"/>
      <c r="MNR2197" s="10"/>
      <c r="MNS2197" s="10"/>
      <c r="MNT2197" s="10"/>
      <c r="MNU2197" s="10"/>
      <c r="MNV2197" s="10"/>
      <c r="MNW2197" s="10"/>
      <c r="MNX2197" s="10"/>
      <c r="MNY2197" s="10"/>
      <c r="MNZ2197" s="10"/>
      <c r="MOA2197" s="10"/>
      <c r="MOB2197" s="10"/>
      <c r="MOC2197" s="10"/>
      <c r="MOD2197" s="10"/>
      <c r="MOE2197" s="10"/>
      <c r="MOF2197" s="10"/>
      <c r="MOG2197" s="10"/>
      <c r="MOH2197" s="10"/>
      <c r="MOI2197" s="10"/>
      <c r="MOJ2197" s="10"/>
      <c r="MOK2197" s="10"/>
      <c r="MOL2197" s="10"/>
      <c r="MOM2197" s="10"/>
      <c r="MON2197" s="10"/>
      <c r="MOO2197" s="10"/>
      <c r="MOP2197" s="10"/>
      <c r="MOQ2197" s="10"/>
      <c r="MOR2197" s="10"/>
      <c r="MOS2197" s="10"/>
      <c r="MOT2197" s="10"/>
      <c r="MOU2197" s="10"/>
      <c r="MOV2197" s="10"/>
      <c r="MOW2197" s="10"/>
      <c r="MOX2197" s="10"/>
      <c r="MOY2197" s="10"/>
      <c r="MOZ2197" s="10"/>
      <c r="MPA2197" s="10"/>
      <c r="MPB2197" s="10"/>
      <c r="MPC2197" s="10"/>
      <c r="MPD2197" s="10"/>
      <c r="MPE2197" s="10"/>
      <c r="MPF2197" s="10"/>
      <c r="MPG2197" s="10"/>
      <c r="MPH2197" s="10"/>
      <c r="MPI2197" s="10"/>
      <c r="MPJ2197" s="10"/>
      <c r="MPK2197" s="10"/>
      <c r="MPL2197" s="10"/>
      <c r="MPM2197" s="10"/>
      <c r="MPN2197" s="10"/>
      <c r="MPO2197" s="10"/>
      <c r="MPP2197" s="10"/>
      <c r="MPQ2197" s="10"/>
      <c r="MPR2197" s="10"/>
      <c r="MPS2197" s="10"/>
      <c r="MPT2197" s="10"/>
      <c r="MPU2197" s="10"/>
      <c r="MPV2197" s="10"/>
      <c r="MPW2197" s="10"/>
      <c r="MPX2197" s="10"/>
      <c r="MPY2197" s="10"/>
      <c r="MPZ2197" s="10"/>
      <c r="MQA2197" s="10"/>
      <c r="MQB2197" s="10"/>
      <c r="MQC2197" s="10"/>
      <c r="MQD2197" s="10"/>
      <c r="MQE2197" s="10"/>
      <c r="MQF2197" s="10"/>
      <c r="MQG2197" s="10"/>
      <c r="MQH2197" s="10"/>
      <c r="MQI2197" s="10"/>
      <c r="MQJ2197" s="10"/>
      <c r="MQK2197" s="10"/>
      <c r="MQL2197" s="10"/>
      <c r="MQM2197" s="10"/>
      <c r="MQN2197" s="10"/>
      <c r="MQO2197" s="10"/>
      <c r="MQP2197" s="10"/>
      <c r="MQQ2197" s="10"/>
      <c r="MQR2197" s="10"/>
      <c r="MQS2197" s="10"/>
      <c r="MQT2197" s="10"/>
      <c r="MQU2197" s="10"/>
      <c r="MQV2197" s="10"/>
      <c r="MQW2197" s="10"/>
      <c r="MQX2197" s="10"/>
      <c r="MQY2197" s="10"/>
      <c r="MQZ2197" s="10"/>
      <c r="MRA2197" s="10"/>
      <c r="MRB2197" s="10"/>
      <c r="MRC2197" s="10"/>
      <c r="MRD2197" s="10"/>
      <c r="MRE2197" s="10"/>
      <c r="MRF2197" s="10"/>
      <c r="MRG2197" s="10"/>
      <c r="MRH2197" s="10"/>
      <c r="MRI2197" s="10"/>
      <c r="MRJ2197" s="10"/>
      <c r="MRK2197" s="10"/>
      <c r="MRL2197" s="10"/>
      <c r="MRM2197" s="10"/>
      <c r="MRN2197" s="10"/>
      <c r="MRO2197" s="10"/>
      <c r="MRP2197" s="10"/>
      <c r="MRQ2197" s="10"/>
      <c r="MRR2197" s="10"/>
      <c r="MRS2197" s="10"/>
      <c r="MRT2197" s="10"/>
      <c r="MRU2197" s="10"/>
      <c r="MRV2197" s="10"/>
      <c r="MRW2197" s="10"/>
      <c r="MRX2197" s="10"/>
      <c r="MRY2197" s="10"/>
      <c r="MRZ2197" s="10"/>
      <c r="MSA2197" s="10"/>
      <c r="MSB2197" s="10"/>
      <c r="MSC2197" s="10"/>
      <c r="MSD2197" s="10"/>
      <c r="MSE2197" s="10"/>
      <c r="MSF2197" s="10"/>
      <c r="MSG2197" s="10"/>
      <c r="MSH2197" s="10"/>
      <c r="MSI2197" s="10"/>
      <c r="MSJ2197" s="10"/>
      <c r="MSK2197" s="10"/>
      <c r="MSL2197" s="10"/>
      <c r="MSM2197" s="10"/>
      <c r="MSN2197" s="10"/>
      <c r="MSO2197" s="10"/>
      <c r="MSP2197" s="10"/>
      <c r="MSQ2197" s="10"/>
      <c r="MSR2197" s="10"/>
      <c r="MSS2197" s="10"/>
      <c r="MST2197" s="10"/>
      <c r="MSU2197" s="10"/>
      <c r="MSV2197" s="10"/>
      <c r="MSW2197" s="10"/>
      <c r="MSX2197" s="10"/>
      <c r="MSY2197" s="10"/>
      <c r="MSZ2197" s="10"/>
      <c r="MTA2197" s="10"/>
      <c r="MTB2197" s="10"/>
      <c r="MTC2197" s="10"/>
      <c r="MTD2197" s="10"/>
      <c r="MTE2197" s="10"/>
      <c r="MTF2197" s="10"/>
      <c r="MTG2197" s="10"/>
      <c r="MTH2197" s="10"/>
      <c r="MTI2197" s="10"/>
      <c r="MTJ2197" s="10"/>
      <c r="MTK2197" s="10"/>
      <c r="MTL2197" s="10"/>
      <c r="MTM2197" s="10"/>
      <c r="MTN2197" s="10"/>
      <c r="MTO2197" s="10"/>
      <c r="MTP2197" s="10"/>
      <c r="MTQ2197" s="10"/>
      <c r="MTR2197" s="10"/>
      <c r="MTS2197" s="10"/>
      <c r="MTT2197" s="10"/>
      <c r="MTU2197" s="10"/>
      <c r="MTV2197" s="10"/>
      <c r="MTW2197" s="10"/>
      <c r="MTX2197" s="10"/>
      <c r="MTY2197" s="10"/>
      <c r="MTZ2197" s="10"/>
      <c r="MUA2197" s="10"/>
      <c r="MUB2197" s="10"/>
      <c r="MUC2197" s="10"/>
      <c r="MUD2197" s="10"/>
      <c r="MUE2197" s="10"/>
      <c r="MUF2197" s="10"/>
      <c r="MUG2197" s="10"/>
      <c r="MUH2197" s="10"/>
      <c r="MUI2197" s="10"/>
      <c r="MUJ2197" s="10"/>
      <c r="MUK2197" s="10"/>
      <c r="MUL2197" s="10"/>
      <c r="MUM2197" s="10"/>
      <c r="MUN2197" s="10"/>
      <c r="MUO2197" s="10"/>
      <c r="MUP2197" s="10"/>
      <c r="MUQ2197" s="10"/>
      <c r="MUR2197" s="10"/>
      <c r="MUS2197" s="10"/>
      <c r="MUT2197" s="10"/>
      <c r="MUU2197" s="10"/>
      <c r="MUV2197" s="10"/>
      <c r="MUW2197" s="10"/>
      <c r="MUX2197" s="10"/>
      <c r="MUY2197" s="10"/>
      <c r="MUZ2197" s="10"/>
      <c r="MVA2197" s="10"/>
      <c r="MVB2197" s="10"/>
      <c r="MVC2197" s="10"/>
      <c r="MVD2197" s="10"/>
      <c r="MVE2197" s="10"/>
      <c r="MVF2197" s="10"/>
      <c r="MVG2197" s="10"/>
      <c r="MVH2197" s="10"/>
      <c r="MVI2197" s="10"/>
      <c r="MVJ2197" s="10"/>
      <c r="MVK2197" s="10"/>
      <c r="MVL2197" s="10"/>
      <c r="MVM2197" s="10"/>
      <c r="MVN2197" s="10"/>
      <c r="MVO2197" s="10"/>
      <c r="MVP2197" s="10"/>
      <c r="MVQ2197" s="10"/>
      <c r="MVR2197" s="10"/>
      <c r="MVS2197" s="10"/>
      <c r="MVT2197" s="10"/>
      <c r="MVU2197" s="10"/>
      <c r="MVV2197" s="10"/>
      <c r="MVW2197" s="10"/>
      <c r="MVX2197" s="10"/>
      <c r="MVY2197" s="10"/>
      <c r="MVZ2197" s="10"/>
      <c r="MWA2197" s="10"/>
      <c r="MWB2197" s="10"/>
      <c r="MWC2197" s="10"/>
      <c r="MWD2197" s="10"/>
      <c r="MWE2197" s="10"/>
      <c r="MWF2197" s="10"/>
      <c r="MWG2197" s="10"/>
      <c r="MWH2197" s="10"/>
      <c r="MWI2197" s="10"/>
      <c r="MWJ2197" s="10"/>
      <c r="MWK2197" s="10"/>
      <c r="MWL2197" s="10"/>
      <c r="MWM2197" s="10"/>
      <c r="MWN2197" s="10"/>
      <c r="MWO2197" s="10"/>
      <c r="MWP2197" s="10"/>
      <c r="MWQ2197" s="10"/>
      <c r="MWR2197" s="10"/>
      <c r="MWS2197" s="10"/>
      <c r="MWT2197" s="10"/>
      <c r="MWU2197" s="10"/>
      <c r="MWV2197" s="10"/>
      <c r="MWW2197" s="10"/>
      <c r="MWX2197" s="10"/>
      <c r="MWY2197" s="10"/>
      <c r="MWZ2197" s="10"/>
      <c r="MXA2197" s="10"/>
      <c r="MXB2197" s="10"/>
      <c r="MXC2197" s="10"/>
      <c r="MXD2197" s="10"/>
      <c r="MXE2197" s="10"/>
      <c r="MXF2197" s="10"/>
      <c r="MXG2197" s="10"/>
      <c r="MXH2197" s="10"/>
      <c r="MXI2197" s="10"/>
      <c r="MXJ2197" s="10"/>
      <c r="MXK2197" s="10"/>
      <c r="MXL2197" s="10"/>
      <c r="MXM2197" s="10"/>
      <c r="MXN2197" s="10"/>
      <c r="MXO2197" s="10"/>
      <c r="MXP2197" s="10"/>
      <c r="MXQ2197" s="10"/>
      <c r="MXR2197" s="10"/>
      <c r="MXS2197" s="10"/>
      <c r="MXT2197" s="10"/>
      <c r="MXU2197" s="10"/>
      <c r="MXV2197" s="10"/>
      <c r="MXW2197" s="10"/>
      <c r="MXX2197" s="10"/>
      <c r="MXY2197" s="10"/>
      <c r="MXZ2197" s="10"/>
      <c r="MYA2197" s="10"/>
      <c r="MYB2197" s="10"/>
      <c r="MYC2197" s="10"/>
      <c r="MYD2197" s="10"/>
      <c r="MYE2197" s="10"/>
      <c r="MYF2197" s="10"/>
      <c r="MYG2197" s="10"/>
      <c r="MYH2197" s="10"/>
      <c r="MYI2197" s="10"/>
      <c r="MYJ2197" s="10"/>
      <c r="MYK2197" s="10"/>
      <c r="MYL2197" s="10"/>
      <c r="MYM2197" s="10"/>
      <c r="MYN2197" s="10"/>
      <c r="MYO2197" s="10"/>
      <c r="MYP2197" s="10"/>
      <c r="MYQ2197" s="10"/>
      <c r="MYR2197" s="10"/>
      <c r="MYS2197" s="10"/>
      <c r="MYT2197" s="10"/>
      <c r="MYU2197" s="10"/>
      <c r="MYV2197" s="10"/>
      <c r="MYW2197" s="10"/>
      <c r="MYX2197" s="10"/>
      <c r="MYY2197" s="10"/>
      <c r="MYZ2197" s="10"/>
      <c r="MZA2197" s="10"/>
      <c r="MZB2197" s="10"/>
      <c r="MZC2197" s="10"/>
      <c r="MZD2197" s="10"/>
      <c r="MZE2197" s="10"/>
      <c r="MZF2197" s="10"/>
      <c r="MZG2197" s="10"/>
      <c r="MZH2197" s="10"/>
      <c r="MZI2197" s="10"/>
      <c r="MZJ2197" s="10"/>
      <c r="MZK2197" s="10"/>
      <c r="MZL2197" s="10"/>
      <c r="MZM2197" s="10"/>
      <c r="MZN2197" s="10"/>
      <c r="MZO2197" s="10"/>
      <c r="MZP2197" s="10"/>
      <c r="MZQ2197" s="10"/>
      <c r="MZR2197" s="10"/>
      <c r="MZS2197" s="10"/>
      <c r="MZT2197" s="10"/>
      <c r="MZU2197" s="10"/>
      <c r="MZV2197" s="10"/>
      <c r="MZW2197" s="10"/>
      <c r="MZX2197" s="10"/>
      <c r="MZY2197" s="10"/>
      <c r="MZZ2197" s="10"/>
      <c r="NAA2197" s="10"/>
      <c r="NAB2197" s="10"/>
      <c r="NAC2197" s="10"/>
      <c r="NAD2197" s="10"/>
      <c r="NAE2197" s="10"/>
      <c r="NAF2197" s="10"/>
      <c r="NAG2197" s="10"/>
      <c r="NAH2197" s="10"/>
      <c r="NAI2197" s="10"/>
      <c r="NAJ2197" s="10"/>
      <c r="NAK2197" s="10"/>
      <c r="NAL2197" s="10"/>
      <c r="NAM2197" s="10"/>
      <c r="NAN2197" s="10"/>
      <c r="NAO2197" s="10"/>
      <c r="NAP2197" s="10"/>
      <c r="NAQ2197" s="10"/>
      <c r="NAR2197" s="10"/>
      <c r="NAS2197" s="10"/>
      <c r="NAT2197" s="10"/>
      <c r="NAU2197" s="10"/>
      <c r="NAV2197" s="10"/>
      <c r="NAW2197" s="10"/>
      <c r="NAX2197" s="10"/>
      <c r="NAY2197" s="10"/>
      <c r="NAZ2197" s="10"/>
      <c r="NBA2197" s="10"/>
      <c r="NBB2197" s="10"/>
      <c r="NBC2197" s="10"/>
      <c r="NBD2197" s="10"/>
      <c r="NBE2197" s="10"/>
      <c r="NBF2197" s="10"/>
      <c r="NBG2197" s="10"/>
      <c r="NBH2197" s="10"/>
      <c r="NBI2197" s="10"/>
      <c r="NBJ2197" s="10"/>
      <c r="NBK2197" s="10"/>
      <c r="NBL2197" s="10"/>
      <c r="NBM2197" s="10"/>
      <c r="NBN2197" s="10"/>
      <c r="NBO2197" s="10"/>
      <c r="NBP2197" s="10"/>
      <c r="NBQ2197" s="10"/>
      <c r="NBR2197" s="10"/>
      <c r="NBS2197" s="10"/>
      <c r="NBT2197" s="10"/>
      <c r="NBU2197" s="10"/>
      <c r="NBV2197" s="10"/>
      <c r="NBW2197" s="10"/>
      <c r="NBX2197" s="10"/>
      <c r="NBY2197" s="10"/>
      <c r="NBZ2197" s="10"/>
      <c r="NCA2197" s="10"/>
      <c r="NCB2197" s="10"/>
      <c r="NCC2197" s="10"/>
      <c r="NCD2197" s="10"/>
      <c r="NCE2197" s="10"/>
      <c r="NCF2197" s="10"/>
      <c r="NCG2197" s="10"/>
      <c r="NCH2197" s="10"/>
      <c r="NCI2197" s="10"/>
      <c r="NCJ2197" s="10"/>
      <c r="NCK2197" s="10"/>
      <c r="NCL2197" s="10"/>
      <c r="NCM2197" s="10"/>
      <c r="NCN2197" s="10"/>
      <c r="NCO2197" s="10"/>
      <c r="NCP2197" s="10"/>
      <c r="NCQ2197" s="10"/>
      <c r="NCR2197" s="10"/>
      <c r="NCS2197" s="10"/>
      <c r="NCT2197" s="10"/>
      <c r="NCU2197" s="10"/>
      <c r="NCV2197" s="10"/>
      <c r="NCW2197" s="10"/>
      <c r="NCX2197" s="10"/>
      <c r="NCY2197" s="10"/>
      <c r="NCZ2197" s="10"/>
      <c r="NDA2197" s="10"/>
      <c r="NDB2197" s="10"/>
      <c r="NDC2197" s="10"/>
      <c r="NDD2197" s="10"/>
      <c r="NDE2197" s="10"/>
      <c r="NDF2197" s="10"/>
      <c r="NDG2197" s="10"/>
      <c r="NDH2197" s="10"/>
      <c r="NDI2197" s="10"/>
      <c r="NDJ2197" s="10"/>
      <c r="NDK2197" s="10"/>
      <c r="NDL2197" s="10"/>
      <c r="NDM2197" s="10"/>
      <c r="NDN2197" s="10"/>
      <c r="NDO2197" s="10"/>
      <c r="NDP2197" s="10"/>
      <c r="NDQ2197" s="10"/>
      <c r="NDR2197" s="10"/>
      <c r="NDS2197" s="10"/>
      <c r="NDT2197" s="10"/>
      <c r="NDU2197" s="10"/>
      <c r="NDV2197" s="10"/>
      <c r="NDW2197" s="10"/>
      <c r="NDX2197" s="10"/>
      <c r="NDY2197" s="10"/>
      <c r="NDZ2197" s="10"/>
      <c r="NEA2197" s="10"/>
      <c r="NEB2197" s="10"/>
      <c r="NEC2197" s="10"/>
      <c r="NED2197" s="10"/>
      <c r="NEE2197" s="10"/>
      <c r="NEF2197" s="10"/>
      <c r="NEG2197" s="10"/>
      <c r="NEH2197" s="10"/>
      <c r="NEI2197" s="10"/>
      <c r="NEJ2197" s="10"/>
      <c r="NEK2197" s="10"/>
      <c r="NEL2197" s="10"/>
      <c r="NEM2197" s="10"/>
      <c r="NEN2197" s="10"/>
      <c r="NEO2197" s="10"/>
      <c r="NEP2197" s="10"/>
      <c r="NEQ2197" s="10"/>
      <c r="NER2197" s="10"/>
      <c r="NES2197" s="10"/>
      <c r="NET2197" s="10"/>
      <c r="NEU2197" s="10"/>
      <c r="NEV2197" s="10"/>
      <c r="NEW2197" s="10"/>
      <c r="NEX2197" s="10"/>
      <c r="NEY2197" s="10"/>
      <c r="NEZ2197" s="10"/>
      <c r="NFA2197" s="10"/>
      <c r="NFB2197" s="10"/>
      <c r="NFC2197" s="10"/>
      <c r="NFD2197" s="10"/>
      <c r="NFE2197" s="10"/>
      <c r="NFF2197" s="10"/>
      <c r="NFG2197" s="10"/>
      <c r="NFH2197" s="10"/>
      <c r="NFI2197" s="10"/>
      <c r="NFJ2197" s="10"/>
      <c r="NFK2197" s="10"/>
      <c r="NFL2197" s="10"/>
      <c r="NFM2197" s="10"/>
      <c r="NFN2197" s="10"/>
      <c r="NFO2197" s="10"/>
      <c r="NFP2197" s="10"/>
      <c r="NFQ2197" s="10"/>
      <c r="NFR2197" s="10"/>
      <c r="NFS2197" s="10"/>
      <c r="NFT2197" s="10"/>
      <c r="NFU2197" s="10"/>
      <c r="NFV2197" s="10"/>
      <c r="NFW2197" s="10"/>
      <c r="NFX2197" s="10"/>
      <c r="NFY2197" s="10"/>
      <c r="NFZ2197" s="10"/>
      <c r="NGA2197" s="10"/>
      <c r="NGB2197" s="10"/>
      <c r="NGC2197" s="10"/>
      <c r="NGD2197" s="10"/>
      <c r="NGE2197" s="10"/>
      <c r="NGF2197" s="10"/>
      <c r="NGG2197" s="10"/>
      <c r="NGH2197" s="10"/>
      <c r="NGI2197" s="10"/>
      <c r="NGJ2197" s="10"/>
      <c r="NGK2197" s="10"/>
      <c r="NGL2197" s="10"/>
      <c r="NGM2197" s="10"/>
      <c r="NGN2197" s="10"/>
      <c r="NGO2197" s="10"/>
      <c r="NGP2197" s="10"/>
      <c r="NGQ2197" s="10"/>
      <c r="NGR2197" s="10"/>
      <c r="NGS2197" s="10"/>
      <c r="NGT2197" s="10"/>
      <c r="NGU2197" s="10"/>
      <c r="NGV2197" s="10"/>
      <c r="NGW2197" s="10"/>
      <c r="NGX2197" s="10"/>
      <c r="NGY2197" s="10"/>
      <c r="NGZ2197" s="10"/>
      <c r="NHA2197" s="10"/>
      <c r="NHB2197" s="10"/>
      <c r="NHC2197" s="10"/>
      <c r="NHD2197" s="10"/>
      <c r="NHE2197" s="10"/>
      <c r="NHF2197" s="10"/>
      <c r="NHG2197" s="10"/>
      <c r="NHH2197" s="10"/>
      <c r="NHI2197" s="10"/>
      <c r="NHJ2197" s="10"/>
      <c r="NHK2197" s="10"/>
      <c r="NHL2197" s="10"/>
      <c r="NHM2197" s="10"/>
      <c r="NHN2197" s="10"/>
      <c r="NHO2197" s="10"/>
      <c r="NHP2197" s="10"/>
      <c r="NHQ2197" s="10"/>
      <c r="NHR2197" s="10"/>
      <c r="NHS2197" s="10"/>
      <c r="NHT2197" s="10"/>
      <c r="NHU2197" s="10"/>
      <c r="NHV2197" s="10"/>
      <c r="NHW2197" s="10"/>
      <c r="NHX2197" s="10"/>
      <c r="NHY2197" s="10"/>
      <c r="NHZ2197" s="10"/>
      <c r="NIA2197" s="10"/>
      <c r="NIB2197" s="10"/>
      <c r="NIC2197" s="10"/>
      <c r="NID2197" s="10"/>
      <c r="NIE2197" s="10"/>
      <c r="NIF2197" s="10"/>
      <c r="NIG2197" s="10"/>
      <c r="NIH2197" s="10"/>
      <c r="NII2197" s="10"/>
      <c r="NIJ2197" s="10"/>
      <c r="NIK2197" s="10"/>
      <c r="NIL2197" s="10"/>
      <c r="NIM2197" s="10"/>
      <c r="NIN2197" s="10"/>
      <c r="NIO2197" s="10"/>
      <c r="NIP2197" s="10"/>
      <c r="NIQ2197" s="10"/>
      <c r="NIR2197" s="10"/>
      <c r="NIS2197" s="10"/>
      <c r="NIT2197" s="10"/>
      <c r="NIU2197" s="10"/>
      <c r="NIV2197" s="10"/>
      <c r="NIW2197" s="10"/>
      <c r="NIX2197" s="10"/>
      <c r="NIY2197" s="10"/>
      <c r="NIZ2197" s="10"/>
      <c r="NJA2197" s="10"/>
      <c r="NJB2197" s="10"/>
      <c r="NJC2197" s="10"/>
      <c r="NJD2197" s="10"/>
      <c r="NJE2197" s="10"/>
      <c r="NJF2197" s="10"/>
      <c r="NJG2197" s="10"/>
      <c r="NJH2197" s="10"/>
      <c r="NJI2197" s="10"/>
      <c r="NJJ2197" s="10"/>
      <c r="NJK2197" s="10"/>
      <c r="NJL2197" s="10"/>
      <c r="NJM2197" s="10"/>
      <c r="NJN2197" s="10"/>
      <c r="NJO2197" s="10"/>
      <c r="NJP2197" s="10"/>
      <c r="NJQ2197" s="10"/>
      <c r="NJR2197" s="10"/>
      <c r="NJS2197" s="10"/>
      <c r="NJT2197" s="10"/>
      <c r="NJU2197" s="10"/>
      <c r="NJV2197" s="10"/>
      <c r="NJW2197" s="10"/>
      <c r="NJX2197" s="10"/>
      <c r="NJY2197" s="10"/>
      <c r="NJZ2197" s="10"/>
      <c r="NKA2197" s="10"/>
      <c r="NKB2197" s="10"/>
      <c r="NKC2197" s="10"/>
      <c r="NKD2197" s="10"/>
      <c r="NKE2197" s="10"/>
      <c r="NKF2197" s="10"/>
      <c r="NKG2197" s="10"/>
      <c r="NKH2197" s="10"/>
      <c r="NKI2197" s="10"/>
      <c r="NKJ2197" s="10"/>
      <c r="NKK2197" s="10"/>
      <c r="NKL2197" s="10"/>
      <c r="NKM2197" s="10"/>
      <c r="NKN2197" s="10"/>
      <c r="NKO2197" s="10"/>
      <c r="NKP2197" s="10"/>
      <c r="NKQ2197" s="10"/>
      <c r="NKR2197" s="10"/>
      <c r="NKS2197" s="10"/>
      <c r="NKT2197" s="10"/>
      <c r="NKU2197" s="10"/>
      <c r="NKV2197" s="10"/>
      <c r="NKW2197" s="10"/>
      <c r="NKX2197" s="10"/>
      <c r="NKY2197" s="10"/>
      <c r="NKZ2197" s="10"/>
      <c r="NLA2197" s="10"/>
      <c r="NLB2197" s="10"/>
      <c r="NLC2197" s="10"/>
      <c r="NLD2197" s="10"/>
      <c r="NLE2197" s="10"/>
      <c r="NLF2197" s="10"/>
      <c r="NLG2197" s="10"/>
      <c r="NLH2197" s="10"/>
      <c r="NLI2197" s="10"/>
      <c r="NLJ2197" s="10"/>
      <c r="NLK2197" s="10"/>
      <c r="NLL2197" s="10"/>
      <c r="NLM2197" s="10"/>
      <c r="NLN2197" s="10"/>
      <c r="NLO2197" s="10"/>
      <c r="NLP2197" s="10"/>
      <c r="NLQ2197" s="10"/>
      <c r="NLR2197" s="10"/>
      <c r="NLS2197" s="10"/>
      <c r="NLT2197" s="10"/>
      <c r="NLU2197" s="10"/>
      <c r="NLV2197" s="10"/>
      <c r="NLW2197" s="10"/>
      <c r="NLX2197" s="10"/>
      <c r="NLY2197" s="10"/>
      <c r="NLZ2197" s="10"/>
      <c r="NMA2197" s="10"/>
      <c r="NMB2197" s="10"/>
      <c r="NMC2197" s="10"/>
      <c r="NMD2197" s="10"/>
      <c r="NME2197" s="10"/>
      <c r="NMF2197" s="10"/>
      <c r="NMG2197" s="10"/>
      <c r="NMH2197" s="10"/>
      <c r="NMI2197" s="10"/>
      <c r="NMJ2197" s="10"/>
      <c r="NMK2197" s="10"/>
      <c r="NML2197" s="10"/>
      <c r="NMM2197" s="10"/>
      <c r="NMN2197" s="10"/>
      <c r="NMO2197" s="10"/>
      <c r="NMP2197" s="10"/>
      <c r="NMQ2197" s="10"/>
      <c r="NMR2197" s="10"/>
      <c r="NMS2197" s="10"/>
      <c r="NMT2197" s="10"/>
      <c r="NMU2197" s="10"/>
      <c r="NMV2197" s="10"/>
      <c r="NMW2197" s="10"/>
      <c r="NMX2197" s="10"/>
      <c r="NMY2197" s="10"/>
      <c r="NMZ2197" s="10"/>
      <c r="NNA2197" s="10"/>
      <c r="NNB2197" s="10"/>
      <c r="NNC2197" s="10"/>
      <c r="NND2197" s="10"/>
      <c r="NNE2197" s="10"/>
      <c r="NNF2197" s="10"/>
      <c r="NNG2197" s="10"/>
      <c r="NNH2197" s="10"/>
      <c r="NNI2197" s="10"/>
      <c r="NNJ2197" s="10"/>
      <c r="NNK2197" s="10"/>
      <c r="NNL2197" s="10"/>
      <c r="NNM2197" s="10"/>
      <c r="NNN2197" s="10"/>
      <c r="NNO2197" s="10"/>
      <c r="NNP2197" s="10"/>
      <c r="NNQ2197" s="10"/>
      <c r="NNR2197" s="10"/>
      <c r="NNS2197" s="10"/>
      <c r="NNT2197" s="10"/>
      <c r="NNU2197" s="10"/>
      <c r="NNV2197" s="10"/>
      <c r="NNW2197" s="10"/>
      <c r="NNX2197" s="10"/>
      <c r="NNY2197" s="10"/>
      <c r="NNZ2197" s="10"/>
      <c r="NOA2197" s="10"/>
      <c r="NOB2197" s="10"/>
      <c r="NOC2197" s="10"/>
      <c r="NOD2197" s="10"/>
      <c r="NOE2197" s="10"/>
      <c r="NOF2197" s="10"/>
      <c r="NOG2197" s="10"/>
      <c r="NOH2197" s="10"/>
      <c r="NOI2197" s="10"/>
      <c r="NOJ2197" s="10"/>
      <c r="NOK2197" s="10"/>
      <c r="NOL2197" s="10"/>
      <c r="NOM2197" s="10"/>
      <c r="NON2197" s="10"/>
      <c r="NOO2197" s="10"/>
      <c r="NOP2197" s="10"/>
      <c r="NOQ2197" s="10"/>
      <c r="NOR2197" s="10"/>
      <c r="NOS2197" s="10"/>
      <c r="NOT2197" s="10"/>
      <c r="NOU2197" s="10"/>
      <c r="NOV2197" s="10"/>
      <c r="NOW2197" s="10"/>
      <c r="NOX2197" s="10"/>
      <c r="NOY2197" s="10"/>
      <c r="NOZ2197" s="10"/>
      <c r="NPA2197" s="10"/>
      <c r="NPB2197" s="10"/>
      <c r="NPC2197" s="10"/>
      <c r="NPD2197" s="10"/>
      <c r="NPE2197" s="10"/>
      <c r="NPF2197" s="10"/>
      <c r="NPG2197" s="10"/>
      <c r="NPH2197" s="10"/>
      <c r="NPI2197" s="10"/>
      <c r="NPJ2197" s="10"/>
      <c r="NPK2197" s="10"/>
      <c r="NPL2197" s="10"/>
      <c r="NPM2197" s="10"/>
      <c r="NPN2197" s="10"/>
      <c r="NPO2197" s="10"/>
      <c r="NPP2197" s="10"/>
      <c r="NPQ2197" s="10"/>
      <c r="NPR2197" s="10"/>
      <c r="NPS2197" s="10"/>
      <c r="NPT2197" s="10"/>
      <c r="NPU2197" s="10"/>
      <c r="NPV2197" s="10"/>
      <c r="NPW2197" s="10"/>
      <c r="NPX2197" s="10"/>
      <c r="NPY2197" s="10"/>
      <c r="NPZ2197" s="10"/>
      <c r="NQA2197" s="10"/>
      <c r="NQB2197" s="10"/>
      <c r="NQC2197" s="10"/>
      <c r="NQD2197" s="10"/>
      <c r="NQE2197" s="10"/>
      <c r="NQF2197" s="10"/>
      <c r="NQG2197" s="10"/>
      <c r="NQH2197" s="10"/>
      <c r="NQI2197" s="10"/>
      <c r="NQJ2197" s="10"/>
      <c r="NQK2197" s="10"/>
      <c r="NQL2197" s="10"/>
      <c r="NQM2197" s="10"/>
      <c r="NQN2197" s="10"/>
      <c r="NQO2197" s="10"/>
      <c r="NQP2197" s="10"/>
      <c r="NQQ2197" s="10"/>
      <c r="NQR2197" s="10"/>
      <c r="NQS2197" s="10"/>
      <c r="NQT2197" s="10"/>
      <c r="NQU2197" s="10"/>
      <c r="NQV2197" s="10"/>
      <c r="NQW2197" s="10"/>
      <c r="NQX2197" s="10"/>
      <c r="NQY2197" s="10"/>
      <c r="NQZ2197" s="10"/>
      <c r="NRA2197" s="10"/>
      <c r="NRB2197" s="10"/>
      <c r="NRC2197" s="10"/>
      <c r="NRD2197" s="10"/>
      <c r="NRE2197" s="10"/>
      <c r="NRF2197" s="10"/>
      <c r="NRG2197" s="10"/>
      <c r="NRH2197" s="10"/>
      <c r="NRI2197" s="10"/>
      <c r="NRJ2197" s="10"/>
      <c r="NRK2197" s="10"/>
      <c r="NRL2197" s="10"/>
      <c r="NRM2197" s="10"/>
      <c r="NRN2197" s="10"/>
      <c r="NRO2197" s="10"/>
      <c r="NRP2197" s="10"/>
      <c r="NRQ2197" s="10"/>
      <c r="NRR2197" s="10"/>
      <c r="NRS2197" s="10"/>
      <c r="NRT2197" s="10"/>
      <c r="NRU2197" s="10"/>
      <c r="NRV2197" s="10"/>
      <c r="NRW2197" s="10"/>
      <c r="NRX2197" s="10"/>
      <c r="NRY2197" s="10"/>
      <c r="NRZ2197" s="10"/>
      <c r="NSA2197" s="10"/>
      <c r="NSB2197" s="10"/>
      <c r="NSC2197" s="10"/>
      <c r="NSD2197" s="10"/>
      <c r="NSE2197" s="10"/>
      <c r="NSF2197" s="10"/>
      <c r="NSG2197" s="10"/>
      <c r="NSH2197" s="10"/>
      <c r="NSI2197" s="10"/>
      <c r="NSJ2197" s="10"/>
      <c r="NSK2197" s="10"/>
      <c r="NSL2197" s="10"/>
      <c r="NSM2197" s="10"/>
      <c r="NSN2197" s="10"/>
      <c r="NSO2197" s="10"/>
      <c r="NSP2197" s="10"/>
      <c r="NSQ2197" s="10"/>
      <c r="NSR2197" s="10"/>
      <c r="NSS2197" s="10"/>
      <c r="NST2197" s="10"/>
      <c r="NSU2197" s="10"/>
      <c r="NSV2197" s="10"/>
      <c r="NSW2197" s="10"/>
      <c r="NSX2197" s="10"/>
      <c r="NSY2197" s="10"/>
      <c r="NSZ2197" s="10"/>
      <c r="NTA2197" s="10"/>
      <c r="NTB2197" s="10"/>
      <c r="NTC2197" s="10"/>
      <c r="NTD2197" s="10"/>
      <c r="NTE2197" s="10"/>
      <c r="NTF2197" s="10"/>
      <c r="NTG2197" s="10"/>
      <c r="NTH2197" s="10"/>
      <c r="NTI2197" s="10"/>
      <c r="NTJ2197" s="10"/>
      <c r="NTK2197" s="10"/>
      <c r="NTL2197" s="10"/>
      <c r="NTM2197" s="10"/>
      <c r="NTN2197" s="10"/>
      <c r="NTO2197" s="10"/>
      <c r="NTP2197" s="10"/>
      <c r="NTQ2197" s="10"/>
      <c r="NTR2197" s="10"/>
      <c r="NTS2197" s="10"/>
      <c r="NTT2197" s="10"/>
      <c r="NTU2197" s="10"/>
      <c r="NTV2197" s="10"/>
      <c r="NTW2197" s="10"/>
      <c r="NTX2197" s="10"/>
      <c r="NTY2197" s="10"/>
      <c r="NTZ2197" s="10"/>
      <c r="NUA2197" s="10"/>
      <c r="NUB2197" s="10"/>
      <c r="NUC2197" s="10"/>
      <c r="NUD2197" s="10"/>
      <c r="NUE2197" s="10"/>
      <c r="NUF2197" s="10"/>
      <c r="NUG2197" s="10"/>
      <c r="NUH2197" s="10"/>
      <c r="NUI2197" s="10"/>
      <c r="NUJ2197" s="10"/>
      <c r="NUK2197" s="10"/>
      <c r="NUL2197" s="10"/>
      <c r="NUM2197" s="10"/>
      <c r="NUN2197" s="10"/>
      <c r="NUO2197" s="10"/>
      <c r="NUP2197" s="10"/>
      <c r="NUQ2197" s="10"/>
      <c r="NUR2197" s="10"/>
      <c r="NUS2197" s="10"/>
      <c r="NUT2197" s="10"/>
      <c r="NUU2197" s="10"/>
      <c r="NUV2197" s="10"/>
      <c r="NUW2197" s="10"/>
      <c r="NUX2197" s="10"/>
      <c r="NUY2197" s="10"/>
      <c r="NUZ2197" s="10"/>
      <c r="NVA2197" s="10"/>
      <c r="NVB2197" s="10"/>
      <c r="NVC2197" s="10"/>
      <c r="NVD2197" s="10"/>
      <c r="NVE2197" s="10"/>
      <c r="NVF2197" s="10"/>
      <c r="NVG2197" s="10"/>
      <c r="NVH2197" s="10"/>
      <c r="NVI2197" s="10"/>
      <c r="NVJ2197" s="10"/>
      <c r="NVK2197" s="10"/>
      <c r="NVL2197" s="10"/>
      <c r="NVM2197" s="10"/>
      <c r="NVN2197" s="10"/>
      <c r="NVO2197" s="10"/>
      <c r="NVP2197" s="10"/>
      <c r="NVQ2197" s="10"/>
      <c r="NVR2197" s="10"/>
      <c r="NVS2197" s="10"/>
      <c r="NVT2197" s="10"/>
      <c r="NVU2197" s="10"/>
      <c r="NVV2197" s="10"/>
      <c r="NVW2197" s="10"/>
      <c r="NVX2197" s="10"/>
      <c r="NVY2197" s="10"/>
      <c r="NVZ2197" s="10"/>
      <c r="NWA2197" s="10"/>
      <c r="NWB2197" s="10"/>
      <c r="NWC2197" s="10"/>
      <c r="NWD2197" s="10"/>
      <c r="NWE2197" s="10"/>
      <c r="NWF2197" s="10"/>
      <c r="NWG2197" s="10"/>
      <c r="NWH2197" s="10"/>
      <c r="NWI2197" s="10"/>
      <c r="NWJ2197" s="10"/>
      <c r="NWK2197" s="10"/>
      <c r="NWL2197" s="10"/>
      <c r="NWM2197" s="10"/>
      <c r="NWN2197" s="10"/>
      <c r="NWO2197" s="10"/>
      <c r="NWP2197" s="10"/>
      <c r="NWQ2197" s="10"/>
      <c r="NWR2197" s="10"/>
      <c r="NWS2197" s="10"/>
      <c r="NWT2197" s="10"/>
      <c r="NWU2197" s="10"/>
      <c r="NWV2197" s="10"/>
      <c r="NWW2197" s="10"/>
      <c r="NWX2197" s="10"/>
      <c r="NWY2197" s="10"/>
      <c r="NWZ2197" s="10"/>
      <c r="NXA2197" s="10"/>
      <c r="NXB2197" s="10"/>
      <c r="NXC2197" s="10"/>
      <c r="NXD2197" s="10"/>
      <c r="NXE2197" s="10"/>
      <c r="NXF2197" s="10"/>
      <c r="NXG2197" s="10"/>
      <c r="NXH2197" s="10"/>
      <c r="NXI2197" s="10"/>
      <c r="NXJ2197" s="10"/>
      <c r="NXK2197" s="10"/>
      <c r="NXL2197" s="10"/>
      <c r="NXM2197" s="10"/>
      <c r="NXN2197" s="10"/>
      <c r="NXO2197" s="10"/>
      <c r="NXP2197" s="10"/>
      <c r="NXQ2197" s="10"/>
      <c r="NXR2197" s="10"/>
      <c r="NXS2197" s="10"/>
      <c r="NXT2197" s="10"/>
      <c r="NXU2197" s="10"/>
      <c r="NXV2197" s="10"/>
      <c r="NXW2197" s="10"/>
      <c r="NXX2197" s="10"/>
      <c r="NXY2197" s="10"/>
      <c r="NXZ2197" s="10"/>
      <c r="NYA2197" s="10"/>
      <c r="NYB2197" s="10"/>
      <c r="NYC2197" s="10"/>
      <c r="NYD2197" s="10"/>
      <c r="NYE2197" s="10"/>
      <c r="NYF2197" s="10"/>
      <c r="NYG2197" s="10"/>
      <c r="NYH2197" s="10"/>
      <c r="NYI2197" s="10"/>
      <c r="NYJ2197" s="10"/>
      <c r="NYK2197" s="10"/>
      <c r="NYL2197" s="10"/>
      <c r="NYM2197" s="10"/>
      <c r="NYN2197" s="10"/>
      <c r="NYO2197" s="10"/>
      <c r="NYP2197" s="10"/>
      <c r="NYQ2197" s="10"/>
      <c r="NYR2197" s="10"/>
      <c r="NYS2197" s="10"/>
      <c r="NYT2197" s="10"/>
      <c r="NYU2197" s="10"/>
      <c r="NYV2197" s="10"/>
      <c r="NYW2197" s="10"/>
      <c r="NYX2197" s="10"/>
      <c r="NYY2197" s="10"/>
      <c r="NYZ2197" s="10"/>
      <c r="NZA2197" s="10"/>
      <c r="NZB2197" s="10"/>
      <c r="NZC2197" s="10"/>
      <c r="NZD2197" s="10"/>
      <c r="NZE2197" s="10"/>
      <c r="NZF2197" s="10"/>
      <c r="NZG2197" s="10"/>
      <c r="NZH2197" s="10"/>
      <c r="NZI2197" s="10"/>
      <c r="NZJ2197" s="10"/>
      <c r="NZK2197" s="10"/>
      <c r="NZL2197" s="10"/>
      <c r="NZM2197" s="10"/>
      <c r="NZN2197" s="10"/>
      <c r="NZO2197" s="10"/>
      <c r="NZP2197" s="10"/>
      <c r="NZQ2197" s="10"/>
      <c r="NZR2197" s="10"/>
      <c r="NZS2197" s="10"/>
      <c r="NZT2197" s="10"/>
      <c r="NZU2197" s="10"/>
      <c r="NZV2197" s="10"/>
      <c r="NZW2197" s="10"/>
      <c r="NZX2197" s="10"/>
      <c r="NZY2197" s="10"/>
      <c r="NZZ2197" s="10"/>
      <c r="OAA2197" s="10"/>
      <c r="OAB2197" s="10"/>
      <c r="OAC2197" s="10"/>
      <c r="OAD2197" s="10"/>
      <c r="OAE2197" s="10"/>
      <c r="OAF2197" s="10"/>
      <c r="OAG2197" s="10"/>
      <c r="OAH2197" s="10"/>
      <c r="OAI2197" s="10"/>
      <c r="OAJ2197" s="10"/>
      <c r="OAK2197" s="10"/>
      <c r="OAL2197" s="10"/>
      <c r="OAM2197" s="10"/>
      <c r="OAN2197" s="10"/>
      <c r="OAO2197" s="10"/>
      <c r="OAP2197" s="10"/>
      <c r="OAQ2197" s="10"/>
      <c r="OAR2197" s="10"/>
      <c r="OAS2197" s="10"/>
      <c r="OAT2197" s="10"/>
      <c r="OAU2197" s="10"/>
      <c r="OAV2197" s="10"/>
      <c r="OAW2197" s="10"/>
      <c r="OAX2197" s="10"/>
      <c r="OAY2197" s="10"/>
      <c r="OAZ2197" s="10"/>
      <c r="OBA2197" s="10"/>
      <c r="OBB2197" s="10"/>
      <c r="OBC2197" s="10"/>
      <c r="OBD2197" s="10"/>
      <c r="OBE2197" s="10"/>
      <c r="OBF2197" s="10"/>
      <c r="OBG2197" s="10"/>
      <c r="OBH2197" s="10"/>
      <c r="OBI2197" s="10"/>
      <c r="OBJ2197" s="10"/>
      <c r="OBK2197" s="10"/>
      <c r="OBL2197" s="10"/>
      <c r="OBM2197" s="10"/>
      <c r="OBN2197" s="10"/>
      <c r="OBO2197" s="10"/>
      <c r="OBP2197" s="10"/>
      <c r="OBQ2197" s="10"/>
      <c r="OBR2197" s="10"/>
      <c r="OBS2197" s="10"/>
      <c r="OBT2197" s="10"/>
      <c r="OBU2197" s="10"/>
      <c r="OBV2197" s="10"/>
      <c r="OBW2197" s="10"/>
      <c r="OBX2197" s="10"/>
      <c r="OBY2197" s="10"/>
      <c r="OBZ2197" s="10"/>
      <c r="OCA2197" s="10"/>
      <c r="OCB2197" s="10"/>
      <c r="OCC2197" s="10"/>
      <c r="OCD2197" s="10"/>
      <c r="OCE2197" s="10"/>
      <c r="OCF2197" s="10"/>
      <c r="OCG2197" s="10"/>
      <c r="OCH2197" s="10"/>
      <c r="OCI2197" s="10"/>
      <c r="OCJ2197" s="10"/>
      <c r="OCK2197" s="10"/>
      <c r="OCL2197" s="10"/>
      <c r="OCM2197" s="10"/>
      <c r="OCN2197" s="10"/>
      <c r="OCO2197" s="10"/>
      <c r="OCP2197" s="10"/>
      <c r="OCQ2197" s="10"/>
      <c r="OCR2197" s="10"/>
      <c r="OCS2197" s="10"/>
      <c r="OCT2197" s="10"/>
      <c r="OCU2197" s="10"/>
      <c r="OCV2197" s="10"/>
      <c r="OCW2197" s="10"/>
      <c r="OCX2197" s="10"/>
      <c r="OCY2197" s="10"/>
      <c r="OCZ2197" s="10"/>
      <c r="ODA2197" s="10"/>
      <c r="ODB2197" s="10"/>
      <c r="ODC2197" s="10"/>
      <c r="ODD2197" s="10"/>
      <c r="ODE2197" s="10"/>
      <c r="ODF2197" s="10"/>
      <c r="ODG2197" s="10"/>
      <c r="ODH2197" s="10"/>
      <c r="ODI2197" s="10"/>
      <c r="ODJ2197" s="10"/>
      <c r="ODK2197" s="10"/>
      <c r="ODL2197" s="10"/>
      <c r="ODM2197" s="10"/>
      <c r="ODN2197" s="10"/>
      <c r="ODO2197" s="10"/>
      <c r="ODP2197" s="10"/>
      <c r="ODQ2197" s="10"/>
      <c r="ODR2197" s="10"/>
      <c r="ODS2197" s="10"/>
      <c r="ODT2197" s="10"/>
      <c r="ODU2197" s="10"/>
      <c r="ODV2197" s="10"/>
      <c r="ODW2197" s="10"/>
      <c r="ODX2197" s="10"/>
      <c r="ODY2197" s="10"/>
      <c r="ODZ2197" s="10"/>
      <c r="OEA2197" s="10"/>
      <c r="OEB2197" s="10"/>
      <c r="OEC2197" s="10"/>
      <c r="OED2197" s="10"/>
      <c r="OEE2197" s="10"/>
      <c r="OEF2197" s="10"/>
      <c r="OEG2197" s="10"/>
      <c r="OEH2197" s="10"/>
      <c r="OEI2197" s="10"/>
      <c r="OEJ2197" s="10"/>
      <c r="OEK2197" s="10"/>
      <c r="OEL2197" s="10"/>
      <c r="OEM2197" s="10"/>
      <c r="OEN2197" s="10"/>
      <c r="OEO2197" s="10"/>
      <c r="OEP2197" s="10"/>
      <c r="OEQ2197" s="10"/>
      <c r="OER2197" s="10"/>
      <c r="OES2197" s="10"/>
      <c r="OET2197" s="10"/>
      <c r="OEU2197" s="10"/>
      <c r="OEV2197" s="10"/>
      <c r="OEW2197" s="10"/>
      <c r="OEX2197" s="10"/>
      <c r="OEY2197" s="10"/>
      <c r="OEZ2197" s="10"/>
      <c r="OFA2197" s="10"/>
      <c r="OFB2197" s="10"/>
      <c r="OFC2197" s="10"/>
      <c r="OFD2197" s="10"/>
      <c r="OFE2197" s="10"/>
      <c r="OFF2197" s="10"/>
      <c r="OFG2197" s="10"/>
      <c r="OFH2197" s="10"/>
      <c r="OFI2197" s="10"/>
      <c r="OFJ2197" s="10"/>
      <c r="OFK2197" s="10"/>
      <c r="OFL2197" s="10"/>
      <c r="OFM2197" s="10"/>
      <c r="OFN2197" s="10"/>
      <c r="OFO2197" s="10"/>
      <c r="OFP2197" s="10"/>
      <c r="OFQ2197" s="10"/>
      <c r="OFR2197" s="10"/>
      <c r="OFS2197" s="10"/>
      <c r="OFT2197" s="10"/>
      <c r="OFU2197" s="10"/>
      <c r="OFV2197" s="10"/>
      <c r="OFW2197" s="10"/>
      <c r="OFX2197" s="10"/>
      <c r="OFY2197" s="10"/>
      <c r="OFZ2197" s="10"/>
      <c r="OGA2197" s="10"/>
      <c r="OGB2197" s="10"/>
      <c r="OGC2197" s="10"/>
      <c r="OGD2197" s="10"/>
      <c r="OGE2197" s="10"/>
      <c r="OGF2197" s="10"/>
      <c r="OGG2197" s="10"/>
      <c r="OGH2197" s="10"/>
      <c r="OGI2197" s="10"/>
      <c r="OGJ2197" s="10"/>
      <c r="OGK2197" s="10"/>
      <c r="OGL2197" s="10"/>
      <c r="OGM2197" s="10"/>
      <c r="OGN2197" s="10"/>
      <c r="OGO2197" s="10"/>
      <c r="OGP2197" s="10"/>
      <c r="OGQ2197" s="10"/>
      <c r="OGR2197" s="10"/>
      <c r="OGS2197" s="10"/>
      <c r="OGT2197" s="10"/>
      <c r="OGU2197" s="10"/>
      <c r="OGV2197" s="10"/>
      <c r="OGW2197" s="10"/>
      <c r="OGX2197" s="10"/>
      <c r="OGY2197" s="10"/>
      <c r="OGZ2197" s="10"/>
      <c r="OHA2197" s="10"/>
      <c r="OHB2197" s="10"/>
      <c r="OHC2197" s="10"/>
      <c r="OHD2197" s="10"/>
      <c r="OHE2197" s="10"/>
      <c r="OHF2197" s="10"/>
      <c r="OHG2197" s="10"/>
      <c r="OHH2197" s="10"/>
      <c r="OHI2197" s="10"/>
      <c r="OHJ2197" s="10"/>
      <c r="OHK2197" s="10"/>
      <c r="OHL2197" s="10"/>
      <c r="OHM2197" s="10"/>
      <c r="OHN2197" s="10"/>
      <c r="OHO2197" s="10"/>
      <c r="OHP2197" s="10"/>
      <c r="OHQ2197" s="10"/>
      <c r="OHR2197" s="10"/>
      <c r="OHS2197" s="10"/>
      <c r="OHT2197" s="10"/>
      <c r="OHU2197" s="10"/>
      <c r="OHV2197" s="10"/>
      <c r="OHW2197" s="10"/>
      <c r="OHX2197" s="10"/>
      <c r="OHY2197" s="10"/>
      <c r="OHZ2197" s="10"/>
      <c r="OIA2197" s="10"/>
      <c r="OIB2197" s="10"/>
      <c r="OIC2197" s="10"/>
      <c r="OID2197" s="10"/>
      <c r="OIE2197" s="10"/>
      <c r="OIF2197" s="10"/>
      <c r="OIG2197" s="10"/>
      <c r="OIH2197" s="10"/>
      <c r="OII2197" s="10"/>
      <c r="OIJ2197" s="10"/>
      <c r="OIK2197" s="10"/>
      <c r="OIL2197" s="10"/>
      <c r="OIM2197" s="10"/>
      <c r="OIN2197" s="10"/>
      <c r="OIO2197" s="10"/>
      <c r="OIP2197" s="10"/>
      <c r="OIQ2197" s="10"/>
      <c r="OIR2197" s="10"/>
      <c r="OIS2197" s="10"/>
      <c r="OIT2197" s="10"/>
      <c r="OIU2197" s="10"/>
      <c r="OIV2197" s="10"/>
      <c r="OIW2197" s="10"/>
      <c r="OIX2197" s="10"/>
      <c r="OIY2197" s="10"/>
      <c r="OIZ2197" s="10"/>
      <c r="OJA2197" s="10"/>
      <c r="OJB2197" s="10"/>
      <c r="OJC2197" s="10"/>
      <c r="OJD2197" s="10"/>
      <c r="OJE2197" s="10"/>
      <c r="OJF2197" s="10"/>
      <c r="OJG2197" s="10"/>
      <c r="OJH2197" s="10"/>
      <c r="OJI2197" s="10"/>
      <c r="OJJ2197" s="10"/>
      <c r="OJK2197" s="10"/>
      <c r="OJL2197" s="10"/>
      <c r="OJM2197" s="10"/>
      <c r="OJN2197" s="10"/>
      <c r="OJO2197" s="10"/>
      <c r="OJP2197" s="10"/>
      <c r="OJQ2197" s="10"/>
      <c r="OJR2197" s="10"/>
      <c r="OJS2197" s="10"/>
      <c r="OJT2197" s="10"/>
      <c r="OJU2197" s="10"/>
      <c r="OJV2197" s="10"/>
      <c r="OJW2197" s="10"/>
      <c r="OJX2197" s="10"/>
      <c r="OJY2197" s="10"/>
      <c r="OJZ2197" s="10"/>
      <c r="OKA2197" s="10"/>
      <c r="OKB2197" s="10"/>
      <c r="OKC2197" s="10"/>
      <c r="OKD2197" s="10"/>
      <c r="OKE2197" s="10"/>
      <c r="OKF2197" s="10"/>
      <c r="OKG2197" s="10"/>
      <c r="OKH2197" s="10"/>
      <c r="OKI2197" s="10"/>
      <c r="OKJ2197" s="10"/>
      <c r="OKK2197" s="10"/>
      <c r="OKL2197" s="10"/>
      <c r="OKM2197" s="10"/>
      <c r="OKN2197" s="10"/>
      <c r="OKO2197" s="10"/>
      <c r="OKP2197" s="10"/>
      <c r="OKQ2197" s="10"/>
      <c r="OKR2197" s="10"/>
      <c r="OKS2197" s="10"/>
      <c r="OKT2197" s="10"/>
      <c r="OKU2197" s="10"/>
      <c r="OKV2197" s="10"/>
      <c r="OKW2197" s="10"/>
      <c r="OKX2197" s="10"/>
      <c r="OKY2197" s="10"/>
      <c r="OKZ2197" s="10"/>
      <c r="OLA2197" s="10"/>
      <c r="OLB2197" s="10"/>
      <c r="OLC2197" s="10"/>
      <c r="OLD2197" s="10"/>
      <c r="OLE2197" s="10"/>
      <c r="OLF2197" s="10"/>
      <c r="OLG2197" s="10"/>
      <c r="OLH2197" s="10"/>
      <c r="OLI2197" s="10"/>
      <c r="OLJ2197" s="10"/>
      <c r="OLK2197" s="10"/>
      <c r="OLL2197" s="10"/>
      <c r="OLM2197" s="10"/>
      <c r="OLN2197" s="10"/>
      <c r="OLO2197" s="10"/>
      <c r="OLP2197" s="10"/>
      <c r="OLQ2197" s="10"/>
      <c r="OLR2197" s="10"/>
      <c r="OLS2197" s="10"/>
      <c r="OLT2197" s="10"/>
      <c r="OLU2197" s="10"/>
      <c r="OLV2197" s="10"/>
      <c r="OLW2197" s="10"/>
      <c r="OLX2197" s="10"/>
      <c r="OLY2197" s="10"/>
      <c r="OLZ2197" s="10"/>
      <c r="OMA2197" s="10"/>
      <c r="OMB2197" s="10"/>
      <c r="OMC2197" s="10"/>
      <c r="OMD2197" s="10"/>
      <c r="OME2197" s="10"/>
      <c r="OMF2197" s="10"/>
      <c r="OMG2197" s="10"/>
      <c r="OMH2197" s="10"/>
      <c r="OMI2197" s="10"/>
      <c r="OMJ2197" s="10"/>
      <c r="OMK2197" s="10"/>
      <c r="OML2197" s="10"/>
      <c r="OMM2197" s="10"/>
      <c r="OMN2197" s="10"/>
      <c r="OMO2197" s="10"/>
      <c r="OMP2197" s="10"/>
      <c r="OMQ2197" s="10"/>
      <c r="OMR2197" s="10"/>
      <c r="OMS2197" s="10"/>
      <c r="OMT2197" s="10"/>
      <c r="OMU2197" s="10"/>
      <c r="OMV2197" s="10"/>
      <c r="OMW2197" s="10"/>
      <c r="OMX2197" s="10"/>
      <c r="OMY2197" s="10"/>
      <c r="OMZ2197" s="10"/>
      <c r="ONA2197" s="10"/>
      <c r="ONB2197" s="10"/>
      <c r="ONC2197" s="10"/>
      <c r="OND2197" s="10"/>
      <c r="ONE2197" s="10"/>
      <c r="ONF2197" s="10"/>
      <c r="ONG2197" s="10"/>
      <c r="ONH2197" s="10"/>
      <c r="ONI2197" s="10"/>
      <c r="ONJ2197" s="10"/>
      <c r="ONK2197" s="10"/>
      <c r="ONL2197" s="10"/>
      <c r="ONM2197" s="10"/>
      <c r="ONN2197" s="10"/>
      <c r="ONO2197" s="10"/>
      <c r="ONP2197" s="10"/>
      <c r="ONQ2197" s="10"/>
      <c r="ONR2197" s="10"/>
      <c r="ONS2197" s="10"/>
      <c r="ONT2197" s="10"/>
      <c r="ONU2197" s="10"/>
      <c r="ONV2197" s="10"/>
      <c r="ONW2197" s="10"/>
      <c r="ONX2197" s="10"/>
      <c r="ONY2197" s="10"/>
      <c r="ONZ2197" s="10"/>
      <c r="OOA2197" s="10"/>
      <c r="OOB2197" s="10"/>
      <c r="OOC2197" s="10"/>
      <c r="OOD2197" s="10"/>
      <c r="OOE2197" s="10"/>
      <c r="OOF2197" s="10"/>
      <c r="OOG2197" s="10"/>
      <c r="OOH2197" s="10"/>
      <c r="OOI2197" s="10"/>
      <c r="OOJ2197" s="10"/>
      <c r="OOK2197" s="10"/>
      <c r="OOL2197" s="10"/>
      <c r="OOM2197" s="10"/>
      <c r="OON2197" s="10"/>
      <c r="OOO2197" s="10"/>
      <c r="OOP2197" s="10"/>
      <c r="OOQ2197" s="10"/>
      <c r="OOR2197" s="10"/>
      <c r="OOS2197" s="10"/>
      <c r="OOT2197" s="10"/>
      <c r="OOU2197" s="10"/>
      <c r="OOV2197" s="10"/>
      <c r="OOW2197" s="10"/>
      <c r="OOX2197" s="10"/>
      <c r="OOY2197" s="10"/>
      <c r="OOZ2197" s="10"/>
      <c r="OPA2197" s="10"/>
      <c r="OPB2197" s="10"/>
      <c r="OPC2197" s="10"/>
      <c r="OPD2197" s="10"/>
      <c r="OPE2197" s="10"/>
      <c r="OPF2197" s="10"/>
      <c r="OPG2197" s="10"/>
      <c r="OPH2197" s="10"/>
      <c r="OPI2197" s="10"/>
      <c r="OPJ2197" s="10"/>
      <c r="OPK2197" s="10"/>
      <c r="OPL2197" s="10"/>
      <c r="OPM2197" s="10"/>
      <c r="OPN2197" s="10"/>
      <c r="OPO2197" s="10"/>
      <c r="OPP2197" s="10"/>
      <c r="OPQ2197" s="10"/>
      <c r="OPR2197" s="10"/>
      <c r="OPS2197" s="10"/>
      <c r="OPT2197" s="10"/>
      <c r="OPU2197" s="10"/>
      <c r="OPV2197" s="10"/>
      <c r="OPW2197" s="10"/>
      <c r="OPX2197" s="10"/>
      <c r="OPY2197" s="10"/>
      <c r="OPZ2197" s="10"/>
      <c r="OQA2197" s="10"/>
      <c r="OQB2197" s="10"/>
      <c r="OQC2197" s="10"/>
      <c r="OQD2197" s="10"/>
      <c r="OQE2197" s="10"/>
      <c r="OQF2197" s="10"/>
      <c r="OQG2197" s="10"/>
      <c r="OQH2197" s="10"/>
      <c r="OQI2197" s="10"/>
      <c r="OQJ2197" s="10"/>
      <c r="OQK2197" s="10"/>
      <c r="OQL2197" s="10"/>
      <c r="OQM2197" s="10"/>
      <c r="OQN2197" s="10"/>
      <c r="OQO2197" s="10"/>
      <c r="OQP2197" s="10"/>
      <c r="OQQ2197" s="10"/>
      <c r="OQR2197" s="10"/>
      <c r="OQS2197" s="10"/>
      <c r="OQT2197" s="10"/>
      <c r="OQU2197" s="10"/>
      <c r="OQV2197" s="10"/>
      <c r="OQW2197" s="10"/>
      <c r="OQX2197" s="10"/>
      <c r="OQY2197" s="10"/>
      <c r="OQZ2197" s="10"/>
      <c r="ORA2197" s="10"/>
      <c r="ORB2197" s="10"/>
      <c r="ORC2197" s="10"/>
      <c r="ORD2197" s="10"/>
      <c r="ORE2197" s="10"/>
      <c r="ORF2197" s="10"/>
      <c r="ORG2197" s="10"/>
      <c r="ORH2197" s="10"/>
      <c r="ORI2197" s="10"/>
      <c r="ORJ2197" s="10"/>
      <c r="ORK2197" s="10"/>
      <c r="ORL2197" s="10"/>
      <c r="ORM2197" s="10"/>
      <c r="ORN2197" s="10"/>
      <c r="ORO2197" s="10"/>
      <c r="ORP2197" s="10"/>
      <c r="ORQ2197" s="10"/>
      <c r="ORR2197" s="10"/>
      <c r="ORS2197" s="10"/>
      <c r="ORT2197" s="10"/>
      <c r="ORU2197" s="10"/>
      <c r="ORV2197" s="10"/>
      <c r="ORW2197" s="10"/>
      <c r="ORX2197" s="10"/>
      <c r="ORY2197" s="10"/>
      <c r="ORZ2197" s="10"/>
      <c r="OSA2197" s="10"/>
      <c r="OSB2197" s="10"/>
      <c r="OSC2197" s="10"/>
      <c r="OSD2197" s="10"/>
      <c r="OSE2197" s="10"/>
      <c r="OSF2197" s="10"/>
      <c r="OSG2197" s="10"/>
      <c r="OSH2197" s="10"/>
      <c r="OSI2197" s="10"/>
      <c r="OSJ2197" s="10"/>
      <c r="OSK2197" s="10"/>
      <c r="OSL2197" s="10"/>
      <c r="OSM2197" s="10"/>
      <c r="OSN2197" s="10"/>
      <c r="OSO2197" s="10"/>
      <c r="OSP2197" s="10"/>
      <c r="OSQ2197" s="10"/>
      <c r="OSR2197" s="10"/>
      <c r="OSS2197" s="10"/>
      <c r="OST2197" s="10"/>
      <c r="OSU2197" s="10"/>
      <c r="OSV2197" s="10"/>
      <c r="OSW2197" s="10"/>
      <c r="OSX2197" s="10"/>
      <c r="OSY2197" s="10"/>
      <c r="OSZ2197" s="10"/>
      <c r="OTA2197" s="10"/>
      <c r="OTB2197" s="10"/>
      <c r="OTC2197" s="10"/>
      <c r="OTD2197" s="10"/>
      <c r="OTE2197" s="10"/>
      <c r="OTF2197" s="10"/>
      <c r="OTG2197" s="10"/>
      <c r="OTH2197" s="10"/>
      <c r="OTI2197" s="10"/>
      <c r="OTJ2197" s="10"/>
      <c r="OTK2197" s="10"/>
      <c r="OTL2197" s="10"/>
      <c r="OTM2197" s="10"/>
      <c r="OTN2197" s="10"/>
      <c r="OTO2197" s="10"/>
      <c r="OTP2197" s="10"/>
      <c r="OTQ2197" s="10"/>
      <c r="OTR2197" s="10"/>
      <c r="OTS2197" s="10"/>
      <c r="OTT2197" s="10"/>
      <c r="OTU2197" s="10"/>
      <c r="OTV2197" s="10"/>
      <c r="OTW2197" s="10"/>
      <c r="OTX2197" s="10"/>
      <c r="OTY2197" s="10"/>
      <c r="OTZ2197" s="10"/>
      <c r="OUA2197" s="10"/>
      <c r="OUB2197" s="10"/>
      <c r="OUC2197" s="10"/>
      <c r="OUD2197" s="10"/>
      <c r="OUE2197" s="10"/>
      <c r="OUF2197" s="10"/>
      <c r="OUG2197" s="10"/>
      <c r="OUH2197" s="10"/>
      <c r="OUI2197" s="10"/>
      <c r="OUJ2197" s="10"/>
      <c r="OUK2197" s="10"/>
      <c r="OUL2197" s="10"/>
      <c r="OUM2197" s="10"/>
      <c r="OUN2197" s="10"/>
      <c r="OUO2197" s="10"/>
      <c r="OUP2197" s="10"/>
      <c r="OUQ2197" s="10"/>
      <c r="OUR2197" s="10"/>
      <c r="OUS2197" s="10"/>
      <c r="OUT2197" s="10"/>
      <c r="OUU2197" s="10"/>
      <c r="OUV2197" s="10"/>
      <c r="OUW2197" s="10"/>
      <c r="OUX2197" s="10"/>
      <c r="OUY2197" s="10"/>
      <c r="OUZ2197" s="10"/>
      <c r="OVA2197" s="10"/>
      <c r="OVB2197" s="10"/>
      <c r="OVC2197" s="10"/>
      <c r="OVD2197" s="10"/>
      <c r="OVE2197" s="10"/>
      <c r="OVF2197" s="10"/>
      <c r="OVG2197" s="10"/>
      <c r="OVH2197" s="10"/>
      <c r="OVI2197" s="10"/>
      <c r="OVJ2197" s="10"/>
      <c r="OVK2197" s="10"/>
      <c r="OVL2197" s="10"/>
      <c r="OVM2197" s="10"/>
      <c r="OVN2197" s="10"/>
      <c r="OVO2197" s="10"/>
      <c r="OVP2197" s="10"/>
      <c r="OVQ2197" s="10"/>
      <c r="OVR2197" s="10"/>
      <c r="OVS2197" s="10"/>
      <c r="OVT2197" s="10"/>
      <c r="OVU2197" s="10"/>
      <c r="OVV2197" s="10"/>
      <c r="OVW2197" s="10"/>
      <c r="OVX2197" s="10"/>
      <c r="OVY2197" s="10"/>
      <c r="OVZ2197" s="10"/>
      <c r="OWA2197" s="10"/>
      <c r="OWB2197" s="10"/>
      <c r="OWC2197" s="10"/>
      <c r="OWD2197" s="10"/>
      <c r="OWE2197" s="10"/>
      <c r="OWF2197" s="10"/>
      <c r="OWG2197" s="10"/>
      <c r="OWH2197" s="10"/>
      <c r="OWI2197" s="10"/>
      <c r="OWJ2197" s="10"/>
      <c r="OWK2197" s="10"/>
      <c r="OWL2197" s="10"/>
      <c r="OWM2197" s="10"/>
      <c r="OWN2197" s="10"/>
      <c r="OWO2197" s="10"/>
      <c r="OWP2197" s="10"/>
      <c r="OWQ2197" s="10"/>
      <c r="OWR2197" s="10"/>
      <c r="OWS2197" s="10"/>
      <c r="OWT2197" s="10"/>
      <c r="OWU2197" s="10"/>
      <c r="OWV2197" s="10"/>
      <c r="OWW2197" s="10"/>
      <c r="OWX2197" s="10"/>
      <c r="OWY2197" s="10"/>
      <c r="OWZ2197" s="10"/>
      <c r="OXA2197" s="10"/>
      <c r="OXB2197" s="10"/>
      <c r="OXC2197" s="10"/>
      <c r="OXD2197" s="10"/>
      <c r="OXE2197" s="10"/>
      <c r="OXF2197" s="10"/>
      <c r="OXG2197" s="10"/>
      <c r="OXH2197" s="10"/>
      <c r="OXI2197" s="10"/>
      <c r="OXJ2197" s="10"/>
      <c r="OXK2197" s="10"/>
      <c r="OXL2197" s="10"/>
      <c r="OXM2197" s="10"/>
      <c r="OXN2197" s="10"/>
      <c r="OXO2197" s="10"/>
      <c r="OXP2197" s="10"/>
      <c r="OXQ2197" s="10"/>
      <c r="OXR2197" s="10"/>
      <c r="OXS2197" s="10"/>
      <c r="OXT2197" s="10"/>
      <c r="OXU2197" s="10"/>
      <c r="OXV2197" s="10"/>
      <c r="OXW2197" s="10"/>
      <c r="OXX2197" s="10"/>
      <c r="OXY2197" s="10"/>
      <c r="OXZ2197" s="10"/>
      <c r="OYA2197" s="10"/>
      <c r="OYB2197" s="10"/>
      <c r="OYC2197" s="10"/>
      <c r="OYD2197" s="10"/>
      <c r="OYE2197" s="10"/>
      <c r="OYF2197" s="10"/>
      <c r="OYG2197" s="10"/>
      <c r="OYH2197" s="10"/>
      <c r="OYI2197" s="10"/>
      <c r="OYJ2197" s="10"/>
      <c r="OYK2197" s="10"/>
      <c r="OYL2197" s="10"/>
      <c r="OYM2197" s="10"/>
      <c r="OYN2197" s="10"/>
      <c r="OYO2197" s="10"/>
      <c r="OYP2197" s="10"/>
      <c r="OYQ2197" s="10"/>
      <c r="OYR2197" s="10"/>
      <c r="OYS2197" s="10"/>
      <c r="OYT2197" s="10"/>
      <c r="OYU2197" s="10"/>
      <c r="OYV2197" s="10"/>
      <c r="OYW2197" s="10"/>
      <c r="OYX2197" s="10"/>
      <c r="OYY2197" s="10"/>
      <c r="OYZ2197" s="10"/>
      <c r="OZA2197" s="10"/>
      <c r="OZB2197" s="10"/>
      <c r="OZC2197" s="10"/>
      <c r="OZD2197" s="10"/>
      <c r="OZE2197" s="10"/>
      <c r="OZF2197" s="10"/>
      <c r="OZG2197" s="10"/>
      <c r="OZH2197" s="10"/>
      <c r="OZI2197" s="10"/>
      <c r="OZJ2197" s="10"/>
      <c r="OZK2197" s="10"/>
      <c r="OZL2197" s="10"/>
      <c r="OZM2197" s="10"/>
      <c r="OZN2197" s="10"/>
      <c r="OZO2197" s="10"/>
      <c r="OZP2197" s="10"/>
      <c r="OZQ2197" s="10"/>
      <c r="OZR2197" s="10"/>
      <c r="OZS2197" s="10"/>
      <c r="OZT2197" s="10"/>
      <c r="OZU2197" s="10"/>
      <c r="OZV2197" s="10"/>
      <c r="OZW2197" s="10"/>
      <c r="OZX2197" s="10"/>
      <c r="OZY2197" s="10"/>
      <c r="OZZ2197" s="10"/>
      <c r="PAA2197" s="10"/>
      <c r="PAB2197" s="10"/>
      <c r="PAC2197" s="10"/>
      <c r="PAD2197" s="10"/>
      <c r="PAE2197" s="10"/>
      <c r="PAF2197" s="10"/>
      <c r="PAG2197" s="10"/>
      <c r="PAH2197" s="10"/>
      <c r="PAI2197" s="10"/>
      <c r="PAJ2197" s="10"/>
      <c r="PAK2197" s="10"/>
      <c r="PAL2197" s="10"/>
      <c r="PAM2197" s="10"/>
      <c r="PAN2197" s="10"/>
      <c r="PAO2197" s="10"/>
      <c r="PAP2197" s="10"/>
      <c r="PAQ2197" s="10"/>
      <c r="PAR2197" s="10"/>
      <c r="PAS2197" s="10"/>
      <c r="PAT2197" s="10"/>
      <c r="PAU2197" s="10"/>
      <c r="PAV2197" s="10"/>
      <c r="PAW2197" s="10"/>
      <c r="PAX2197" s="10"/>
      <c r="PAY2197" s="10"/>
      <c r="PAZ2197" s="10"/>
      <c r="PBA2197" s="10"/>
      <c r="PBB2197" s="10"/>
      <c r="PBC2197" s="10"/>
      <c r="PBD2197" s="10"/>
      <c r="PBE2197" s="10"/>
      <c r="PBF2197" s="10"/>
      <c r="PBG2197" s="10"/>
      <c r="PBH2197" s="10"/>
      <c r="PBI2197" s="10"/>
      <c r="PBJ2197" s="10"/>
      <c r="PBK2197" s="10"/>
      <c r="PBL2197" s="10"/>
      <c r="PBM2197" s="10"/>
      <c r="PBN2197" s="10"/>
      <c r="PBO2197" s="10"/>
      <c r="PBP2197" s="10"/>
      <c r="PBQ2197" s="10"/>
      <c r="PBR2197" s="10"/>
      <c r="PBS2197" s="10"/>
      <c r="PBT2197" s="10"/>
      <c r="PBU2197" s="10"/>
      <c r="PBV2197" s="10"/>
      <c r="PBW2197" s="10"/>
      <c r="PBX2197" s="10"/>
      <c r="PBY2197" s="10"/>
      <c r="PBZ2197" s="10"/>
      <c r="PCA2197" s="10"/>
      <c r="PCB2197" s="10"/>
      <c r="PCC2197" s="10"/>
      <c r="PCD2197" s="10"/>
      <c r="PCE2197" s="10"/>
      <c r="PCF2197" s="10"/>
      <c r="PCG2197" s="10"/>
      <c r="PCH2197" s="10"/>
      <c r="PCI2197" s="10"/>
      <c r="PCJ2197" s="10"/>
      <c r="PCK2197" s="10"/>
      <c r="PCL2197" s="10"/>
      <c r="PCM2197" s="10"/>
      <c r="PCN2197" s="10"/>
      <c r="PCO2197" s="10"/>
      <c r="PCP2197" s="10"/>
      <c r="PCQ2197" s="10"/>
      <c r="PCR2197" s="10"/>
      <c r="PCS2197" s="10"/>
      <c r="PCT2197" s="10"/>
      <c r="PCU2197" s="10"/>
      <c r="PCV2197" s="10"/>
      <c r="PCW2197" s="10"/>
      <c r="PCX2197" s="10"/>
      <c r="PCY2197" s="10"/>
      <c r="PCZ2197" s="10"/>
      <c r="PDA2197" s="10"/>
      <c r="PDB2197" s="10"/>
      <c r="PDC2197" s="10"/>
      <c r="PDD2197" s="10"/>
      <c r="PDE2197" s="10"/>
      <c r="PDF2197" s="10"/>
      <c r="PDG2197" s="10"/>
      <c r="PDH2197" s="10"/>
      <c r="PDI2197" s="10"/>
      <c r="PDJ2197" s="10"/>
      <c r="PDK2197" s="10"/>
      <c r="PDL2197" s="10"/>
      <c r="PDM2197" s="10"/>
      <c r="PDN2197" s="10"/>
      <c r="PDO2197" s="10"/>
      <c r="PDP2197" s="10"/>
      <c r="PDQ2197" s="10"/>
      <c r="PDR2197" s="10"/>
      <c r="PDS2197" s="10"/>
      <c r="PDT2197" s="10"/>
      <c r="PDU2197" s="10"/>
      <c r="PDV2197" s="10"/>
      <c r="PDW2197" s="10"/>
      <c r="PDX2197" s="10"/>
      <c r="PDY2197" s="10"/>
      <c r="PDZ2197" s="10"/>
      <c r="PEA2197" s="10"/>
      <c r="PEB2197" s="10"/>
      <c r="PEC2197" s="10"/>
      <c r="PED2197" s="10"/>
      <c r="PEE2197" s="10"/>
      <c r="PEF2197" s="10"/>
      <c r="PEG2197" s="10"/>
      <c r="PEH2197" s="10"/>
      <c r="PEI2197" s="10"/>
      <c r="PEJ2197" s="10"/>
      <c r="PEK2197" s="10"/>
      <c r="PEL2197" s="10"/>
      <c r="PEM2197" s="10"/>
      <c r="PEN2197" s="10"/>
      <c r="PEO2197" s="10"/>
      <c r="PEP2197" s="10"/>
      <c r="PEQ2197" s="10"/>
      <c r="PER2197" s="10"/>
      <c r="PES2197" s="10"/>
      <c r="PET2197" s="10"/>
      <c r="PEU2197" s="10"/>
      <c r="PEV2197" s="10"/>
      <c r="PEW2197" s="10"/>
      <c r="PEX2197" s="10"/>
      <c r="PEY2197" s="10"/>
      <c r="PEZ2197" s="10"/>
      <c r="PFA2197" s="10"/>
      <c r="PFB2197" s="10"/>
      <c r="PFC2197" s="10"/>
      <c r="PFD2197" s="10"/>
      <c r="PFE2197" s="10"/>
      <c r="PFF2197" s="10"/>
      <c r="PFG2197" s="10"/>
      <c r="PFH2197" s="10"/>
      <c r="PFI2197" s="10"/>
      <c r="PFJ2197" s="10"/>
      <c r="PFK2197" s="10"/>
      <c r="PFL2197" s="10"/>
      <c r="PFM2197" s="10"/>
      <c r="PFN2197" s="10"/>
      <c r="PFO2197" s="10"/>
      <c r="PFP2197" s="10"/>
      <c r="PFQ2197" s="10"/>
      <c r="PFR2197" s="10"/>
      <c r="PFS2197" s="10"/>
      <c r="PFT2197" s="10"/>
      <c r="PFU2197" s="10"/>
      <c r="PFV2197" s="10"/>
      <c r="PFW2197" s="10"/>
      <c r="PFX2197" s="10"/>
      <c r="PFY2197" s="10"/>
      <c r="PFZ2197" s="10"/>
      <c r="PGA2197" s="10"/>
      <c r="PGB2197" s="10"/>
      <c r="PGC2197" s="10"/>
      <c r="PGD2197" s="10"/>
      <c r="PGE2197" s="10"/>
      <c r="PGF2197" s="10"/>
      <c r="PGG2197" s="10"/>
      <c r="PGH2197" s="10"/>
      <c r="PGI2197" s="10"/>
      <c r="PGJ2197" s="10"/>
      <c r="PGK2197" s="10"/>
      <c r="PGL2197" s="10"/>
      <c r="PGM2197" s="10"/>
      <c r="PGN2197" s="10"/>
      <c r="PGO2197" s="10"/>
      <c r="PGP2197" s="10"/>
      <c r="PGQ2197" s="10"/>
      <c r="PGR2197" s="10"/>
      <c r="PGS2197" s="10"/>
      <c r="PGT2197" s="10"/>
      <c r="PGU2197" s="10"/>
      <c r="PGV2197" s="10"/>
      <c r="PGW2197" s="10"/>
      <c r="PGX2197" s="10"/>
      <c r="PGY2197" s="10"/>
      <c r="PGZ2197" s="10"/>
      <c r="PHA2197" s="10"/>
      <c r="PHB2197" s="10"/>
      <c r="PHC2197" s="10"/>
      <c r="PHD2197" s="10"/>
      <c r="PHE2197" s="10"/>
      <c r="PHF2197" s="10"/>
      <c r="PHG2197" s="10"/>
      <c r="PHH2197" s="10"/>
      <c r="PHI2197" s="10"/>
      <c r="PHJ2197" s="10"/>
      <c r="PHK2197" s="10"/>
      <c r="PHL2197" s="10"/>
      <c r="PHM2197" s="10"/>
      <c r="PHN2197" s="10"/>
      <c r="PHO2197" s="10"/>
      <c r="PHP2197" s="10"/>
      <c r="PHQ2197" s="10"/>
      <c r="PHR2197" s="10"/>
      <c r="PHS2197" s="10"/>
      <c r="PHT2197" s="10"/>
      <c r="PHU2197" s="10"/>
      <c r="PHV2197" s="10"/>
      <c r="PHW2197" s="10"/>
      <c r="PHX2197" s="10"/>
      <c r="PHY2197" s="10"/>
      <c r="PHZ2197" s="10"/>
      <c r="PIA2197" s="10"/>
      <c r="PIB2197" s="10"/>
      <c r="PIC2197" s="10"/>
      <c r="PID2197" s="10"/>
      <c r="PIE2197" s="10"/>
      <c r="PIF2197" s="10"/>
      <c r="PIG2197" s="10"/>
      <c r="PIH2197" s="10"/>
      <c r="PII2197" s="10"/>
      <c r="PIJ2197" s="10"/>
      <c r="PIK2197" s="10"/>
      <c r="PIL2197" s="10"/>
      <c r="PIM2197" s="10"/>
      <c r="PIN2197" s="10"/>
      <c r="PIO2197" s="10"/>
      <c r="PIP2197" s="10"/>
      <c r="PIQ2197" s="10"/>
      <c r="PIR2197" s="10"/>
      <c r="PIS2197" s="10"/>
      <c r="PIT2197" s="10"/>
      <c r="PIU2197" s="10"/>
      <c r="PIV2197" s="10"/>
      <c r="PIW2197" s="10"/>
      <c r="PIX2197" s="10"/>
      <c r="PIY2197" s="10"/>
      <c r="PIZ2197" s="10"/>
      <c r="PJA2197" s="10"/>
      <c r="PJB2197" s="10"/>
      <c r="PJC2197" s="10"/>
      <c r="PJD2197" s="10"/>
      <c r="PJE2197" s="10"/>
      <c r="PJF2197" s="10"/>
      <c r="PJG2197" s="10"/>
      <c r="PJH2197" s="10"/>
      <c r="PJI2197" s="10"/>
      <c r="PJJ2197" s="10"/>
      <c r="PJK2197" s="10"/>
      <c r="PJL2197" s="10"/>
      <c r="PJM2197" s="10"/>
      <c r="PJN2197" s="10"/>
      <c r="PJO2197" s="10"/>
      <c r="PJP2197" s="10"/>
      <c r="PJQ2197" s="10"/>
      <c r="PJR2197" s="10"/>
      <c r="PJS2197" s="10"/>
      <c r="PJT2197" s="10"/>
      <c r="PJU2197" s="10"/>
      <c r="PJV2197" s="10"/>
      <c r="PJW2197" s="10"/>
      <c r="PJX2197" s="10"/>
      <c r="PJY2197" s="10"/>
      <c r="PJZ2197" s="10"/>
      <c r="PKA2197" s="10"/>
      <c r="PKB2197" s="10"/>
      <c r="PKC2197" s="10"/>
      <c r="PKD2197" s="10"/>
      <c r="PKE2197" s="10"/>
      <c r="PKF2197" s="10"/>
      <c r="PKG2197" s="10"/>
      <c r="PKH2197" s="10"/>
      <c r="PKI2197" s="10"/>
      <c r="PKJ2197" s="10"/>
      <c r="PKK2197" s="10"/>
      <c r="PKL2197" s="10"/>
      <c r="PKM2197" s="10"/>
      <c r="PKN2197" s="10"/>
      <c r="PKO2197" s="10"/>
      <c r="PKP2197" s="10"/>
      <c r="PKQ2197" s="10"/>
      <c r="PKR2197" s="10"/>
      <c r="PKS2197" s="10"/>
      <c r="PKT2197" s="10"/>
      <c r="PKU2197" s="10"/>
      <c r="PKV2197" s="10"/>
      <c r="PKW2197" s="10"/>
      <c r="PKX2197" s="10"/>
      <c r="PKY2197" s="10"/>
      <c r="PKZ2197" s="10"/>
      <c r="PLA2197" s="10"/>
      <c r="PLB2197" s="10"/>
      <c r="PLC2197" s="10"/>
      <c r="PLD2197" s="10"/>
      <c r="PLE2197" s="10"/>
      <c r="PLF2197" s="10"/>
      <c r="PLG2197" s="10"/>
      <c r="PLH2197" s="10"/>
      <c r="PLI2197" s="10"/>
      <c r="PLJ2197" s="10"/>
      <c r="PLK2197" s="10"/>
      <c r="PLL2197" s="10"/>
      <c r="PLM2197" s="10"/>
      <c r="PLN2197" s="10"/>
      <c r="PLO2197" s="10"/>
      <c r="PLP2197" s="10"/>
      <c r="PLQ2197" s="10"/>
      <c r="PLR2197" s="10"/>
      <c r="PLS2197" s="10"/>
      <c r="PLT2197" s="10"/>
      <c r="PLU2197" s="10"/>
      <c r="PLV2197" s="10"/>
      <c r="PLW2197" s="10"/>
      <c r="PLX2197" s="10"/>
      <c r="PLY2197" s="10"/>
      <c r="PLZ2197" s="10"/>
      <c r="PMA2197" s="10"/>
      <c r="PMB2197" s="10"/>
      <c r="PMC2197" s="10"/>
      <c r="PMD2197" s="10"/>
      <c r="PME2197" s="10"/>
      <c r="PMF2197" s="10"/>
      <c r="PMG2197" s="10"/>
      <c r="PMH2197" s="10"/>
      <c r="PMI2197" s="10"/>
      <c r="PMJ2197" s="10"/>
      <c r="PMK2197" s="10"/>
      <c r="PML2197" s="10"/>
      <c r="PMM2197" s="10"/>
      <c r="PMN2197" s="10"/>
      <c r="PMO2197" s="10"/>
      <c r="PMP2197" s="10"/>
      <c r="PMQ2197" s="10"/>
      <c r="PMR2197" s="10"/>
      <c r="PMS2197" s="10"/>
      <c r="PMT2197" s="10"/>
      <c r="PMU2197" s="10"/>
      <c r="PMV2197" s="10"/>
      <c r="PMW2197" s="10"/>
      <c r="PMX2197" s="10"/>
      <c r="PMY2197" s="10"/>
      <c r="PMZ2197" s="10"/>
      <c r="PNA2197" s="10"/>
      <c r="PNB2197" s="10"/>
      <c r="PNC2197" s="10"/>
      <c r="PND2197" s="10"/>
      <c r="PNE2197" s="10"/>
      <c r="PNF2197" s="10"/>
      <c r="PNG2197" s="10"/>
      <c r="PNH2197" s="10"/>
      <c r="PNI2197" s="10"/>
      <c r="PNJ2197" s="10"/>
      <c r="PNK2197" s="10"/>
      <c r="PNL2197" s="10"/>
      <c r="PNM2197" s="10"/>
      <c r="PNN2197" s="10"/>
      <c r="PNO2197" s="10"/>
      <c r="PNP2197" s="10"/>
      <c r="PNQ2197" s="10"/>
      <c r="PNR2197" s="10"/>
      <c r="PNS2197" s="10"/>
      <c r="PNT2197" s="10"/>
      <c r="PNU2197" s="10"/>
      <c r="PNV2197" s="10"/>
      <c r="PNW2197" s="10"/>
      <c r="PNX2197" s="10"/>
      <c r="PNY2197" s="10"/>
      <c r="PNZ2197" s="10"/>
      <c r="POA2197" s="10"/>
      <c r="POB2197" s="10"/>
      <c r="POC2197" s="10"/>
      <c r="POD2197" s="10"/>
      <c r="POE2197" s="10"/>
      <c r="POF2197" s="10"/>
      <c r="POG2197" s="10"/>
      <c r="POH2197" s="10"/>
      <c r="POI2197" s="10"/>
      <c r="POJ2197" s="10"/>
      <c r="POK2197" s="10"/>
      <c r="POL2197" s="10"/>
      <c r="POM2197" s="10"/>
      <c r="PON2197" s="10"/>
      <c r="POO2197" s="10"/>
      <c r="POP2197" s="10"/>
      <c r="POQ2197" s="10"/>
      <c r="POR2197" s="10"/>
      <c r="POS2197" s="10"/>
      <c r="POT2197" s="10"/>
      <c r="POU2197" s="10"/>
      <c r="POV2197" s="10"/>
      <c r="POW2197" s="10"/>
      <c r="POX2197" s="10"/>
      <c r="POY2197" s="10"/>
      <c r="POZ2197" s="10"/>
      <c r="PPA2197" s="10"/>
      <c r="PPB2197" s="10"/>
      <c r="PPC2197" s="10"/>
      <c r="PPD2197" s="10"/>
      <c r="PPE2197" s="10"/>
      <c r="PPF2197" s="10"/>
      <c r="PPG2197" s="10"/>
      <c r="PPH2197" s="10"/>
      <c r="PPI2197" s="10"/>
      <c r="PPJ2197" s="10"/>
      <c r="PPK2197" s="10"/>
      <c r="PPL2197" s="10"/>
      <c r="PPM2197" s="10"/>
      <c r="PPN2197" s="10"/>
      <c r="PPO2197" s="10"/>
      <c r="PPP2197" s="10"/>
      <c r="PPQ2197" s="10"/>
      <c r="PPR2197" s="10"/>
      <c r="PPS2197" s="10"/>
      <c r="PPT2197" s="10"/>
      <c r="PPU2197" s="10"/>
      <c r="PPV2197" s="10"/>
      <c r="PPW2197" s="10"/>
      <c r="PPX2197" s="10"/>
      <c r="PPY2197" s="10"/>
      <c r="PPZ2197" s="10"/>
      <c r="PQA2197" s="10"/>
      <c r="PQB2197" s="10"/>
      <c r="PQC2197" s="10"/>
      <c r="PQD2197" s="10"/>
      <c r="PQE2197" s="10"/>
      <c r="PQF2197" s="10"/>
      <c r="PQG2197" s="10"/>
      <c r="PQH2197" s="10"/>
      <c r="PQI2197" s="10"/>
      <c r="PQJ2197" s="10"/>
      <c r="PQK2197" s="10"/>
      <c r="PQL2197" s="10"/>
      <c r="PQM2197" s="10"/>
      <c r="PQN2197" s="10"/>
      <c r="PQO2197" s="10"/>
      <c r="PQP2197" s="10"/>
      <c r="PQQ2197" s="10"/>
      <c r="PQR2197" s="10"/>
      <c r="PQS2197" s="10"/>
      <c r="PQT2197" s="10"/>
      <c r="PQU2197" s="10"/>
      <c r="PQV2197" s="10"/>
      <c r="PQW2197" s="10"/>
      <c r="PQX2197" s="10"/>
      <c r="PQY2197" s="10"/>
      <c r="PQZ2197" s="10"/>
      <c r="PRA2197" s="10"/>
      <c r="PRB2197" s="10"/>
      <c r="PRC2197" s="10"/>
      <c r="PRD2197" s="10"/>
      <c r="PRE2197" s="10"/>
      <c r="PRF2197" s="10"/>
      <c r="PRG2197" s="10"/>
      <c r="PRH2197" s="10"/>
      <c r="PRI2197" s="10"/>
      <c r="PRJ2197" s="10"/>
      <c r="PRK2197" s="10"/>
      <c r="PRL2197" s="10"/>
      <c r="PRM2197" s="10"/>
      <c r="PRN2197" s="10"/>
      <c r="PRO2197" s="10"/>
      <c r="PRP2197" s="10"/>
      <c r="PRQ2197" s="10"/>
      <c r="PRR2197" s="10"/>
      <c r="PRS2197" s="10"/>
      <c r="PRT2197" s="10"/>
      <c r="PRU2197" s="10"/>
      <c r="PRV2197" s="10"/>
      <c r="PRW2197" s="10"/>
      <c r="PRX2197" s="10"/>
      <c r="PRY2197" s="10"/>
      <c r="PRZ2197" s="10"/>
      <c r="PSA2197" s="10"/>
      <c r="PSB2197" s="10"/>
      <c r="PSC2197" s="10"/>
      <c r="PSD2197" s="10"/>
      <c r="PSE2197" s="10"/>
      <c r="PSF2197" s="10"/>
      <c r="PSG2197" s="10"/>
      <c r="PSH2197" s="10"/>
      <c r="PSI2197" s="10"/>
      <c r="PSJ2197" s="10"/>
      <c r="PSK2197" s="10"/>
      <c r="PSL2197" s="10"/>
      <c r="PSM2197" s="10"/>
      <c r="PSN2197" s="10"/>
      <c r="PSO2197" s="10"/>
      <c r="PSP2197" s="10"/>
      <c r="PSQ2197" s="10"/>
      <c r="PSR2197" s="10"/>
      <c r="PSS2197" s="10"/>
      <c r="PST2197" s="10"/>
      <c r="PSU2197" s="10"/>
      <c r="PSV2197" s="10"/>
      <c r="PSW2197" s="10"/>
      <c r="PSX2197" s="10"/>
      <c r="PSY2197" s="10"/>
      <c r="PSZ2197" s="10"/>
      <c r="PTA2197" s="10"/>
      <c r="PTB2197" s="10"/>
      <c r="PTC2197" s="10"/>
      <c r="PTD2197" s="10"/>
      <c r="PTE2197" s="10"/>
      <c r="PTF2197" s="10"/>
      <c r="PTG2197" s="10"/>
      <c r="PTH2197" s="10"/>
      <c r="PTI2197" s="10"/>
      <c r="PTJ2197" s="10"/>
      <c r="PTK2197" s="10"/>
      <c r="PTL2197" s="10"/>
      <c r="PTM2197" s="10"/>
      <c r="PTN2197" s="10"/>
      <c r="PTO2197" s="10"/>
      <c r="PTP2197" s="10"/>
      <c r="PTQ2197" s="10"/>
      <c r="PTR2197" s="10"/>
      <c r="PTS2197" s="10"/>
      <c r="PTT2197" s="10"/>
      <c r="PTU2197" s="10"/>
      <c r="PTV2197" s="10"/>
      <c r="PTW2197" s="10"/>
      <c r="PTX2197" s="10"/>
      <c r="PTY2197" s="10"/>
      <c r="PTZ2197" s="10"/>
      <c r="PUA2197" s="10"/>
      <c r="PUB2197" s="10"/>
      <c r="PUC2197" s="10"/>
      <c r="PUD2197" s="10"/>
      <c r="PUE2197" s="10"/>
      <c r="PUF2197" s="10"/>
      <c r="PUG2197" s="10"/>
      <c r="PUH2197" s="10"/>
      <c r="PUI2197" s="10"/>
      <c r="PUJ2197" s="10"/>
      <c r="PUK2197" s="10"/>
      <c r="PUL2197" s="10"/>
      <c r="PUM2197" s="10"/>
      <c r="PUN2197" s="10"/>
      <c r="PUO2197" s="10"/>
      <c r="PUP2197" s="10"/>
      <c r="PUQ2197" s="10"/>
      <c r="PUR2197" s="10"/>
      <c r="PUS2197" s="10"/>
      <c r="PUT2197" s="10"/>
      <c r="PUU2197" s="10"/>
      <c r="PUV2197" s="10"/>
      <c r="PUW2197" s="10"/>
      <c r="PUX2197" s="10"/>
      <c r="PUY2197" s="10"/>
      <c r="PUZ2197" s="10"/>
      <c r="PVA2197" s="10"/>
      <c r="PVB2197" s="10"/>
      <c r="PVC2197" s="10"/>
      <c r="PVD2197" s="10"/>
      <c r="PVE2197" s="10"/>
      <c r="PVF2197" s="10"/>
      <c r="PVG2197" s="10"/>
      <c r="PVH2197" s="10"/>
      <c r="PVI2197" s="10"/>
      <c r="PVJ2197" s="10"/>
      <c r="PVK2197" s="10"/>
      <c r="PVL2197" s="10"/>
      <c r="PVM2197" s="10"/>
      <c r="PVN2197" s="10"/>
      <c r="PVO2197" s="10"/>
      <c r="PVP2197" s="10"/>
      <c r="PVQ2197" s="10"/>
      <c r="PVR2197" s="10"/>
      <c r="PVS2197" s="10"/>
      <c r="PVT2197" s="10"/>
      <c r="PVU2197" s="10"/>
      <c r="PVV2197" s="10"/>
      <c r="PVW2197" s="10"/>
      <c r="PVX2197" s="10"/>
      <c r="PVY2197" s="10"/>
      <c r="PVZ2197" s="10"/>
      <c r="PWA2197" s="10"/>
      <c r="PWB2197" s="10"/>
      <c r="PWC2197" s="10"/>
      <c r="PWD2197" s="10"/>
      <c r="PWE2197" s="10"/>
      <c r="PWF2197" s="10"/>
      <c r="PWG2197" s="10"/>
      <c r="PWH2197" s="10"/>
      <c r="PWI2197" s="10"/>
      <c r="PWJ2197" s="10"/>
      <c r="PWK2197" s="10"/>
      <c r="PWL2197" s="10"/>
      <c r="PWM2197" s="10"/>
      <c r="PWN2197" s="10"/>
      <c r="PWO2197" s="10"/>
      <c r="PWP2197" s="10"/>
      <c r="PWQ2197" s="10"/>
      <c r="PWR2197" s="10"/>
      <c r="PWS2197" s="10"/>
      <c r="PWT2197" s="10"/>
      <c r="PWU2197" s="10"/>
      <c r="PWV2197" s="10"/>
      <c r="PWW2197" s="10"/>
      <c r="PWX2197" s="10"/>
      <c r="PWY2197" s="10"/>
      <c r="PWZ2197" s="10"/>
      <c r="PXA2197" s="10"/>
      <c r="PXB2197" s="10"/>
      <c r="PXC2197" s="10"/>
      <c r="PXD2197" s="10"/>
      <c r="PXE2197" s="10"/>
      <c r="PXF2197" s="10"/>
      <c r="PXG2197" s="10"/>
      <c r="PXH2197" s="10"/>
      <c r="PXI2197" s="10"/>
      <c r="PXJ2197" s="10"/>
      <c r="PXK2197" s="10"/>
      <c r="PXL2197" s="10"/>
      <c r="PXM2197" s="10"/>
      <c r="PXN2197" s="10"/>
      <c r="PXO2197" s="10"/>
      <c r="PXP2197" s="10"/>
      <c r="PXQ2197" s="10"/>
      <c r="PXR2197" s="10"/>
      <c r="PXS2197" s="10"/>
      <c r="PXT2197" s="10"/>
      <c r="PXU2197" s="10"/>
      <c r="PXV2197" s="10"/>
      <c r="PXW2197" s="10"/>
      <c r="PXX2197" s="10"/>
      <c r="PXY2197" s="10"/>
      <c r="PXZ2197" s="10"/>
      <c r="PYA2197" s="10"/>
      <c r="PYB2197" s="10"/>
      <c r="PYC2197" s="10"/>
      <c r="PYD2197" s="10"/>
      <c r="PYE2197" s="10"/>
      <c r="PYF2197" s="10"/>
      <c r="PYG2197" s="10"/>
      <c r="PYH2197" s="10"/>
      <c r="PYI2197" s="10"/>
      <c r="PYJ2197" s="10"/>
      <c r="PYK2197" s="10"/>
      <c r="PYL2197" s="10"/>
      <c r="PYM2197" s="10"/>
      <c r="PYN2197" s="10"/>
      <c r="PYO2197" s="10"/>
      <c r="PYP2197" s="10"/>
      <c r="PYQ2197" s="10"/>
      <c r="PYR2197" s="10"/>
      <c r="PYS2197" s="10"/>
      <c r="PYT2197" s="10"/>
      <c r="PYU2197" s="10"/>
      <c r="PYV2197" s="10"/>
      <c r="PYW2197" s="10"/>
      <c r="PYX2197" s="10"/>
      <c r="PYY2197" s="10"/>
      <c r="PYZ2197" s="10"/>
      <c r="PZA2197" s="10"/>
      <c r="PZB2197" s="10"/>
      <c r="PZC2197" s="10"/>
      <c r="PZD2197" s="10"/>
      <c r="PZE2197" s="10"/>
      <c r="PZF2197" s="10"/>
      <c r="PZG2197" s="10"/>
      <c r="PZH2197" s="10"/>
      <c r="PZI2197" s="10"/>
      <c r="PZJ2197" s="10"/>
      <c r="PZK2197" s="10"/>
      <c r="PZL2197" s="10"/>
      <c r="PZM2197" s="10"/>
      <c r="PZN2197" s="10"/>
      <c r="PZO2197" s="10"/>
      <c r="PZP2197" s="10"/>
      <c r="PZQ2197" s="10"/>
      <c r="PZR2197" s="10"/>
      <c r="PZS2197" s="10"/>
      <c r="PZT2197" s="10"/>
      <c r="PZU2197" s="10"/>
      <c r="PZV2197" s="10"/>
      <c r="PZW2197" s="10"/>
      <c r="PZX2197" s="10"/>
      <c r="PZY2197" s="10"/>
      <c r="PZZ2197" s="10"/>
      <c r="QAA2197" s="10"/>
      <c r="QAB2197" s="10"/>
      <c r="QAC2197" s="10"/>
      <c r="QAD2197" s="10"/>
      <c r="QAE2197" s="10"/>
      <c r="QAF2197" s="10"/>
      <c r="QAG2197" s="10"/>
      <c r="QAH2197" s="10"/>
      <c r="QAI2197" s="10"/>
      <c r="QAJ2197" s="10"/>
      <c r="QAK2197" s="10"/>
      <c r="QAL2197" s="10"/>
      <c r="QAM2197" s="10"/>
      <c r="QAN2197" s="10"/>
      <c r="QAO2197" s="10"/>
      <c r="QAP2197" s="10"/>
      <c r="QAQ2197" s="10"/>
      <c r="QAR2197" s="10"/>
      <c r="QAS2197" s="10"/>
      <c r="QAT2197" s="10"/>
      <c r="QAU2197" s="10"/>
      <c r="QAV2197" s="10"/>
      <c r="QAW2197" s="10"/>
      <c r="QAX2197" s="10"/>
      <c r="QAY2197" s="10"/>
      <c r="QAZ2197" s="10"/>
      <c r="QBA2197" s="10"/>
      <c r="QBB2197" s="10"/>
      <c r="QBC2197" s="10"/>
      <c r="QBD2197" s="10"/>
      <c r="QBE2197" s="10"/>
      <c r="QBF2197" s="10"/>
      <c r="QBG2197" s="10"/>
      <c r="QBH2197" s="10"/>
      <c r="QBI2197" s="10"/>
      <c r="QBJ2197" s="10"/>
      <c r="QBK2197" s="10"/>
      <c r="QBL2197" s="10"/>
      <c r="QBM2197" s="10"/>
      <c r="QBN2197" s="10"/>
      <c r="QBO2197" s="10"/>
      <c r="QBP2197" s="10"/>
      <c r="QBQ2197" s="10"/>
      <c r="QBR2197" s="10"/>
      <c r="QBS2197" s="10"/>
      <c r="QBT2197" s="10"/>
      <c r="QBU2197" s="10"/>
      <c r="QBV2197" s="10"/>
      <c r="QBW2197" s="10"/>
      <c r="QBX2197" s="10"/>
      <c r="QBY2197" s="10"/>
      <c r="QBZ2197" s="10"/>
      <c r="QCA2197" s="10"/>
      <c r="QCB2197" s="10"/>
      <c r="QCC2197" s="10"/>
      <c r="QCD2197" s="10"/>
      <c r="QCE2197" s="10"/>
      <c r="QCF2197" s="10"/>
      <c r="QCG2197" s="10"/>
      <c r="QCH2197" s="10"/>
      <c r="QCI2197" s="10"/>
      <c r="QCJ2197" s="10"/>
      <c r="QCK2197" s="10"/>
      <c r="QCL2197" s="10"/>
      <c r="QCM2197" s="10"/>
      <c r="QCN2197" s="10"/>
      <c r="QCO2197" s="10"/>
      <c r="QCP2197" s="10"/>
      <c r="QCQ2197" s="10"/>
      <c r="QCR2197" s="10"/>
      <c r="QCS2197" s="10"/>
      <c r="QCT2197" s="10"/>
      <c r="QCU2197" s="10"/>
      <c r="QCV2197" s="10"/>
      <c r="QCW2197" s="10"/>
      <c r="QCX2197" s="10"/>
      <c r="QCY2197" s="10"/>
      <c r="QCZ2197" s="10"/>
      <c r="QDA2197" s="10"/>
      <c r="QDB2197" s="10"/>
      <c r="QDC2197" s="10"/>
      <c r="QDD2197" s="10"/>
      <c r="QDE2197" s="10"/>
      <c r="QDF2197" s="10"/>
      <c r="QDG2197" s="10"/>
      <c r="QDH2197" s="10"/>
      <c r="QDI2197" s="10"/>
      <c r="QDJ2197" s="10"/>
      <c r="QDK2197" s="10"/>
      <c r="QDL2197" s="10"/>
      <c r="QDM2197" s="10"/>
      <c r="QDN2197" s="10"/>
      <c r="QDO2197" s="10"/>
      <c r="QDP2197" s="10"/>
      <c r="QDQ2197" s="10"/>
      <c r="QDR2197" s="10"/>
      <c r="QDS2197" s="10"/>
      <c r="QDT2197" s="10"/>
      <c r="QDU2197" s="10"/>
      <c r="QDV2197" s="10"/>
      <c r="QDW2197" s="10"/>
      <c r="QDX2197" s="10"/>
      <c r="QDY2197" s="10"/>
      <c r="QDZ2197" s="10"/>
      <c r="QEA2197" s="10"/>
      <c r="QEB2197" s="10"/>
      <c r="QEC2197" s="10"/>
      <c r="QED2197" s="10"/>
      <c r="QEE2197" s="10"/>
      <c r="QEF2197" s="10"/>
      <c r="QEG2197" s="10"/>
      <c r="QEH2197" s="10"/>
      <c r="QEI2197" s="10"/>
      <c r="QEJ2197" s="10"/>
      <c r="QEK2197" s="10"/>
      <c r="QEL2197" s="10"/>
      <c r="QEM2197" s="10"/>
      <c r="QEN2197" s="10"/>
      <c r="QEO2197" s="10"/>
      <c r="QEP2197" s="10"/>
      <c r="QEQ2197" s="10"/>
      <c r="QER2197" s="10"/>
      <c r="QES2197" s="10"/>
      <c r="QET2197" s="10"/>
      <c r="QEU2197" s="10"/>
      <c r="QEV2197" s="10"/>
      <c r="QEW2197" s="10"/>
      <c r="QEX2197" s="10"/>
      <c r="QEY2197" s="10"/>
      <c r="QEZ2197" s="10"/>
      <c r="QFA2197" s="10"/>
      <c r="QFB2197" s="10"/>
      <c r="QFC2197" s="10"/>
      <c r="QFD2197" s="10"/>
      <c r="QFE2197" s="10"/>
      <c r="QFF2197" s="10"/>
      <c r="QFG2197" s="10"/>
      <c r="QFH2197" s="10"/>
      <c r="QFI2197" s="10"/>
      <c r="QFJ2197" s="10"/>
      <c r="QFK2197" s="10"/>
      <c r="QFL2197" s="10"/>
      <c r="QFM2197" s="10"/>
      <c r="QFN2197" s="10"/>
      <c r="QFO2197" s="10"/>
      <c r="QFP2197" s="10"/>
      <c r="QFQ2197" s="10"/>
      <c r="QFR2197" s="10"/>
      <c r="QFS2197" s="10"/>
      <c r="QFT2197" s="10"/>
      <c r="QFU2197" s="10"/>
      <c r="QFV2197" s="10"/>
      <c r="QFW2197" s="10"/>
      <c r="QFX2197" s="10"/>
      <c r="QFY2197" s="10"/>
      <c r="QFZ2197" s="10"/>
      <c r="QGA2197" s="10"/>
      <c r="QGB2197" s="10"/>
      <c r="QGC2197" s="10"/>
      <c r="QGD2197" s="10"/>
      <c r="QGE2197" s="10"/>
      <c r="QGF2197" s="10"/>
      <c r="QGG2197" s="10"/>
      <c r="QGH2197" s="10"/>
      <c r="QGI2197" s="10"/>
      <c r="QGJ2197" s="10"/>
      <c r="QGK2197" s="10"/>
      <c r="QGL2197" s="10"/>
      <c r="QGM2197" s="10"/>
      <c r="QGN2197" s="10"/>
      <c r="QGO2197" s="10"/>
      <c r="QGP2197" s="10"/>
      <c r="QGQ2197" s="10"/>
      <c r="QGR2197" s="10"/>
      <c r="QGS2197" s="10"/>
      <c r="QGT2197" s="10"/>
      <c r="QGU2197" s="10"/>
      <c r="QGV2197" s="10"/>
      <c r="QGW2197" s="10"/>
      <c r="QGX2197" s="10"/>
      <c r="QGY2197" s="10"/>
      <c r="QGZ2197" s="10"/>
      <c r="QHA2197" s="10"/>
      <c r="QHB2197" s="10"/>
      <c r="QHC2197" s="10"/>
      <c r="QHD2197" s="10"/>
      <c r="QHE2197" s="10"/>
      <c r="QHF2197" s="10"/>
      <c r="QHG2197" s="10"/>
      <c r="QHH2197" s="10"/>
      <c r="QHI2197" s="10"/>
      <c r="QHJ2197" s="10"/>
      <c r="QHK2197" s="10"/>
      <c r="QHL2197" s="10"/>
      <c r="QHM2197" s="10"/>
      <c r="QHN2197" s="10"/>
      <c r="QHO2197" s="10"/>
      <c r="QHP2197" s="10"/>
      <c r="QHQ2197" s="10"/>
      <c r="QHR2197" s="10"/>
      <c r="QHS2197" s="10"/>
      <c r="QHT2197" s="10"/>
      <c r="QHU2197" s="10"/>
      <c r="QHV2197" s="10"/>
      <c r="QHW2197" s="10"/>
      <c r="QHX2197" s="10"/>
      <c r="QHY2197" s="10"/>
      <c r="QHZ2197" s="10"/>
      <c r="QIA2197" s="10"/>
      <c r="QIB2197" s="10"/>
      <c r="QIC2197" s="10"/>
      <c r="QID2197" s="10"/>
      <c r="QIE2197" s="10"/>
      <c r="QIF2197" s="10"/>
      <c r="QIG2197" s="10"/>
      <c r="QIH2197" s="10"/>
      <c r="QII2197" s="10"/>
      <c r="QIJ2197" s="10"/>
      <c r="QIK2197" s="10"/>
      <c r="QIL2197" s="10"/>
      <c r="QIM2197" s="10"/>
      <c r="QIN2197" s="10"/>
      <c r="QIO2197" s="10"/>
      <c r="QIP2197" s="10"/>
      <c r="QIQ2197" s="10"/>
      <c r="QIR2197" s="10"/>
      <c r="QIS2197" s="10"/>
      <c r="QIT2197" s="10"/>
      <c r="QIU2197" s="10"/>
      <c r="QIV2197" s="10"/>
      <c r="QIW2197" s="10"/>
      <c r="QIX2197" s="10"/>
      <c r="QIY2197" s="10"/>
      <c r="QIZ2197" s="10"/>
      <c r="QJA2197" s="10"/>
      <c r="QJB2197" s="10"/>
      <c r="QJC2197" s="10"/>
      <c r="QJD2197" s="10"/>
      <c r="QJE2197" s="10"/>
      <c r="QJF2197" s="10"/>
      <c r="QJG2197" s="10"/>
      <c r="QJH2197" s="10"/>
      <c r="QJI2197" s="10"/>
      <c r="QJJ2197" s="10"/>
      <c r="QJK2197" s="10"/>
      <c r="QJL2197" s="10"/>
      <c r="QJM2197" s="10"/>
      <c r="QJN2197" s="10"/>
      <c r="QJO2197" s="10"/>
      <c r="QJP2197" s="10"/>
      <c r="QJQ2197" s="10"/>
      <c r="QJR2197" s="10"/>
      <c r="QJS2197" s="10"/>
      <c r="QJT2197" s="10"/>
      <c r="QJU2197" s="10"/>
      <c r="QJV2197" s="10"/>
      <c r="QJW2197" s="10"/>
      <c r="QJX2197" s="10"/>
      <c r="QJY2197" s="10"/>
      <c r="QJZ2197" s="10"/>
      <c r="QKA2197" s="10"/>
      <c r="QKB2197" s="10"/>
      <c r="QKC2197" s="10"/>
      <c r="QKD2197" s="10"/>
      <c r="QKE2197" s="10"/>
      <c r="QKF2197" s="10"/>
      <c r="QKG2197" s="10"/>
      <c r="QKH2197" s="10"/>
      <c r="QKI2197" s="10"/>
      <c r="QKJ2197" s="10"/>
      <c r="QKK2197" s="10"/>
      <c r="QKL2197" s="10"/>
      <c r="QKM2197" s="10"/>
      <c r="QKN2197" s="10"/>
      <c r="QKO2197" s="10"/>
      <c r="QKP2197" s="10"/>
      <c r="QKQ2197" s="10"/>
      <c r="QKR2197" s="10"/>
      <c r="QKS2197" s="10"/>
      <c r="QKT2197" s="10"/>
      <c r="QKU2197" s="10"/>
      <c r="QKV2197" s="10"/>
      <c r="QKW2197" s="10"/>
      <c r="QKX2197" s="10"/>
      <c r="QKY2197" s="10"/>
      <c r="QKZ2197" s="10"/>
      <c r="QLA2197" s="10"/>
      <c r="QLB2197" s="10"/>
      <c r="QLC2197" s="10"/>
      <c r="QLD2197" s="10"/>
      <c r="QLE2197" s="10"/>
      <c r="QLF2197" s="10"/>
      <c r="QLG2197" s="10"/>
      <c r="QLH2197" s="10"/>
      <c r="QLI2197" s="10"/>
      <c r="QLJ2197" s="10"/>
      <c r="QLK2197" s="10"/>
      <c r="QLL2197" s="10"/>
      <c r="QLM2197" s="10"/>
      <c r="QLN2197" s="10"/>
      <c r="QLO2197" s="10"/>
      <c r="QLP2197" s="10"/>
      <c r="QLQ2197" s="10"/>
      <c r="QLR2197" s="10"/>
      <c r="QLS2197" s="10"/>
      <c r="QLT2197" s="10"/>
      <c r="QLU2197" s="10"/>
      <c r="QLV2197" s="10"/>
      <c r="QLW2197" s="10"/>
      <c r="QLX2197" s="10"/>
      <c r="QLY2197" s="10"/>
      <c r="QLZ2197" s="10"/>
      <c r="QMA2197" s="10"/>
      <c r="QMB2197" s="10"/>
      <c r="QMC2197" s="10"/>
      <c r="QMD2197" s="10"/>
      <c r="QME2197" s="10"/>
      <c r="QMF2197" s="10"/>
      <c r="QMG2197" s="10"/>
      <c r="QMH2197" s="10"/>
      <c r="QMI2197" s="10"/>
      <c r="QMJ2197" s="10"/>
      <c r="QMK2197" s="10"/>
      <c r="QML2197" s="10"/>
      <c r="QMM2197" s="10"/>
      <c r="QMN2197" s="10"/>
      <c r="QMO2197" s="10"/>
      <c r="QMP2197" s="10"/>
      <c r="QMQ2197" s="10"/>
      <c r="QMR2197" s="10"/>
      <c r="QMS2197" s="10"/>
      <c r="QMT2197" s="10"/>
      <c r="QMU2197" s="10"/>
      <c r="QMV2197" s="10"/>
      <c r="QMW2197" s="10"/>
      <c r="QMX2197" s="10"/>
      <c r="QMY2197" s="10"/>
      <c r="QMZ2197" s="10"/>
      <c r="QNA2197" s="10"/>
      <c r="QNB2197" s="10"/>
      <c r="QNC2197" s="10"/>
      <c r="QND2197" s="10"/>
      <c r="QNE2197" s="10"/>
      <c r="QNF2197" s="10"/>
      <c r="QNG2197" s="10"/>
      <c r="QNH2197" s="10"/>
      <c r="QNI2197" s="10"/>
      <c r="QNJ2197" s="10"/>
      <c r="QNK2197" s="10"/>
      <c r="QNL2197" s="10"/>
      <c r="QNM2197" s="10"/>
      <c r="QNN2197" s="10"/>
      <c r="QNO2197" s="10"/>
      <c r="QNP2197" s="10"/>
      <c r="QNQ2197" s="10"/>
      <c r="QNR2197" s="10"/>
      <c r="QNS2197" s="10"/>
      <c r="QNT2197" s="10"/>
      <c r="QNU2197" s="10"/>
      <c r="QNV2197" s="10"/>
      <c r="QNW2197" s="10"/>
      <c r="QNX2197" s="10"/>
      <c r="QNY2197" s="10"/>
      <c r="QNZ2197" s="10"/>
      <c r="QOA2197" s="10"/>
      <c r="QOB2197" s="10"/>
      <c r="QOC2197" s="10"/>
      <c r="QOD2197" s="10"/>
      <c r="QOE2197" s="10"/>
      <c r="QOF2197" s="10"/>
      <c r="QOG2197" s="10"/>
      <c r="QOH2197" s="10"/>
      <c r="QOI2197" s="10"/>
      <c r="QOJ2197" s="10"/>
      <c r="QOK2197" s="10"/>
      <c r="QOL2197" s="10"/>
      <c r="QOM2197" s="10"/>
      <c r="QON2197" s="10"/>
      <c r="QOO2197" s="10"/>
      <c r="QOP2197" s="10"/>
      <c r="QOQ2197" s="10"/>
      <c r="QOR2197" s="10"/>
      <c r="QOS2197" s="10"/>
      <c r="QOT2197" s="10"/>
      <c r="QOU2197" s="10"/>
      <c r="QOV2197" s="10"/>
      <c r="QOW2197" s="10"/>
      <c r="QOX2197" s="10"/>
      <c r="QOY2197" s="10"/>
      <c r="QOZ2197" s="10"/>
      <c r="QPA2197" s="10"/>
      <c r="QPB2197" s="10"/>
      <c r="QPC2197" s="10"/>
      <c r="QPD2197" s="10"/>
      <c r="QPE2197" s="10"/>
      <c r="QPF2197" s="10"/>
      <c r="QPG2197" s="10"/>
      <c r="QPH2197" s="10"/>
      <c r="QPI2197" s="10"/>
      <c r="QPJ2197" s="10"/>
      <c r="QPK2197" s="10"/>
      <c r="QPL2197" s="10"/>
      <c r="QPM2197" s="10"/>
      <c r="QPN2197" s="10"/>
      <c r="QPO2197" s="10"/>
      <c r="QPP2197" s="10"/>
      <c r="QPQ2197" s="10"/>
      <c r="QPR2197" s="10"/>
      <c r="QPS2197" s="10"/>
      <c r="QPT2197" s="10"/>
      <c r="QPU2197" s="10"/>
      <c r="QPV2197" s="10"/>
      <c r="QPW2197" s="10"/>
      <c r="QPX2197" s="10"/>
      <c r="QPY2197" s="10"/>
      <c r="QPZ2197" s="10"/>
      <c r="QQA2197" s="10"/>
      <c r="QQB2197" s="10"/>
      <c r="QQC2197" s="10"/>
      <c r="QQD2197" s="10"/>
      <c r="QQE2197" s="10"/>
      <c r="QQF2197" s="10"/>
      <c r="QQG2197" s="10"/>
      <c r="QQH2197" s="10"/>
      <c r="QQI2197" s="10"/>
      <c r="QQJ2197" s="10"/>
      <c r="QQK2197" s="10"/>
      <c r="QQL2197" s="10"/>
      <c r="QQM2197" s="10"/>
      <c r="QQN2197" s="10"/>
      <c r="QQO2197" s="10"/>
      <c r="QQP2197" s="10"/>
      <c r="QQQ2197" s="10"/>
      <c r="QQR2197" s="10"/>
      <c r="QQS2197" s="10"/>
      <c r="QQT2197" s="10"/>
      <c r="QQU2197" s="10"/>
      <c r="QQV2197" s="10"/>
      <c r="QQW2197" s="10"/>
      <c r="QQX2197" s="10"/>
      <c r="QQY2197" s="10"/>
      <c r="QQZ2197" s="10"/>
      <c r="QRA2197" s="10"/>
      <c r="QRB2197" s="10"/>
      <c r="QRC2197" s="10"/>
      <c r="QRD2197" s="10"/>
      <c r="QRE2197" s="10"/>
      <c r="QRF2197" s="10"/>
      <c r="QRG2197" s="10"/>
      <c r="QRH2197" s="10"/>
      <c r="QRI2197" s="10"/>
      <c r="QRJ2197" s="10"/>
      <c r="QRK2197" s="10"/>
      <c r="QRL2197" s="10"/>
      <c r="QRM2197" s="10"/>
      <c r="QRN2197" s="10"/>
      <c r="QRO2197" s="10"/>
      <c r="QRP2197" s="10"/>
      <c r="QRQ2197" s="10"/>
      <c r="QRR2197" s="10"/>
      <c r="QRS2197" s="10"/>
      <c r="QRT2197" s="10"/>
      <c r="QRU2197" s="10"/>
      <c r="QRV2197" s="10"/>
      <c r="QRW2197" s="10"/>
      <c r="QRX2197" s="10"/>
      <c r="QRY2197" s="10"/>
      <c r="QRZ2197" s="10"/>
      <c r="QSA2197" s="10"/>
      <c r="QSB2197" s="10"/>
      <c r="QSC2197" s="10"/>
      <c r="QSD2197" s="10"/>
      <c r="QSE2197" s="10"/>
      <c r="QSF2197" s="10"/>
      <c r="QSG2197" s="10"/>
      <c r="QSH2197" s="10"/>
      <c r="QSI2197" s="10"/>
      <c r="QSJ2197" s="10"/>
      <c r="QSK2197" s="10"/>
      <c r="QSL2197" s="10"/>
      <c r="QSM2197" s="10"/>
      <c r="QSN2197" s="10"/>
      <c r="QSO2197" s="10"/>
      <c r="QSP2197" s="10"/>
      <c r="QSQ2197" s="10"/>
      <c r="QSR2197" s="10"/>
      <c r="QSS2197" s="10"/>
      <c r="QST2197" s="10"/>
      <c r="QSU2197" s="10"/>
      <c r="QSV2197" s="10"/>
      <c r="QSW2197" s="10"/>
      <c r="QSX2197" s="10"/>
      <c r="QSY2197" s="10"/>
      <c r="QSZ2197" s="10"/>
      <c r="QTA2197" s="10"/>
      <c r="QTB2197" s="10"/>
      <c r="QTC2197" s="10"/>
      <c r="QTD2197" s="10"/>
      <c r="QTE2197" s="10"/>
      <c r="QTF2197" s="10"/>
      <c r="QTG2197" s="10"/>
      <c r="QTH2197" s="10"/>
      <c r="QTI2197" s="10"/>
      <c r="QTJ2197" s="10"/>
      <c r="QTK2197" s="10"/>
      <c r="QTL2197" s="10"/>
      <c r="QTM2197" s="10"/>
      <c r="QTN2197" s="10"/>
      <c r="QTO2197" s="10"/>
      <c r="QTP2197" s="10"/>
      <c r="QTQ2197" s="10"/>
      <c r="QTR2197" s="10"/>
      <c r="QTS2197" s="10"/>
      <c r="QTT2197" s="10"/>
      <c r="QTU2197" s="10"/>
      <c r="QTV2197" s="10"/>
      <c r="QTW2197" s="10"/>
      <c r="QTX2197" s="10"/>
      <c r="QTY2197" s="10"/>
      <c r="QTZ2197" s="10"/>
      <c r="QUA2197" s="10"/>
      <c r="QUB2197" s="10"/>
      <c r="QUC2197" s="10"/>
      <c r="QUD2197" s="10"/>
      <c r="QUE2197" s="10"/>
      <c r="QUF2197" s="10"/>
      <c r="QUG2197" s="10"/>
      <c r="QUH2197" s="10"/>
      <c r="QUI2197" s="10"/>
      <c r="QUJ2197" s="10"/>
      <c r="QUK2197" s="10"/>
      <c r="QUL2197" s="10"/>
      <c r="QUM2197" s="10"/>
      <c r="QUN2197" s="10"/>
      <c r="QUO2197" s="10"/>
      <c r="QUP2197" s="10"/>
      <c r="QUQ2197" s="10"/>
      <c r="QUR2197" s="10"/>
      <c r="QUS2197" s="10"/>
      <c r="QUT2197" s="10"/>
      <c r="QUU2197" s="10"/>
      <c r="QUV2197" s="10"/>
      <c r="QUW2197" s="10"/>
      <c r="QUX2197" s="10"/>
      <c r="QUY2197" s="10"/>
      <c r="QUZ2197" s="10"/>
      <c r="QVA2197" s="10"/>
      <c r="QVB2197" s="10"/>
      <c r="QVC2197" s="10"/>
      <c r="QVD2197" s="10"/>
      <c r="QVE2197" s="10"/>
      <c r="QVF2197" s="10"/>
      <c r="QVG2197" s="10"/>
      <c r="QVH2197" s="10"/>
      <c r="QVI2197" s="10"/>
      <c r="QVJ2197" s="10"/>
      <c r="QVK2197" s="10"/>
      <c r="QVL2197" s="10"/>
      <c r="QVM2197" s="10"/>
      <c r="QVN2197" s="10"/>
      <c r="QVO2197" s="10"/>
      <c r="QVP2197" s="10"/>
      <c r="QVQ2197" s="10"/>
      <c r="QVR2197" s="10"/>
      <c r="QVS2197" s="10"/>
      <c r="QVT2197" s="10"/>
      <c r="QVU2197" s="10"/>
      <c r="QVV2197" s="10"/>
      <c r="QVW2197" s="10"/>
      <c r="QVX2197" s="10"/>
      <c r="QVY2197" s="10"/>
      <c r="QVZ2197" s="10"/>
      <c r="QWA2197" s="10"/>
      <c r="QWB2197" s="10"/>
      <c r="QWC2197" s="10"/>
      <c r="QWD2197" s="10"/>
      <c r="QWE2197" s="10"/>
      <c r="QWF2197" s="10"/>
      <c r="QWG2197" s="10"/>
      <c r="QWH2197" s="10"/>
      <c r="QWI2197" s="10"/>
      <c r="QWJ2197" s="10"/>
      <c r="QWK2197" s="10"/>
      <c r="QWL2197" s="10"/>
      <c r="QWM2197" s="10"/>
      <c r="QWN2197" s="10"/>
      <c r="QWO2197" s="10"/>
      <c r="QWP2197" s="10"/>
      <c r="QWQ2197" s="10"/>
      <c r="QWR2197" s="10"/>
      <c r="QWS2197" s="10"/>
      <c r="QWT2197" s="10"/>
      <c r="QWU2197" s="10"/>
      <c r="QWV2197" s="10"/>
      <c r="QWW2197" s="10"/>
      <c r="QWX2197" s="10"/>
      <c r="QWY2197" s="10"/>
      <c r="QWZ2197" s="10"/>
      <c r="QXA2197" s="10"/>
      <c r="QXB2197" s="10"/>
      <c r="QXC2197" s="10"/>
      <c r="QXD2197" s="10"/>
      <c r="QXE2197" s="10"/>
      <c r="QXF2197" s="10"/>
      <c r="QXG2197" s="10"/>
      <c r="QXH2197" s="10"/>
      <c r="QXI2197" s="10"/>
      <c r="QXJ2197" s="10"/>
      <c r="QXK2197" s="10"/>
      <c r="QXL2197" s="10"/>
      <c r="QXM2197" s="10"/>
      <c r="QXN2197" s="10"/>
      <c r="QXO2197" s="10"/>
      <c r="QXP2197" s="10"/>
      <c r="QXQ2197" s="10"/>
      <c r="QXR2197" s="10"/>
      <c r="QXS2197" s="10"/>
      <c r="QXT2197" s="10"/>
      <c r="QXU2197" s="10"/>
      <c r="QXV2197" s="10"/>
      <c r="QXW2197" s="10"/>
      <c r="QXX2197" s="10"/>
      <c r="QXY2197" s="10"/>
      <c r="QXZ2197" s="10"/>
      <c r="QYA2197" s="10"/>
      <c r="QYB2197" s="10"/>
      <c r="QYC2197" s="10"/>
      <c r="QYD2197" s="10"/>
      <c r="QYE2197" s="10"/>
      <c r="QYF2197" s="10"/>
      <c r="QYG2197" s="10"/>
      <c r="QYH2197" s="10"/>
      <c r="QYI2197" s="10"/>
      <c r="QYJ2197" s="10"/>
      <c r="QYK2197" s="10"/>
      <c r="QYL2197" s="10"/>
      <c r="QYM2197" s="10"/>
      <c r="QYN2197" s="10"/>
      <c r="QYO2197" s="10"/>
      <c r="QYP2197" s="10"/>
      <c r="QYQ2197" s="10"/>
      <c r="QYR2197" s="10"/>
      <c r="QYS2197" s="10"/>
      <c r="QYT2197" s="10"/>
      <c r="QYU2197" s="10"/>
      <c r="QYV2197" s="10"/>
      <c r="QYW2197" s="10"/>
      <c r="QYX2197" s="10"/>
      <c r="QYY2197" s="10"/>
      <c r="QYZ2197" s="10"/>
      <c r="QZA2197" s="10"/>
      <c r="QZB2197" s="10"/>
      <c r="QZC2197" s="10"/>
      <c r="QZD2197" s="10"/>
      <c r="QZE2197" s="10"/>
      <c r="QZF2197" s="10"/>
      <c r="QZG2197" s="10"/>
      <c r="QZH2197" s="10"/>
      <c r="QZI2197" s="10"/>
      <c r="QZJ2197" s="10"/>
      <c r="QZK2197" s="10"/>
      <c r="QZL2197" s="10"/>
      <c r="QZM2197" s="10"/>
      <c r="QZN2197" s="10"/>
      <c r="QZO2197" s="10"/>
      <c r="QZP2197" s="10"/>
      <c r="QZQ2197" s="10"/>
      <c r="QZR2197" s="10"/>
      <c r="QZS2197" s="10"/>
      <c r="QZT2197" s="10"/>
      <c r="QZU2197" s="10"/>
      <c r="QZV2197" s="10"/>
      <c r="QZW2197" s="10"/>
      <c r="QZX2197" s="10"/>
      <c r="QZY2197" s="10"/>
      <c r="QZZ2197" s="10"/>
      <c r="RAA2197" s="10"/>
      <c r="RAB2197" s="10"/>
      <c r="RAC2197" s="10"/>
      <c r="RAD2197" s="10"/>
      <c r="RAE2197" s="10"/>
      <c r="RAF2197" s="10"/>
      <c r="RAG2197" s="10"/>
      <c r="RAH2197" s="10"/>
      <c r="RAI2197" s="10"/>
      <c r="RAJ2197" s="10"/>
      <c r="RAK2197" s="10"/>
      <c r="RAL2197" s="10"/>
      <c r="RAM2197" s="10"/>
      <c r="RAN2197" s="10"/>
      <c r="RAO2197" s="10"/>
      <c r="RAP2197" s="10"/>
      <c r="RAQ2197" s="10"/>
      <c r="RAR2197" s="10"/>
      <c r="RAS2197" s="10"/>
      <c r="RAT2197" s="10"/>
      <c r="RAU2197" s="10"/>
      <c r="RAV2197" s="10"/>
      <c r="RAW2197" s="10"/>
      <c r="RAX2197" s="10"/>
      <c r="RAY2197" s="10"/>
      <c r="RAZ2197" s="10"/>
      <c r="RBA2197" s="10"/>
      <c r="RBB2197" s="10"/>
      <c r="RBC2197" s="10"/>
      <c r="RBD2197" s="10"/>
      <c r="RBE2197" s="10"/>
      <c r="RBF2197" s="10"/>
      <c r="RBG2197" s="10"/>
      <c r="RBH2197" s="10"/>
      <c r="RBI2197" s="10"/>
      <c r="RBJ2197" s="10"/>
      <c r="RBK2197" s="10"/>
      <c r="RBL2197" s="10"/>
      <c r="RBM2197" s="10"/>
      <c r="RBN2197" s="10"/>
      <c r="RBO2197" s="10"/>
      <c r="RBP2197" s="10"/>
      <c r="RBQ2197" s="10"/>
      <c r="RBR2197" s="10"/>
      <c r="RBS2197" s="10"/>
      <c r="RBT2197" s="10"/>
      <c r="RBU2197" s="10"/>
      <c r="RBV2197" s="10"/>
      <c r="RBW2197" s="10"/>
      <c r="RBX2197" s="10"/>
      <c r="RBY2197" s="10"/>
      <c r="RBZ2197" s="10"/>
      <c r="RCA2197" s="10"/>
      <c r="RCB2197" s="10"/>
      <c r="RCC2197" s="10"/>
      <c r="RCD2197" s="10"/>
      <c r="RCE2197" s="10"/>
      <c r="RCF2197" s="10"/>
      <c r="RCG2197" s="10"/>
      <c r="RCH2197" s="10"/>
      <c r="RCI2197" s="10"/>
      <c r="RCJ2197" s="10"/>
      <c r="RCK2197" s="10"/>
      <c r="RCL2197" s="10"/>
      <c r="RCM2197" s="10"/>
      <c r="RCN2197" s="10"/>
      <c r="RCO2197" s="10"/>
      <c r="RCP2197" s="10"/>
      <c r="RCQ2197" s="10"/>
      <c r="RCR2197" s="10"/>
      <c r="RCS2197" s="10"/>
      <c r="RCT2197" s="10"/>
      <c r="RCU2197" s="10"/>
      <c r="RCV2197" s="10"/>
      <c r="RCW2197" s="10"/>
      <c r="RCX2197" s="10"/>
      <c r="RCY2197" s="10"/>
      <c r="RCZ2197" s="10"/>
      <c r="RDA2197" s="10"/>
      <c r="RDB2197" s="10"/>
      <c r="RDC2197" s="10"/>
      <c r="RDD2197" s="10"/>
      <c r="RDE2197" s="10"/>
      <c r="RDF2197" s="10"/>
      <c r="RDG2197" s="10"/>
      <c r="RDH2197" s="10"/>
      <c r="RDI2197" s="10"/>
      <c r="RDJ2197" s="10"/>
      <c r="RDK2197" s="10"/>
      <c r="RDL2197" s="10"/>
      <c r="RDM2197" s="10"/>
      <c r="RDN2197" s="10"/>
      <c r="RDO2197" s="10"/>
      <c r="RDP2197" s="10"/>
      <c r="RDQ2197" s="10"/>
      <c r="RDR2197" s="10"/>
      <c r="RDS2197" s="10"/>
      <c r="RDT2197" s="10"/>
      <c r="RDU2197" s="10"/>
      <c r="RDV2197" s="10"/>
      <c r="RDW2197" s="10"/>
      <c r="RDX2197" s="10"/>
      <c r="RDY2197" s="10"/>
      <c r="RDZ2197" s="10"/>
      <c r="REA2197" s="10"/>
      <c r="REB2197" s="10"/>
      <c r="REC2197" s="10"/>
      <c r="RED2197" s="10"/>
      <c r="REE2197" s="10"/>
      <c r="REF2197" s="10"/>
      <c r="REG2197" s="10"/>
      <c r="REH2197" s="10"/>
      <c r="REI2197" s="10"/>
      <c r="REJ2197" s="10"/>
      <c r="REK2197" s="10"/>
      <c r="REL2197" s="10"/>
      <c r="REM2197" s="10"/>
      <c r="REN2197" s="10"/>
      <c r="REO2197" s="10"/>
      <c r="REP2197" s="10"/>
      <c r="REQ2197" s="10"/>
      <c r="RER2197" s="10"/>
      <c r="RES2197" s="10"/>
      <c r="RET2197" s="10"/>
      <c r="REU2197" s="10"/>
      <c r="REV2197" s="10"/>
      <c r="REW2197" s="10"/>
      <c r="REX2197" s="10"/>
      <c r="REY2197" s="10"/>
      <c r="REZ2197" s="10"/>
      <c r="RFA2197" s="10"/>
      <c r="RFB2197" s="10"/>
      <c r="RFC2197" s="10"/>
      <c r="RFD2197" s="10"/>
      <c r="RFE2197" s="10"/>
      <c r="RFF2197" s="10"/>
      <c r="RFG2197" s="10"/>
      <c r="RFH2197" s="10"/>
      <c r="RFI2197" s="10"/>
      <c r="RFJ2197" s="10"/>
      <c r="RFK2197" s="10"/>
      <c r="RFL2197" s="10"/>
      <c r="RFM2197" s="10"/>
      <c r="RFN2197" s="10"/>
      <c r="RFO2197" s="10"/>
      <c r="RFP2197" s="10"/>
      <c r="RFQ2197" s="10"/>
      <c r="RFR2197" s="10"/>
      <c r="RFS2197" s="10"/>
      <c r="RFT2197" s="10"/>
      <c r="RFU2197" s="10"/>
      <c r="RFV2197" s="10"/>
      <c r="RFW2197" s="10"/>
      <c r="RFX2197" s="10"/>
      <c r="RFY2197" s="10"/>
      <c r="RFZ2197" s="10"/>
      <c r="RGA2197" s="10"/>
      <c r="RGB2197" s="10"/>
      <c r="RGC2197" s="10"/>
      <c r="RGD2197" s="10"/>
      <c r="RGE2197" s="10"/>
      <c r="RGF2197" s="10"/>
      <c r="RGG2197" s="10"/>
      <c r="RGH2197" s="10"/>
      <c r="RGI2197" s="10"/>
      <c r="RGJ2197" s="10"/>
      <c r="RGK2197" s="10"/>
      <c r="RGL2197" s="10"/>
      <c r="RGM2197" s="10"/>
      <c r="RGN2197" s="10"/>
      <c r="RGO2197" s="10"/>
      <c r="RGP2197" s="10"/>
      <c r="RGQ2197" s="10"/>
      <c r="RGR2197" s="10"/>
      <c r="RGS2197" s="10"/>
      <c r="RGT2197" s="10"/>
      <c r="RGU2197" s="10"/>
      <c r="RGV2197" s="10"/>
      <c r="RGW2197" s="10"/>
      <c r="RGX2197" s="10"/>
      <c r="RGY2197" s="10"/>
      <c r="RGZ2197" s="10"/>
      <c r="RHA2197" s="10"/>
      <c r="RHB2197" s="10"/>
      <c r="RHC2197" s="10"/>
      <c r="RHD2197" s="10"/>
      <c r="RHE2197" s="10"/>
      <c r="RHF2197" s="10"/>
      <c r="RHG2197" s="10"/>
      <c r="RHH2197" s="10"/>
      <c r="RHI2197" s="10"/>
      <c r="RHJ2197" s="10"/>
      <c r="RHK2197" s="10"/>
      <c r="RHL2197" s="10"/>
      <c r="RHM2197" s="10"/>
      <c r="RHN2197" s="10"/>
      <c r="RHO2197" s="10"/>
      <c r="RHP2197" s="10"/>
      <c r="RHQ2197" s="10"/>
      <c r="RHR2197" s="10"/>
      <c r="RHS2197" s="10"/>
      <c r="RHT2197" s="10"/>
      <c r="RHU2197" s="10"/>
      <c r="RHV2197" s="10"/>
      <c r="RHW2197" s="10"/>
      <c r="RHX2197" s="10"/>
      <c r="RHY2197" s="10"/>
      <c r="RHZ2197" s="10"/>
      <c r="RIA2197" s="10"/>
      <c r="RIB2197" s="10"/>
      <c r="RIC2197" s="10"/>
      <c r="RID2197" s="10"/>
      <c r="RIE2197" s="10"/>
      <c r="RIF2197" s="10"/>
      <c r="RIG2197" s="10"/>
      <c r="RIH2197" s="10"/>
      <c r="RII2197" s="10"/>
      <c r="RIJ2197" s="10"/>
      <c r="RIK2197" s="10"/>
      <c r="RIL2197" s="10"/>
      <c r="RIM2197" s="10"/>
      <c r="RIN2197" s="10"/>
      <c r="RIO2197" s="10"/>
      <c r="RIP2197" s="10"/>
      <c r="RIQ2197" s="10"/>
      <c r="RIR2197" s="10"/>
      <c r="RIS2197" s="10"/>
      <c r="RIT2197" s="10"/>
      <c r="RIU2197" s="10"/>
      <c r="RIV2197" s="10"/>
      <c r="RIW2197" s="10"/>
      <c r="RIX2197" s="10"/>
      <c r="RIY2197" s="10"/>
      <c r="RIZ2197" s="10"/>
      <c r="RJA2197" s="10"/>
      <c r="RJB2197" s="10"/>
      <c r="RJC2197" s="10"/>
      <c r="RJD2197" s="10"/>
      <c r="RJE2197" s="10"/>
      <c r="RJF2197" s="10"/>
      <c r="RJG2197" s="10"/>
      <c r="RJH2197" s="10"/>
      <c r="RJI2197" s="10"/>
      <c r="RJJ2197" s="10"/>
      <c r="RJK2197" s="10"/>
      <c r="RJL2197" s="10"/>
      <c r="RJM2197" s="10"/>
      <c r="RJN2197" s="10"/>
      <c r="RJO2197" s="10"/>
      <c r="RJP2197" s="10"/>
      <c r="RJQ2197" s="10"/>
      <c r="RJR2197" s="10"/>
      <c r="RJS2197" s="10"/>
      <c r="RJT2197" s="10"/>
      <c r="RJU2197" s="10"/>
      <c r="RJV2197" s="10"/>
      <c r="RJW2197" s="10"/>
      <c r="RJX2197" s="10"/>
      <c r="RJY2197" s="10"/>
      <c r="RJZ2197" s="10"/>
      <c r="RKA2197" s="10"/>
      <c r="RKB2197" s="10"/>
      <c r="RKC2197" s="10"/>
      <c r="RKD2197" s="10"/>
      <c r="RKE2197" s="10"/>
      <c r="RKF2197" s="10"/>
      <c r="RKG2197" s="10"/>
      <c r="RKH2197" s="10"/>
      <c r="RKI2197" s="10"/>
      <c r="RKJ2197" s="10"/>
      <c r="RKK2197" s="10"/>
      <c r="RKL2197" s="10"/>
      <c r="RKM2197" s="10"/>
      <c r="RKN2197" s="10"/>
      <c r="RKO2197" s="10"/>
      <c r="RKP2197" s="10"/>
      <c r="RKQ2197" s="10"/>
      <c r="RKR2197" s="10"/>
      <c r="RKS2197" s="10"/>
      <c r="RKT2197" s="10"/>
      <c r="RKU2197" s="10"/>
      <c r="RKV2197" s="10"/>
      <c r="RKW2197" s="10"/>
      <c r="RKX2197" s="10"/>
      <c r="RKY2197" s="10"/>
      <c r="RKZ2197" s="10"/>
      <c r="RLA2197" s="10"/>
      <c r="RLB2197" s="10"/>
      <c r="RLC2197" s="10"/>
      <c r="RLD2197" s="10"/>
      <c r="RLE2197" s="10"/>
      <c r="RLF2197" s="10"/>
      <c r="RLG2197" s="10"/>
      <c r="RLH2197" s="10"/>
      <c r="RLI2197" s="10"/>
      <c r="RLJ2197" s="10"/>
      <c r="RLK2197" s="10"/>
      <c r="RLL2197" s="10"/>
      <c r="RLM2197" s="10"/>
      <c r="RLN2197" s="10"/>
      <c r="RLO2197" s="10"/>
      <c r="RLP2197" s="10"/>
      <c r="RLQ2197" s="10"/>
      <c r="RLR2197" s="10"/>
      <c r="RLS2197" s="10"/>
      <c r="RLT2197" s="10"/>
      <c r="RLU2197" s="10"/>
      <c r="RLV2197" s="10"/>
      <c r="RLW2197" s="10"/>
      <c r="RLX2197" s="10"/>
      <c r="RLY2197" s="10"/>
      <c r="RLZ2197" s="10"/>
      <c r="RMA2197" s="10"/>
      <c r="RMB2197" s="10"/>
      <c r="RMC2197" s="10"/>
      <c r="RMD2197" s="10"/>
      <c r="RME2197" s="10"/>
      <c r="RMF2197" s="10"/>
      <c r="RMG2197" s="10"/>
      <c r="RMH2197" s="10"/>
      <c r="RMI2197" s="10"/>
      <c r="RMJ2197" s="10"/>
      <c r="RMK2197" s="10"/>
      <c r="RML2197" s="10"/>
      <c r="RMM2197" s="10"/>
      <c r="RMN2197" s="10"/>
      <c r="RMO2197" s="10"/>
      <c r="RMP2197" s="10"/>
      <c r="RMQ2197" s="10"/>
      <c r="RMR2197" s="10"/>
      <c r="RMS2197" s="10"/>
      <c r="RMT2197" s="10"/>
      <c r="RMU2197" s="10"/>
      <c r="RMV2197" s="10"/>
      <c r="RMW2197" s="10"/>
      <c r="RMX2197" s="10"/>
      <c r="RMY2197" s="10"/>
      <c r="RMZ2197" s="10"/>
      <c r="RNA2197" s="10"/>
      <c r="RNB2197" s="10"/>
      <c r="RNC2197" s="10"/>
      <c r="RND2197" s="10"/>
      <c r="RNE2197" s="10"/>
      <c r="RNF2197" s="10"/>
      <c r="RNG2197" s="10"/>
      <c r="RNH2197" s="10"/>
      <c r="RNI2197" s="10"/>
      <c r="RNJ2197" s="10"/>
      <c r="RNK2197" s="10"/>
      <c r="RNL2197" s="10"/>
      <c r="RNM2197" s="10"/>
      <c r="RNN2197" s="10"/>
      <c r="RNO2197" s="10"/>
      <c r="RNP2197" s="10"/>
      <c r="RNQ2197" s="10"/>
      <c r="RNR2197" s="10"/>
      <c r="RNS2197" s="10"/>
      <c r="RNT2197" s="10"/>
      <c r="RNU2197" s="10"/>
      <c r="RNV2197" s="10"/>
      <c r="RNW2197" s="10"/>
      <c r="RNX2197" s="10"/>
      <c r="RNY2197" s="10"/>
      <c r="RNZ2197" s="10"/>
      <c r="ROA2197" s="10"/>
      <c r="ROB2197" s="10"/>
      <c r="ROC2197" s="10"/>
      <c r="ROD2197" s="10"/>
      <c r="ROE2197" s="10"/>
      <c r="ROF2197" s="10"/>
      <c r="ROG2197" s="10"/>
      <c r="ROH2197" s="10"/>
      <c r="ROI2197" s="10"/>
      <c r="ROJ2197" s="10"/>
      <c r="ROK2197" s="10"/>
      <c r="ROL2197" s="10"/>
      <c r="ROM2197" s="10"/>
      <c r="RON2197" s="10"/>
      <c r="ROO2197" s="10"/>
      <c r="ROP2197" s="10"/>
      <c r="ROQ2197" s="10"/>
      <c r="ROR2197" s="10"/>
      <c r="ROS2197" s="10"/>
      <c r="ROT2197" s="10"/>
      <c r="ROU2197" s="10"/>
      <c r="ROV2197" s="10"/>
      <c r="ROW2197" s="10"/>
      <c r="ROX2197" s="10"/>
      <c r="ROY2197" s="10"/>
      <c r="ROZ2197" s="10"/>
      <c r="RPA2197" s="10"/>
      <c r="RPB2197" s="10"/>
      <c r="RPC2197" s="10"/>
      <c r="RPD2197" s="10"/>
      <c r="RPE2197" s="10"/>
      <c r="RPF2197" s="10"/>
      <c r="RPG2197" s="10"/>
      <c r="RPH2197" s="10"/>
      <c r="RPI2197" s="10"/>
      <c r="RPJ2197" s="10"/>
      <c r="RPK2197" s="10"/>
      <c r="RPL2197" s="10"/>
      <c r="RPM2197" s="10"/>
      <c r="RPN2197" s="10"/>
      <c r="RPO2197" s="10"/>
      <c r="RPP2197" s="10"/>
      <c r="RPQ2197" s="10"/>
      <c r="RPR2197" s="10"/>
      <c r="RPS2197" s="10"/>
      <c r="RPT2197" s="10"/>
      <c r="RPU2197" s="10"/>
      <c r="RPV2197" s="10"/>
      <c r="RPW2197" s="10"/>
      <c r="RPX2197" s="10"/>
      <c r="RPY2197" s="10"/>
      <c r="RPZ2197" s="10"/>
      <c r="RQA2197" s="10"/>
      <c r="RQB2197" s="10"/>
      <c r="RQC2197" s="10"/>
      <c r="RQD2197" s="10"/>
      <c r="RQE2197" s="10"/>
      <c r="RQF2197" s="10"/>
      <c r="RQG2197" s="10"/>
      <c r="RQH2197" s="10"/>
      <c r="RQI2197" s="10"/>
      <c r="RQJ2197" s="10"/>
      <c r="RQK2197" s="10"/>
      <c r="RQL2197" s="10"/>
      <c r="RQM2197" s="10"/>
      <c r="RQN2197" s="10"/>
      <c r="RQO2197" s="10"/>
      <c r="RQP2197" s="10"/>
      <c r="RQQ2197" s="10"/>
      <c r="RQR2197" s="10"/>
      <c r="RQS2197" s="10"/>
      <c r="RQT2197" s="10"/>
      <c r="RQU2197" s="10"/>
      <c r="RQV2197" s="10"/>
      <c r="RQW2197" s="10"/>
      <c r="RQX2197" s="10"/>
      <c r="RQY2197" s="10"/>
      <c r="RQZ2197" s="10"/>
      <c r="RRA2197" s="10"/>
      <c r="RRB2197" s="10"/>
      <c r="RRC2197" s="10"/>
      <c r="RRD2197" s="10"/>
      <c r="RRE2197" s="10"/>
      <c r="RRF2197" s="10"/>
      <c r="RRG2197" s="10"/>
      <c r="RRH2197" s="10"/>
      <c r="RRI2197" s="10"/>
      <c r="RRJ2197" s="10"/>
      <c r="RRK2197" s="10"/>
      <c r="RRL2197" s="10"/>
      <c r="RRM2197" s="10"/>
      <c r="RRN2197" s="10"/>
      <c r="RRO2197" s="10"/>
      <c r="RRP2197" s="10"/>
      <c r="RRQ2197" s="10"/>
      <c r="RRR2197" s="10"/>
      <c r="RRS2197" s="10"/>
      <c r="RRT2197" s="10"/>
      <c r="RRU2197" s="10"/>
      <c r="RRV2197" s="10"/>
      <c r="RRW2197" s="10"/>
      <c r="RRX2197" s="10"/>
      <c r="RRY2197" s="10"/>
      <c r="RRZ2197" s="10"/>
      <c r="RSA2197" s="10"/>
      <c r="RSB2197" s="10"/>
      <c r="RSC2197" s="10"/>
      <c r="RSD2197" s="10"/>
      <c r="RSE2197" s="10"/>
      <c r="RSF2197" s="10"/>
      <c r="RSG2197" s="10"/>
      <c r="RSH2197" s="10"/>
      <c r="RSI2197" s="10"/>
      <c r="RSJ2197" s="10"/>
      <c r="RSK2197" s="10"/>
      <c r="RSL2197" s="10"/>
      <c r="RSM2197" s="10"/>
      <c r="RSN2197" s="10"/>
      <c r="RSO2197" s="10"/>
      <c r="RSP2197" s="10"/>
      <c r="RSQ2197" s="10"/>
      <c r="RSR2197" s="10"/>
      <c r="RSS2197" s="10"/>
      <c r="RST2197" s="10"/>
      <c r="RSU2197" s="10"/>
      <c r="RSV2197" s="10"/>
      <c r="RSW2197" s="10"/>
      <c r="RSX2197" s="10"/>
      <c r="RSY2197" s="10"/>
      <c r="RSZ2197" s="10"/>
      <c r="RTA2197" s="10"/>
      <c r="RTB2197" s="10"/>
      <c r="RTC2197" s="10"/>
      <c r="RTD2197" s="10"/>
      <c r="RTE2197" s="10"/>
      <c r="RTF2197" s="10"/>
      <c r="RTG2197" s="10"/>
      <c r="RTH2197" s="10"/>
      <c r="RTI2197" s="10"/>
      <c r="RTJ2197" s="10"/>
      <c r="RTK2197" s="10"/>
      <c r="RTL2197" s="10"/>
      <c r="RTM2197" s="10"/>
      <c r="RTN2197" s="10"/>
      <c r="RTO2197" s="10"/>
      <c r="RTP2197" s="10"/>
      <c r="RTQ2197" s="10"/>
      <c r="RTR2197" s="10"/>
      <c r="RTS2197" s="10"/>
      <c r="RTT2197" s="10"/>
      <c r="RTU2197" s="10"/>
      <c r="RTV2197" s="10"/>
      <c r="RTW2197" s="10"/>
      <c r="RTX2197" s="10"/>
      <c r="RTY2197" s="10"/>
      <c r="RTZ2197" s="10"/>
      <c r="RUA2197" s="10"/>
      <c r="RUB2197" s="10"/>
      <c r="RUC2197" s="10"/>
      <c r="RUD2197" s="10"/>
      <c r="RUE2197" s="10"/>
      <c r="RUF2197" s="10"/>
      <c r="RUG2197" s="10"/>
      <c r="RUH2197" s="10"/>
      <c r="RUI2197" s="10"/>
      <c r="RUJ2197" s="10"/>
      <c r="RUK2197" s="10"/>
      <c r="RUL2197" s="10"/>
      <c r="RUM2197" s="10"/>
      <c r="RUN2197" s="10"/>
      <c r="RUO2197" s="10"/>
      <c r="RUP2197" s="10"/>
      <c r="RUQ2197" s="10"/>
      <c r="RUR2197" s="10"/>
      <c r="RUS2197" s="10"/>
      <c r="RUT2197" s="10"/>
      <c r="RUU2197" s="10"/>
      <c r="RUV2197" s="10"/>
      <c r="RUW2197" s="10"/>
      <c r="RUX2197" s="10"/>
      <c r="RUY2197" s="10"/>
      <c r="RUZ2197" s="10"/>
      <c r="RVA2197" s="10"/>
      <c r="RVB2197" s="10"/>
      <c r="RVC2197" s="10"/>
      <c r="RVD2197" s="10"/>
      <c r="RVE2197" s="10"/>
      <c r="RVF2197" s="10"/>
      <c r="RVG2197" s="10"/>
      <c r="RVH2197" s="10"/>
      <c r="RVI2197" s="10"/>
      <c r="RVJ2197" s="10"/>
      <c r="RVK2197" s="10"/>
      <c r="RVL2197" s="10"/>
      <c r="RVM2197" s="10"/>
      <c r="RVN2197" s="10"/>
      <c r="RVO2197" s="10"/>
      <c r="RVP2197" s="10"/>
      <c r="RVQ2197" s="10"/>
      <c r="RVR2197" s="10"/>
      <c r="RVS2197" s="10"/>
      <c r="RVT2197" s="10"/>
      <c r="RVU2197" s="10"/>
      <c r="RVV2197" s="10"/>
      <c r="RVW2197" s="10"/>
      <c r="RVX2197" s="10"/>
      <c r="RVY2197" s="10"/>
      <c r="RVZ2197" s="10"/>
      <c r="RWA2197" s="10"/>
      <c r="RWB2197" s="10"/>
      <c r="RWC2197" s="10"/>
      <c r="RWD2197" s="10"/>
      <c r="RWE2197" s="10"/>
      <c r="RWF2197" s="10"/>
      <c r="RWG2197" s="10"/>
      <c r="RWH2197" s="10"/>
      <c r="RWI2197" s="10"/>
      <c r="RWJ2197" s="10"/>
      <c r="RWK2197" s="10"/>
      <c r="RWL2197" s="10"/>
      <c r="RWM2197" s="10"/>
      <c r="RWN2197" s="10"/>
      <c r="RWO2197" s="10"/>
      <c r="RWP2197" s="10"/>
      <c r="RWQ2197" s="10"/>
      <c r="RWR2197" s="10"/>
      <c r="RWS2197" s="10"/>
      <c r="RWT2197" s="10"/>
      <c r="RWU2197" s="10"/>
      <c r="RWV2197" s="10"/>
      <c r="RWW2197" s="10"/>
      <c r="RWX2197" s="10"/>
      <c r="RWY2197" s="10"/>
      <c r="RWZ2197" s="10"/>
      <c r="RXA2197" s="10"/>
      <c r="RXB2197" s="10"/>
      <c r="RXC2197" s="10"/>
      <c r="RXD2197" s="10"/>
      <c r="RXE2197" s="10"/>
      <c r="RXF2197" s="10"/>
      <c r="RXG2197" s="10"/>
      <c r="RXH2197" s="10"/>
      <c r="RXI2197" s="10"/>
      <c r="RXJ2197" s="10"/>
      <c r="RXK2197" s="10"/>
      <c r="RXL2197" s="10"/>
      <c r="RXM2197" s="10"/>
      <c r="RXN2197" s="10"/>
      <c r="RXO2197" s="10"/>
      <c r="RXP2197" s="10"/>
      <c r="RXQ2197" s="10"/>
      <c r="RXR2197" s="10"/>
      <c r="RXS2197" s="10"/>
      <c r="RXT2197" s="10"/>
      <c r="RXU2197" s="10"/>
      <c r="RXV2197" s="10"/>
      <c r="RXW2197" s="10"/>
      <c r="RXX2197" s="10"/>
      <c r="RXY2197" s="10"/>
      <c r="RXZ2197" s="10"/>
      <c r="RYA2197" s="10"/>
      <c r="RYB2197" s="10"/>
      <c r="RYC2197" s="10"/>
      <c r="RYD2197" s="10"/>
      <c r="RYE2197" s="10"/>
      <c r="RYF2197" s="10"/>
      <c r="RYG2197" s="10"/>
      <c r="RYH2197" s="10"/>
      <c r="RYI2197" s="10"/>
      <c r="RYJ2197" s="10"/>
      <c r="RYK2197" s="10"/>
      <c r="RYL2197" s="10"/>
      <c r="RYM2197" s="10"/>
      <c r="RYN2197" s="10"/>
      <c r="RYO2197" s="10"/>
      <c r="RYP2197" s="10"/>
      <c r="RYQ2197" s="10"/>
      <c r="RYR2197" s="10"/>
      <c r="RYS2197" s="10"/>
      <c r="RYT2197" s="10"/>
      <c r="RYU2197" s="10"/>
      <c r="RYV2197" s="10"/>
      <c r="RYW2197" s="10"/>
      <c r="RYX2197" s="10"/>
      <c r="RYY2197" s="10"/>
      <c r="RYZ2197" s="10"/>
      <c r="RZA2197" s="10"/>
      <c r="RZB2197" s="10"/>
      <c r="RZC2197" s="10"/>
      <c r="RZD2197" s="10"/>
      <c r="RZE2197" s="10"/>
      <c r="RZF2197" s="10"/>
      <c r="RZG2197" s="10"/>
      <c r="RZH2197" s="10"/>
      <c r="RZI2197" s="10"/>
      <c r="RZJ2197" s="10"/>
      <c r="RZK2197" s="10"/>
      <c r="RZL2197" s="10"/>
      <c r="RZM2197" s="10"/>
      <c r="RZN2197" s="10"/>
      <c r="RZO2197" s="10"/>
      <c r="RZP2197" s="10"/>
      <c r="RZQ2197" s="10"/>
      <c r="RZR2197" s="10"/>
      <c r="RZS2197" s="10"/>
      <c r="RZT2197" s="10"/>
      <c r="RZU2197" s="10"/>
      <c r="RZV2197" s="10"/>
      <c r="RZW2197" s="10"/>
      <c r="RZX2197" s="10"/>
      <c r="RZY2197" s="10"/>
      <c r="RZZ2197" s="10"/>
      <c r="SAA2197" s="10"/>
      <c r="SAB2197" s="10"/>
      <c r="SAC2197" s="10"/>
      <c r="SAD2197" s="10"/>
      <c r="SAE2197" s="10"/>
      <c r="SAF2197" s="10"/>
      <c r="SAG2197" s="10"/>
      <c r="SAH2197" s="10"/>
      <c r="SAI2197" s="10"/>
      <c r="SAJ2197" s="10"/>
      <c r="SAK2197" s="10"/>
      <c r="SAL2197" s="10"/>
      <c r="SAM2197" s="10"/>
      <c r="SAN2197" s="10"/>
      <c r="SAO2197" s="10"/>
      <c r="SAP2197" s="10"/>
      <c r="SAQ2197" s="10"/>
      <c r="SAR2197" s="10"/>
      <c r="SAS2197" s="10"/>
      <c r="SAT2197" s="10"/>
      <c r="SAU2197" s="10"/>
      <c r="SAV2197" s="10"/>
      <c r="SAW2197" s="10"/>
      <c r="SAX2197" s="10"/>
      <c r="SAY2197" s="10"/>
      <c r="SAZ2197" s="10"/>
      <c r="SBA2197" s="10"/>
      <c r="SBB2197" s="10"/>
      <c r="SBC2197" s="10"/>
      <c r="SBD2197" s="10"/>
      <c r="SBE2197" s="10"/>
      <c r="SBF2197" s="10"/>
      <c r="SBG2197" s="10"/>
      <c r="SBH2197" s="10"/>
      <c r="SBI2197" s="10"/>
      <c r="SBJ2197" s="10"/>
      <c r="SBK2197" s="10"/>
      <c r="SBL2197" s="10"/>
      <c r="SBM2197" s="10"/>
      <c r="SBN2197" s="10"/>
      <c r="SBO2197" s="10"/>
      <c r="SBP2197" s="10"/>
      <c r="SBQ2197" s="10"/>
      <c r="SBR2197" s="10"/>
      <c r="SBS2197" s="10"/>
      <c r="SBT2197" s="10"/>
      <c r="SBU2197" s="10"/>
      <c r="SBV2197" s="10"/>
      <c r="SBW2197" s="10"/>
      <c r="SBX2197" s="10"/>
      <c r="SBY2197" s="10"/>
      <c r="SBZ2197" s="10"/>
      <c r="SCA2197" s="10"/>
      <c r="SCB2197" s="10"/>
      <c r="SCC2197" s="10"/>
      <c r="SCD2197" s="10"/>
      <c r="SCE2197" s="10"/>
      <c r="SCF2197" s="10"/>
      <c r="SCG2197" s="10"/>
      <c r="SCH2197" s="10"/>
      <c r="SCI2197" s="10"/>
      <c r="SCJ2197" s="10"/>
      <c r="SCK2197" s="10"/>
      <c r="SCL2197" s="10"/>
      <c r="SCM2197" s="10"/>
      <c r="SCN2197" s="10"/>
      <c r="SCO2197" s="10"/>
      <c r="SCP2197" s="10"/>
      <c r="SCQ2197" s="10"/>
      <c r="SCR2197" s="10"/>
      <c r="SCS2197" s="10"/>
      <c r="SCT2197" s="10"/>
      <c r="SCU2197" s="10"/>
      <c r="SCV2197" s="10"/>
      <c r="SCW2197" s="10"/>
      <c r="SCX2197" s="10"/>
      <c r="SCY2197" s="10"/>
      <c r="SCZ2197" s="10"/>
      <c r="SDA2197" s="10"/>
      <c r="SDB2197" s="10"/>
      <c r="SDC2197" s="10"/>
      <c r="SDD2197" s="10"/>
      <c r="SDE2197" s="10"/>
      <c r="SDF2197" s="10"/>
      <c r="SDG2197" s="10"/>
      <c r="SDH2197" s="10"/>
      <c r="SDI2197" s="10"/>
      <c r="SDJ2197" s="10"/>
      <c r="SDK2197" s="10"/>
      <c r="SDL2197" s="10"/>
      <c r="SDM2197" s="10"/>
      <c r="SDN2197" s="10"/>
      <c r="SDO2197" s="10"/>
      <c r="SDP2197" s="10"/>
      <c r="SDQ2197" s="10"/>
      <c r="SDR2197" s="10"/>
      <c r="SDS2197" s="10"/>
      <c r="SDT2197" s="10"/>
      <c r="SDU2197" s="10"/>
      <c r="SDV2197" s="10"/>
      <c r="SDW2197" s="10"/>
      <c r="SDX2197" s="10"/>
      <c r="SDY2197" s="10"/>
      <c r="SDZ2197" s="10"/>
      <c r="SEA2197" s="10"/>
      <c r="SEB2197" s="10"/>
      <c r="SEC2197" s="10"/>
      <c r="SED2197" s="10"/>
      <c r="SEE2197" s="10"/>
      <c r="SEF2197" s="10"/>
      <c r="SEG2197" s="10"/>
      <c r="SEH2197" s="10"/>
      <c r="SEI2197" s="10"/>
      <c r="SEJ2197" s="10"/>
      <c r="SEK2197" s="10"/>
      <c r="SEL2197" s="10"/>
      <c r="SEM2197" s="10"/>
      <c r="SEN2197" s="10"/>
      <c r="SEO2197" s="10"/>
      <c r="SEP2197" s="10"/>
      <c r="SEQ2197" s="10"/>
      <c r="SER2197" s="10"/>
      <c r="SES2197" s="10"/>
      <c r="SET2197" s="10"/>
      <c r="SEU2197" s="10"/>
      <c r="SEV2197" s="10"/>
      <c r="SEW2197" s="10"/>
      <c r="SEX2197" s="10"/>
      <c r="SEY2197" s="10"/>
      <c r="SEZ2197" s="10"/>
      <c r="SFA2197" s="10"/>
      <c r="SFB2197" s="10"/>
      <c r="SFC2197" s="10"/>
      <c r="SFD2197" s="10"/>
      <c r="SFE2197" s="10"/>
      <c r="SFF2197" s="10"/>
      <c r="SFG2197" s="10"/>
      <c r="SFH2197" s="10"/>
      <c r="SFI2197" s="10"/>
      <c r="SFJ2197" s="10"/>
      <c r="SFK2197" s="10"/>
      <c r="SFL2197" s="10"/>
      <c r="SFM2197" s="10"/>
      <c r="SFN2197" s="10"/>
      <c r="SFO2197" s="10"/>
      <c r="SFP2197" s="10"/>
      <c r="SFQ2197" s="10"/>
      <c r="SFR2197" s="10"/>
      <c r="SFS2197" s="10"/>
      <c r="SFT2197" s="10"/>
      <c r="SFU2197" s="10"/>
      <c r="SFV2197" s="10"/>
      <c r="SFW2197" s="10"/>
      <c r="SFX2197" s="10"/>
      <c r="SFY2197" s="10"/>
      <c r="SFZ2197" s="10"/>
      <c r="SGA2197" s="10"/>
      <c r="SGB2197" s="10"/>
      <c r="SGC2197" s="10"/>
      <c r="SGD2197" s="10"/>
      <c r="SGE2197" s="10"/>
      <c r="SGF2197" s="10"/>
      <c r="SGG2197" s="10"/>
      <c r="SGH2197" s="10"/>
      <c r="SGI2197" s="10"/>
      <c r="SGJ2197" s="10"/>
      <c r="SGK2197" s="10"/>
      <c r="SGL2197" s="10"/>
      <c r="SGM2197" s="10"/>
      <c r="SGN2197" s="10"/>
      <c r="SGO2197" s="10"/>
      <c r="SGP2197" s="10"/>
      <c r="SGQ2197" s="10"/>
      <c r="SGR2197" s="10"/>
      <c r="SGS2197" s="10"/>
      <c r="SGT2197" s="10"/>
      <c r="SGU2197" s="10"/>
      <c r="SGV2197" s="10"/>
      <c r="SGW2197" s="10"/>
      <c r="SGX2197" s="10"/>
      <c r="SGY2197" s="10"/>
      <c r="SGZ2197" s="10"/>
      <c r="SHA2197" s="10"/>
      <c r="SHB2197" s="10"/>
      <c r="SHC2197" s="10"/>
      <c r="SHD2197" s="10"/>
      <c r="SHE2197" s="10"/>
      <c r="SHF2197" s="10"/>
      <c r="SHG2197" s="10"/>
      <c r="SHH2197" s="10"/>
      <c r="SHI2197" s="10"/>
      <c r="SHJ2197" s="10"/>
      <c r="SHK2197" s="10"/>
      <c r="SHL2197" s="10"/>
      <c r="SHM2197" s="10"/>
      <c r="SHN2197" s="10"/>
      <c r="SHO2197" s="10"/>
      <c r="SHP2197" s="10"/>
      <c r="SHQ2197" s="10"/>
      <c r="SHR2197" s="10"/>
      <c r="SHS2197" s="10"/>
      <c r="SHT2197" s="10"/>
      <c r="SHU2197" s="10"/>
      <c r="SHV2197" s="10"/>
      <c r="SHW2197" s="10"/>
      <c r="SHX2197" s="10"/>
      <c r="SHY2197" s="10"/>
      <c r="SHZ2197" s="10"/>
      <c r="SIA2197" s="10"/>
      <c r="SIB2197" s="10"/>
      <c r="SIC2197" s="10"/>
      <c r="SID2197" s="10"/>
      <c r="SIE2197" s="10"/>
      <c r="SIF2197" s="10"/>
      <c r="SIG2197" s="10"/>
      <c r="SIH2197" s="10"/>
      <c r="SII2197" s="10"/>
      <c r="SIJ2197" s="10"/>
      <c r="SIK2197" s="10"/>
      <c r="SIL2197" s="10"/>
      <c r="SIM2197" s="10"/>
      <c r="SIN2197" s="10"/>
      <c r="SIO2197" s="10"/>
      <c r="SIP2197" s="10"/>
      <c r="SIQ2197" s="10"/>
      <c r="SIR2197" s="10"/>
      <c r="SIS2197" s="10"/>
      <c r="SIT2197" s="10"/>
      <c r="SIU2197" s="10"/>
      <c r="SIV2197" s="10"/>
      <c r="SIW2197" s="10"/>
      <c r="SIX2197" s="10"/>
      <c r="SIY2197" s="10"/>
      <c r="SIZ2197" s="10"/>
      <c r="SJA2197" s="10"/>
      <c r="SJB2197" s="10"/>
      <c r="SJC2197" s="10"/>
      <c r="SJD2197" s="10"/>
      <c r="SJE2197" s="10"/>
      <c r="SJF2197" s="10"/>
      <c r="SJG2197" s="10"/>
      <c r="SJH2197" s="10"/>
      <c r="SJI2197" s="10"/>
      <c r="SJJ2197" s="10"/>
      <c r="SJK2197" s="10"/>
      <c r="SJL2197" s="10"/>
      <c r="SJM2197" s="10"/>
      <c r="SJN2197" s="10"/>
      <c r="SJO2197" s="10"/>
      <c r="SJP2197" s="10"/>
      <c r="SJQ2197" s="10"/>
      <c r="SJR2197" s="10"/>
      <c r="SJS2197" s="10"/>
      <c r="SJT2197" s="10"/>
      <c r="SJU2197" s="10"/>
      <c r="SJV2197" s="10"/>
      <c r="SJW2197" s="10"/>
      <c r="SJX2197" s="10"/>
      <c r="SJY2197" s="10"/>
      <c r="SJZ2197" s="10"/>
      <c r="SKA2197" s="10"/>
      <c r="SKB2197" s="10"/>
      <c r="SKC2197" s="10"/>
      <c r="SKD2197" s="10"/>
      <c r="SKE2197" s="10"/>
      <c r="SKF2197" s="10"/>
      <c r="SKG2197" s="10"/>
      <c r="SKH2197" s="10"/>
      <c r="SKI2197" s="10"/>
      <c r="SKJ2197" s="10"/>
      <c r="SKK2197" s="10"/>
      <c r="SKL2197" s="10"/>
      <c r="SKM2197" s="10"/>
      <c r="SKN2197" s="10"/>
      <c r="SKO2197" s="10"/>
      <c r="SKP2197" s="10"/>
      <c r="SKQ2197" s="10"/>
      <c r="SKR2197" s="10"/>
      <c r="SKS2197" s="10"/>
      <c r="SKT2197" s="10"/>
      <c r="SKU2197" s="10"/>
      <c r="SKV2197" s="10"/>
      <c r="SKW2197" s="10"/>
      <c r="SKX2197" s="10"/>
      <c r="SKY2197" s="10"/>
      <c r="SKZ2197" s="10"/>
      <c r="SLA2197" s="10"/>
      <c r="SLB2197" s="10"/>
      <c r="SLC2197" s="10"/>
      <c r="SLD2197" s="10"/>
      <c r="SLE2197" s="10"/>
      <c r="SLF2197" s="10"/>
      <c r="SLG2197" s="10"/>
      <c r="SLH2197" s="10"/>
      <c r="SLI2197" s="10"/>
      <c r="SLJ2197" s="10"/>
      <c r="SLK2197" s="10"/>
      <c r="SLL2197" s="10"/>
      <c r="SLM2197" s="10"/>
      <c r="SLN2197" s="10"/>
      <c r="SLO2197" s="10"/>
      <c r="SLP2197" s="10"/>
      <c r="SLQ2197" s="10"/>
      <c r="SLR2197" s="10"/>
      <c r="SLS2197" s="10"/>
      <c r="SLT2197" s="10"/>
      <c r="SLU2197" s="10"/>
      <c r="SLV2197" s="10"/>
      <c r="SLW2197" s="10"/>
      <c r="SLX2197" s="10"/>
      <c r="SLY2197" s="10"/>
      <c r="SLZ2197" s="10"/>
      <c r="SMA2197" s="10"/>
      <c r="SMB2197" s="10"/>
      <c r="SMC2197" s="10"/>
      <c r="SMD2197" s="10"/>
      <c r="SME2197" s="10"/>
      <c r="SMF2197" s="10"/>
      <c r="SMG2197" s="10"/>
      <c r="SMH2197" s="10"/>
      <c r="SMI2197" s="10"/>
      <c r="SMJ2197" s="10"/>
      <c r="SMK2197" s="10"/>
      <c r="SML2197" s="10"/>
      <c r="SMM2197" s="10"/>
      <c r="SMN2197" s="10"/>
      <c r="SMO2197" s="10"/>
      <c r="SMP2197" s="10"/>
      <c r="SMQ2197" s="10"/>
      <c r="SMR2197" s="10"/>
      <c r="SMS2197" s="10"/>
      <c r="SMT2197" s="10"/>
      <c r="SMU2197" s="10"/>
      <c r="SMV2197" s="10"/>
      <c r="SMW2197" s="10"/>
      <c r="SMX2197" s="10"/>
      <c r="SMY2197" s="10"/>
      <c r="SMZ2197" s="10"/>
      <c r="SNA2197" s="10"/>
      <c r="SNB2197" s="10"/>
      <c r="SNC2197" s="10"/>
      <c r="SND2197" s="10"/>
      <c r="SNE2197" s="10"/>
      <c r="SNF2197" s="10"/>
      <c r="SNG2197" s="10"/>
      <c r="SNH2197" s="10"/>
      <c r="SNI2197" s="10"/>
      <c r="SNJ2197" s="10"/>
      <c r="SNK2197" s="10"/>
      <c r="SNL2197" s="10"/>
      <c r="SNM2197" s="10"/>
      <c r="SNN2197" s="10"/>
      <c r="SNO2197" s="10"/>
      <c r="SNP2197" s="10"/>
      <c r="SNQ2197" s="10"/>
      <c r="SNR2197" s="10"/>
      <c r="SNS2197" s="10"/>
      <c r="SNT2197" s="10"/>
      <c r="SNU2197" s="10"/>
      <c r="SNV2197" s="10"/>
      <c r="SNW2197" s="10"/>
      <c r="SNX2197" s="10"/>
      <c r="SNY2197" s="10"/>
      <c r="SNZ2197" s="10"/>
      <c r="SOA2197" s="10"/>
      <c r="SOB2197" s="10"/>
      <c r="SOC2197" s="10"/>
      <c r="SOD2197" s="10"/>
      <c r="SOE2197" s="10"/>
      <c r="SOF2197" s="10"/>
      <c r="SOG2197" s="10"/>
      <c r="SOH2197" s="10"/>
      <c r="SOI2197" s="10"/>
      <c r="SOJ2197" s="10"/>
      <c r="SOK2197" s="10"/>
      <c r="SOL2197" s="10"/>
      <c r="SOM2197" s="10"/>
      <c r="SON2197" s="10"/>
      <c r="SOO2197" s="10"/>
      <c r="SOP2197" s="10"/>
      <c r="SOQ2197" s="10"/>
      <c r="SOR2197" s="10"/>
      <c r="SOS2197" s="10"/>
      <c r="SOT2197" s="10"/>
      <c r="SOU2197" s="10"/>
      <c r="SOV2197" s="10"/>
      <c r="SOW2197" s="10"/>
      <c r="SOX2197" s="10"/>
      <c r="SOY2197" s="10"/>
      <c r="SOZ2197" s="10"/>
      <c r="SPA2197" s="10"/>
      <c r="SPB2197" s="10"/>
      <c r="SPC2197" s="10"/>
      <c r="SPD2197" s="10"/>
      <c r="SPE2197" s="10"/>
      <c r="SPF2197" s="10"/>
      <c r="SPG2197" s="10"/>
      <c r="SPH2197" s="10"/>
      <c r="SPI2197" s="10"/>
      <c r="SPJ2197" s="10"/>
      <c r="SPK2197" s="10"/>
      <c r="SPL2197" s="10"/>
      <c r="SPM2197" s="10"/>
      <c r="SPN2197" s="10"/>
      <c r="SPO2197" s="10"/>
      <c r="SPP2197" s="10"/>
      <c r="SPQ2197" s="10"/>
      <c r="SPR2197" s="10"/>
      <c r="SPS2197" s="10"/>
      <c r="SPT2197" s="10"/>
      <c r="SPU2197" s="10"/>
      <c r="SPV2197" s="10"/>
      <c r="SPW2197" s="10"/>
      <c r="SPX2197" s="10"/>
      <c r="SPY2197" s="10"/>
      <c r="SPZ2197" s="10"/>
      <c r="SQA2197" s="10"/>
      <c r="SQB2197" s="10"/>
      <c r="SQC2197" s="10"/>
      <c r="SQD2197" s="10"/>
      <c r="SQE2197" s="10"/>
      <c r="SQF2197" s="10"/>
      <c r="SQG2197" s="10"/>
      <c r="SQH2197" s="10"/>
      <c r="SQI2197" s="10"/>
      <c r="SQJ2197" s="10"/>
      <c r="SQK2197" s="10"/>
      <c r="SQL2197" s="10"/>
      <c r="SQM2197" s="10"/>
      <c r="SQN2197" s="10"/>
      <c r="SQO2197" s="10"/>
      <c r="SQP2197" s="10"/>
      <c r="SQQ2197" s="10"/>
      <c r="SQR2197" s="10"/>
      <c r="SQS2197" s="10"/>
      <c r="SQT2197" s="10"/>
      <c r="SQU2197" s="10"/>
      <c r="SQV2197" s="10"/>
      <c r="SQW2197" s="10"/>
      <c r="SQX2197" s="10"/>
      <c r="SQY2197" s="10"/>
      <c r="SQZ2197" s="10"/>
      <c r="SRA2197" s="10"/>
      <c r="SRB2197" s="10"/>
      <c r="SRC2197" s="10"/>
      <c r="SRD2197" s="10"/>
      <c r="SRE2197" s="10"/>
      <c r="SRF2197" s="10"/>
      <c r="SRG2197" s="10"/>
      <c r="SRH2197" s="10"/>
      <c r="SRI2197" s="10"/>
      <c r="SRJ2197" s="10"/>
      <c r="SRK2197" s="10"/>
      <c r="SRL2197" s="10"/>
      <c r="SRM2197" s="10"/>
      <c r="SRN2197" s="10"/>
      <c r="SRO2197" s="10"/>
      <c r="SRP2197" s="10"/>
      <c r="SRQ2197" s="10"/>
      <c r="SRR2197" s="10"/>
      <c r="SRS2197" s="10"/>
      <c r="SRT2197" s="10"/>
      <c r="SRU2197" s="10"/>
      <c r="SRV2197" s="10"/>
      <c r="SRW2197" s="10"/>
      <c r="SRX2197" s="10"/>
      <c r="SRY2197" s="10"/>
      <c r="SRZ2197" s="10"/>
      <c r="SSA2197" s="10"/>
      <c r="SSB2197" s="10"/>
      <c r="SSC2197" s="10"/>
      <c r="SSD2197" s="10"/>
      <c r="SSE2197" s="10"/>
      <c r="SSF2197" s="10"/>
      <c r="SSG2197" s="10"/>
      <c r="SSH2197" s="10"/>
      <c r="SSI2197" s="10"/>
      <c r="SSJ2197" s="10"/>
      <c r="SSK2197" s="10"/>
      <c r="SSL2197" s="10"/>
      <c r="SSM2197" s="10"/>
      <c r="SSN2197" s="10"/>
      <c r="SSO2197" s="10"/>
      <c r="SSP2197" s="10"/>
      <c r="SSQ2197" s="10"/>
      <c r="SSR2197" s="10"/>
      <c r="SSS2197" s="10"/>
      <c r="SST2197" s="10"/>
      <c r="SSU2197" s="10"/>
      <c r="SSV2197" s="10"/>
      <c r="SSW2197" s="10"/>
      <c r="SSX2197" s="10"/>
      <c r="SSY2197" s="10"/>
      <c r="SSZ2197" s="10"/>
      <c r="STA2197" s="10"/>
      <c r="STB2197" s="10"/>
      <c r="STC2197" s="10"/>
      <c r="STD2197" s="10"/>
      <c r="STE2197" s="10"/>
      <c r="STF2197" s="10"/>
      <c r="STG2197" s="10"/>
      <c r="STH2197" s="10"/>
      <c r="STI2197" s="10"/>
      <c r="STJ2197" s="10"/>
      <c r="STK2197" s="10"/>
      <c r="STL2197" s="10"/>
      <c r="STM2197" s="10"/>
      <c r="STN2197" s="10"/>
      <c r="STO2197" s="10"/>
      <c r="STP2197" s="10"/>
      <c r="STQ2197" s="10"/>
      <c r="STR2197" s="10"/>
      <c r="STS2197" s="10"/>
      <c r="STT2197" s="10"/>
      <c r="STU2197" s="10"/>
      <c r="STV2197" s="10"/>
      <c r="STW2197" s="10"/>
      <c r="STX2197" s="10"/>
      <c r="STY2197" s="10"/>
      <c r="STZ2197" s="10"/>
      <c r="SUA2197" s="10"/>
      <c r="SUB2197" s="10"/>
      <c r="SUC2197" s="10"/>
      <c r="SUD2197" s="10"/>
      <c r="SUE2197" s="10"/>
      <c r="SUF2197" s="10"/>
      <c r="SUG2197" s="10"/>
      <c r="SUH2197" s="10"/>
      <c r="SUI2197" s="10"/>
      <c r="SUJ2197" s="10"/>
      <c r="SUK2197" s="10"/>
      <c r="SUL2197" s="10"/>
      <c r="SUM2197" s="10"/>
      <c r="SUN2197" s="10"/>
      <c r="SUO2197" s="10"/>
      <c r="SUP2197" s="10"/>
      <c r="SUQ2197" s="10"/>
      <c r="SUR2197" s="10"/>
      <c r="SUS2197" s="10"/>
      <c r="SUT2197" s="10"/>
      <c r="SUU2197" s="10"/>
      <c r="SUV2197" s="10"/>
      <c r="SUW2197" s="10"/>
      <c r="SUX2197" s="10"/>
      <c r="SUY2197" s="10"/>
      <c r="SUZ2197" s="10"/>
      <c r="SVA2197" s="10"/>
      <c r="SVB2197" s="10"/>
      <c r="SVC2197" s="10"/>
      <c r="SVD2197" s="10"/>
      <c r="SVE2197" s="10"/>
      <c r="SVF2197" s="10"/>
      <c r="SVG2197" s="10"/>
      <c r="SVH2197" s="10"/>
      <c r="SVI2197" s="10"/>
      <c r="SVJ2197" s="10"/>
      <c r="SVK2197" s="10"/>
      <c r="SVL2197" s="10"/>
      <c r="SVM2197" s="10"/>
      <c r="SVN2197" s="10"/>
      <c r="SVO2197" s="10"/>
      <c r="SVP2197" s="10"/>
      <c r="SVQ2197" s="10"/>
      <c r="SVR2197" s="10"/>
      <c r="SVS2197" s="10"/>
      <c r="SVT2197" s="10"/>
      <c r="SVU2197" s="10"/>
      <c r="SVV2197" s="10"/>
      <c r="SVW2197" s="10"/>
      <c r="SVX2197" s="10"/>
      <c r="SVY2197" s="10"/>
      <c r="SVZ2197" s="10"/>
      <c r="SWA2197" s="10"/>
      <c r="SWB2197" s="10"/>
      <c r="SWC2197" s="10"/>
      <c r="SWD2197" s="10"/>
      <c r="SWE2197" s="10"/>
      <c r="SWF2197" s="10"/>
      <c r="SWG2197" s="10"/>
      <c r="SWH2197" s="10"/>
      <c r="SWI2197" s="10"/>
      <c r="SWJ2197" s="10"/>
      <c r="SWK2197" s="10"/>
      <c r="SWL2197" s="10"/>
      <c r="SWM2197" s="10"/>
      <c r="SWN2197" s="10"/>
      <c r="SWO2197" s="10"/>
      <c r="SWP2197" s="10"/>
      <c r="SWQ2197" s="10"/>
      <c r="SWR2197" s="10"/>
      <c r="SWS2197" s="10"/>
      <c r="SWT2197" s="10"/>
      <c r="SWU2197" s="10"/>
      <c r="SWV2197" s="10"/>
      <c r="SWW2197" s="10"/>
      <c r="SWX2197" s="10"/>
      <c r="SWY2197" s="10"/>
      <c r="SWZ2197" s="10"/>
      <c r="SXA2197" s="10"/>
      <c r="SXB2197" s="10"/>
      <c r="SXC2197" s="10"/>
      <c r="SXD2197" s="10"/>
      <c r="SXE2197" s="10"/>
      <c r="SXF2197" s="10"/>
      <c r="SXG2197" s="10"/>
      <c r="SXH2197" s="10"/>
      <c r="SXI2197" s="10"/>
      <c r="SXJ2197" s="10"/>
      <c r="SXK2197" s="10"/>
      <c r="SXL2197" s="10"/>
      <c r="SXM2197" s="10"/>
      <c r="SXN2197" s="10"/>
      <c r="SXO2197" s="10"/>
      <c r="SXP2197" s="10"/>
      <c r="SXQ2197" s="10"/>
      <c r="SXR2197" s="10"/>
      <c r="SXS2197" s="10"/>
      <c r="SXT2197" s="10"/>
      <c r="SXU2197" s="10"/>
      <c r="SXV2197" s="10"/>
      <c r="SXW2197" s="10"/>
      <c r="SXX2197" s="10"/>
      <c r="SXY2197" s="10"/>
      <c r="SXZ2197" s="10"/>
      <c r="SYA2197" s="10"/>
      <c r="SYB2197" s="10"/>
      <c r="SYC2197" s="10"/>
      <c r="SYD2197" s="10"/>
      <c r="SYE2197" s="10"/>
      <c r="SYF2197" s="10"/>
      <c r="SYG2197" s="10"/>
      <c r="SYH2197" s="10"/>
      <c r="SYI2197" s="10"/>
      <c r="SYJ2197" s="10"/>
      <c r="SYK2197" s="10"/>
      <c r="SYL2197" s="10"/>
      <c r="SYM2197" s="10"/>
      <c r="SYN2197" s="10"/>
      <c r="SYO2197" s="10"/>
      <c r="SYP2197" s="10"/>
      <c r="SYQ2197" s="10"/>
      <c r="SYR2197" s="10"/>
      <c r="SYS2197" s="10"/>
      <c r="SYT2197" s="10"/>
      <c r="SYU2197" s="10"/>
      <c r="SYV2197" s="10"/>
      <c r="SYW2197" s="10"/>
      <c r="SYX2197" s="10"/>
      <c r="SYY2197" s="10"/>
      <c r="SYZ2197" s="10"/>
      <c r="SZA2197" s="10"/>
      <c r="SZB2197" s="10"/>
      <c r="SZC2197" s="10"/>
      <c r="SZD2197" s="10"/>
      <c r="SZE2197" s="10"/>
      <c r="SZF2197" s="10"/>
      <c r="SZG2197" s="10"/>
      <c r="SZH2197" s="10"/>
      <c r="SZI2197" s="10"/>
      <c r="SZJ2197" s="10"/>
      <c r="SZK2197" s="10"/>
      <c r="SZL2197" s="10"/>
      <c r="SZM2197" s="10"/>
      <c r="SZN2197" s="10"/>
      <c r="SZO2197" s="10"/>
      <c r="SZP2197" s="10"/>
      <c r="SZQ2197" s="10"/>
      <c r="SZR2197" s="10"/>
      <c r="SZS2197" s="10"/>
      <c r="SZT2197" s="10"/>
      <c r="SZU2197" s="10"/>
      <c r="SZV2197" s="10"/>
      <c r="SZW2197" s="10"/>
      <c r="SZX2197" s="10"/>
      <c r="SZY2197" s="10"/>
      <c r="SZZ2197" s="10"/>
      <c r="TAA2197" s="10"/>
      <c r="TAB2197" s="10"/>
      <c r="TAC2197" s="10"/>
      <c r="TAD2197" s="10"/>
      <c r="TAE2197" s="10"/>
      <c r="TAF2197" s="10"/>
      <c r="TAG2197" s="10"/>
      <c r="TAH2197" s="10"/>
      <c r="TAI2197" s="10"/>
      <c r="TAJ2197" s="10"/>
      <c r="TAK2197" s="10"/>
      <c r="TAL2197" s="10"/>
      <c r="TAM2197" s="10"/>
      <c r="TAN2197" s="10"/>
      <c r="TAO2197" s="10"/>
      <c r="TAP2197" s="10"/>
      <c r="TAQ2197" s="10"/>
      <c r="TAR2197" s="10"/>
      <c r="TAS2197" s="10"/>
      <c r="TAT2197" s="10"/>
      <c r="TAU2197" s="10"/>
      <c r="TAV2197" s="10"/>
      <c r="TAW2197" s="10"/>
      <c r="TAX2197" s="10"/>
      <c r="TAY2197" s="10"/>
      <c r="TAZ2197" s="10"/>
      <c r="TBA2197" s="10"/>
      <c r="TBB2197" s="10"/>
      <c r="TBC2197" s="10"/>
      <c r="TBD2197" s="10"/>
      <c r="TBE2197" s="10"/>
      <c r="TBF2197" s="10"/>
      <c r="TBG2197" s="10"/>
      <c r="TBH2197" s="10"/>
      <c r="TBI2197" s="10"/>
      <c r="TBJ2197" s="10"/>
      <c r="TBK2197" s="10"/>
      <c r="TBL2197" s="10"/>
      <c r="TBM2197" s="10"/>
      <c r="TBN2197" s="10"/>
      <c r="TBO2197" s="10"/>
      <c r="TBP2197" s="10"/>
      <c r="TBQ2197" s="10"/>
      <c r="TBR2197" s="10"/>
      <c r="TBS2197" s="10"/>
      <c r="TBT2197" s="10"/>
      <c r="TBU2197" s="10"/>
      <c r="TBV2197" s="10"/>
      <c r="TBW2197" s="10"/>
      <c r="TBX2197" s="10"/>
      <c r="TBY2197" s="10"/>
      <c r="TBZ2197" s="10"/>
      <c r="TCA2197" s="10"/>
      <c r="TCB2197" s="10"/>
      <c r="TCC2197" s="10"/>
      <c r="TCD2197" s="10"/>
      <c r="TCE2197" s="10"/>
      <c r="TCF2197" s="10"/>
      <c r="TCG2197" s="10"/>
      <c r="TCH2197" s="10"/>
      <c r="TCI2197" s="10"/>
      <c r="TCJ2197" s="10"/>
      <c r="TCK2197" s="10"/>
      <c r="TCL2197" s="10"/>
      <c r="TCM2197" s="10"/>
      <c r="TCN2197" s="10"/>
      <c r="TCO2197" s="10"/>
      <c r="TCP2197" s="10"/>
      <c r="TCQ2197" s="10"/>
      <c r="TCR2197" s="10"/>
      <c r="TCS2197" s="10"/>
      <c r="TCT2197" s="10"/>
      <c r="TCU2197" s="10"/>
      <c r="TCV2197" s="10"/>
      <c r="TCW2197" s="10"/>
      <c r="TCX2197" s="10"/>
      <c r="TCY2197" s="10"/>
      <c r="TCZ2197" s="10"/>
      <c r="TDA2197" s="10"/>
      <c r="TDB2197" s="10"/>
      <c r="TDC2197" s="10"/>
      <c r="TDD2197" s="10"/>
      <c r="TDE2197" s="10"/>
      <c r="TDF2197" s="10"/>
      <c r="TDG2197" s="10"/>
      <c r="TDH2197" s="10"/>
      <c r="TDI2197" s="10"/>
      <c r="TDJ2197" s="10"/>
      <c r="TDK2197" s="10"/>
      <c r="TDL2197" s="10"/>
      <c r="TDM2197" s="10"/>
      <c r="TDN2197" s="10"/>
      <c r="TDO2197" s="10"/>
      <c r="TDP2197" s="10"/>
      <c r="TDQ2197" s="10"/>
      <c r="TDR2197" s="10"/>
      <c r="TDS2197" s="10"/>
      <c r="TDT2197" s="10"/>
      <c r="TDU2197" s="10"/>
      <c r="TDV2197" s="10"/>
      <c r="TDW2197" s="10"/>
      <c r="TDX2197" s="10"/>
      <c r="TDY2197" s="10"/>
      <c r="TDZ2197" s="10"/>
      <c r="TEA2197" s="10"/>
      <c r="TEB2197" s="10"/>
      <c r="TEC2197" s="10"/>
      <c r="TED2197" s="10"/>
      <c r="TEE2197" s="10"/>
      <c r="TEF2197" s="10"/>
      <c r="TEG2197" s="10"/>
      <c r="TEH2197" s="10"/>
      <c r="TEI2197" s="10"/>
      <c r="TEJ2197" s="10"/>
      <c r="TEK2197" s="10"/>
      <c r="TEL2197" s="10"/>
      <c r="TEM2197" s="10"/>
      <c r="TEN2197" s="10"/>
      <c r="TEO2197" s="10"/>
      <c r="TEP2197" s="10"/>
      <c r="TEQ2197" s="10"/>
      <c r="TER2197" s="10"/>
      <c r="TES2197" s="10"/>
      <c r="TET2197" s="10"/>
      <c r="TEU2197" s="10"/>
      <c r="TEV2197" s="10"/>
      <c r="TEW2197" s="10"/>
      <c r="TEX2197" s="10"/>
      <c r="TEY2197" s="10"/>
      <c r="TEZ2197" s="10"/>
      <c r="TFA2197" s="10"/>
      <c r="TFB2197" s="10"/>
      <c r="TFC2197" s="10"/>
      <c r="TFD2197" s="10"/>
      <c r="TFE2197" s="10"/>
      <c r="TFF2197" s="10"/>
      <c r="TFG2197" s="10"/>
      <c r="TFH2197" s="10"/>
      <c r="TFI2197" s="10"/>
      <c r="TFJ2197" s="10"/>
      <c r="TFK2197" s="10"/>
      <c r="TFL2197" s="10"/>
      <c r="TFM2197" s="10"/>
      <c r="TFN2197" s="10"/>
      <c r="TFO2197" s="10"/>
      <c r="TFP2197" s="10"/>
      <c r="TFQ2197" s="10"/>
      <c r="TFR2197" s="10"/>
      <c r="TFS2197" s="10"/>
      <c r="TFT2197" s="10"/>
      <c r="TFU2197" s="10"/>
      <c r="TFV2197" s="10"/>
      <c r="TFW2197" s="10"/>
      <c r="TFX2197" s="10"/>
      <c r="TFY2197" s="10"/>
      <c r="TFZ2197" s="10"/>
      <c r="TGA2197" s="10"/>
      <c r="TGB2197" s="10"/>
      <c r="TGC2197" s="10"/>
      <c r="TGD2197" s="10"/>
      <c r="TGE2197" s="10"/>
      <c r="TGF2197" s="10"/>
      <c r="TGG2197" s="10"/>
      <c r="TGH2197" s="10"/>
      <c r="TGI2197" s="10"/>
      <c r="TGJ2197" s="10"/>
      <c r="TGK2197" s="10"/>
      <c r="TGL2197" s="10"/>
      <c r="TGM2197" s="10"/>
      <c r="TGN2197" s="10"/>
      <c r="TGO2197" s="10"/>
      <c r="TGP2197" s="10"/>
      <c r="TGQ2197" s="10"/>
      <c r="TGR2197" s="10"/>
      <c r="TGS2197" s="10"/>
      <c r="TGT2197" s="10"/>
      <c r="TGU2197" s="10"/>
      <c r="TGV2197" s="10"/>
      <c r="TGW2197" s="10"/>
      <c r="TGX2197" s="10"/>
      <c r="TGY2197" s="10"/>
      <c r="TGZ2197" s="10"/>
      <c r="THA2197" s="10"/>
      <c r="THB2197" s="10"/>
      <c r="THC2197" s="10"/>
      <c r="THD2197" s="10"/>
      <c r="THE2197" s="10"/>
      <c r="THF2197" s="10"/>
      <c r="THG2197" s="10"/>
      <c r="THH2197" s="10"/>
      <c r="THI2197" s="10"/>
      <c r="THJ2197" s="10"/>
      <c r="THK2197" s="10"/>
      <c r="THL2197" s="10"/>
      <c r="THM2197" s="10"/>
      <c r="THN2197" s="10"/>
      <c r="THO2197" s="10"/>
      <c r="THP2197" s="10"/>
      <c r="THQ2197" s="10"/>
      <c r="THR2197" s="10"/>
      <c r="THS2197" s="10"/>
      <c r="THT2197" s="10"/>
      <c r="THU2197" s="10"/>
      <c r="THV2197" s="10"/>
      <c r="THW2197" s="10"/>
      <c r="THX2197" s="10"/>
      <c r="THY2197" s="10"/>
      <c r="THZ2197" s="10"/>
      <c r="TIA2197" s="10"/>
      <c r="TIB2197" s="10"/>
      <c r="TIC2197" s="10"/>
      <c r="TID2197" s="10"/>
      <c r="TIE2197" s="10"/>
      <c r="TIF2197" s="10"/>
      <c r="TIG2197" s="10"/>
      <c r="TIH2197" s="10"/>
      <c r="TII2197" s="10"/>
      <c r="TIJ2197" s="10"/>
      <c r="TIK2197" s="10"/>
      <c r="TIL2197" s="10"/>
      <c r="TIM2197" s="10"/>
      <c r="TIN2197" s="10"/>
      <c r="TIO2197" s="10"/>
      <c r="TIP2197" s="10"/>
      <c r="TIQ2197" s="10"/>
      <c r="TIR2197" s="10"/>
      <c r="TIS2197" s="10"/>
      <c r="TIT2197" s="10"/>
      <c r="TIU2197" s="10"/>
      <c r="TIV2197" s="10"/>
      <c r="TIW2197" s="10"/>
      <c r="TIX2197" s="10"/>
      <c r="TIY2197" s="10"/>
      <c r="TIZ2197" s="10"/>
      <c r="TJA2197" s="10"/>
      <c r="TJB2197" s="10"/>
      <c r="TJC2197" s="10"/>
      <c r="TJD2197" s="10"/>
      <c r="TJE2197" s="10"/>
      <c r="TJF2197" s="10"/>
      <c r="TJG2197" s="10"/>
      <c r="TJH2197" s="10"/>
      <c r="TJI2197" s="10"/>
      <c r="TJJ2197" s="10"/>
      <c r="TJK2197" s="10"/>
      <c r="TJL2197" s="10"/>
      <c r="TJM2197" s="10"/>
      <c r="TJN2197" s="10"/>
      <c r="TJO2197" s="10"/>
      <c r="TJP2197" s="10"/>
      <c r="TJQ2197" s="10"/>
      <c r="TJR2197" s="10"/>
      <c r="TJS2197" s="10"/>
      <c r="TJT2197" s="10"/>
      <c r="TJU2197" s="10"/>
      <c r="TJV2197" s="10"/>
      <c r="TJW2197" s="10"/>
      <c r="TJX2197" s="10"/>
      <c r="TJY2197" s="10"/>
      <c r="TJZ2197" s="10"/>
      <c r="TKA2197" s="10"/>
      <c r="TKB2197" s="10"/>
      <c r="TKC2197" s="10"/>
      <c r="TKD2197" s="10"/>
      <c r="TKE2197" s="10"/>
      <c r="TKF2197" s="10"/>
      <c r="TKG2197" s="10"/>
      <c r="TKH2197" s="10"/>
      <c r="TKI2197" s="10"/>
      <c r="TKJ2197" s="10"/>
      <c r="TKK2197" s="10"/>
      <c r="TKL2197" s="10"/>
      <c r="TKM2197" s="10"/>
      <c r="TKN2197" s="10"/>
      <c r="TKO2197" s="10"/>
      <c r="TKP2197" s="10"/>
      <c r="TKQ2197" s="10"/>
      <c r="TKR2197" s="10"/>
      <c r="TKS2197" s="10"/>
      <c r="TKT2197" s="10"/>
      <c r="TKU2197" s="10"/>
      <c r="TKV2197" s="10"/>
      <c r="TKW2197" s="10"/>
      <c r="TKX2197" s="10"/>
      <c r="TKY2197" s="10"/>
      <c r="TKZ2197" s="10"/>
      <c r="TLA2197" s="10"/>
      <c r="TLB2197" s="10"/>
      <c r="TLC2197" s="10"/>
      <c r="TLD2197" s="10"/>
      <c r="TLE2197" s="10"/>
      <c r="TLF2197" s="10"/>
      <c r="TLG2197" s="10"/>
      <c r="TLH2197" s="10"/>
      <c r="TLI2197" s="10"/>
      <c r="TLJ2197" s="10"/>
      <c r="TLK2197" s="10"/>
      <c r="TLL2197" s="10"/>
      <c r="TLM2197" s="10"/>
      <c r="TLN2197" s="10"/>
      <c r="TLO2197" s="10"/>
      <c r="TLP2197" s="10"/>
      <c r="TLQ2197" s="10"/>
      <c r="TLR2197" s="10"/>
      <c r="TLS2197" s="10"/>
      <c r="TLT2197" s="10"/>
      <c r="TLU2197" s="10"/>
      <c r="TLV2197" s="10"/>
      <c r="TLW2197" s="10"/>
      <c r="TLX2197" s="10"/>
      <c r="TLY2197" s="10"/>
      <c r="TLZ2197" s="10"/>
      <c r="TMA2197" s="10"/>
      <c r="TMB2197" s="10"/>
      <c r="TMC2197" s="10"/>
      <c r="TMD2197" s="10"/>
      <c r="TME2197" s="10"/>
      <c r="TMF2197" s="10"/>
      <c r="TMG2197" s="10"/>
      <c r="TMH2197" s="10"/>
      <c r="TMI2197" s="10"/>
      <c r="TMJ2197" s="10"/>
      <c r="TMK2197" s="10"/>
      <c r="TML2197" s="10"/>
      <c r="TMM2197" s="10"/>
      <c r="TMN2197" s="10"/>
      <c r="TMO2197" s="10"/>
      <c r="TMP2197" s="10"/>
      <c r="TMQ2197" s="10"/>
      <c r="TMR2197" s="10"/>
      <c r="TMS2197" s="10"/>
      <c r="TMT2197" s="10"/>
      <c r="TMU2197" s="10"/>
      <c r="TMV2197" s="10"/>
      <c r="TMW2197" s="10"/>
      <c r="TMX2197" s="10"/>
      <c r="TMY2197" s="10"/>
      <c r="TMZ2197" s="10"/>
      <c r="TNA2197" s="10"/>
      <c r="TNB2197" s="10"/>
      <c r="TNC2197" s="10"/>
      <c r="TND2197" s="10"/>
      <c r="TNE2197" s="10"/>
      <c r="TNF2197" s="10"/>
      <c r="TNG2197" s="10"/>
      <c r="TNH2197" s="10"/>
      <c r="TNI2197" s="10"/>
      <c r="TNJ2197" s="10"/>
      <c r="TNK2197" s="10"/>
      <c r="TNL2197" s="10"/>
      <c r="TNM2197" s="10"/>
      <c r="TNN2197" s="10"/>
      <c r="TNO2197" s="10"/>
      <c r="TNP2197" s="10"/>
      <c r="TNQ2197" s="10"/>
      <c r="TNR2197" s="10"/>
      <c r="TNS2197" s="10"/>
      <c r="TNT2197" s="10"/>
      <c r="TNU2197" s="10"/>
      <c r="TNV2197" s="10"/>
      <c r="TNW2197" s="10"/>
      <c r="TNX2197" s="10"/>
      <c r="TNY2197" s="10"/>
      <c r="TNZ2197" s="10"/>
      <c r="TOA2197" s="10"/>
      <c r="TOB2197" s="10"/>
      <c r="TOC2197" s="10"/>
      <c r="TOD2197" s="10"/>
      <c r="TOE2197" s="10"/>
      <c r="TOF2197" s="10"/>
      <c r="TOG2197" s="10"/>
      <c r="TOH2197" s="10"/>
      <c r="TOI2197" s="10"/>
      <c r="TOJ2197" s="10"/>
      <c r="TOK2197" s="10"/>
      <c r="TOL2197" s="10"/>
      <c r="TOM2197" s="10"/>
      <c r="TON2197" s="10"/>
      <c r="TOO2197" s="10"/>
      <c r="TOP2197" s="10"/>
      <c r="TOQ2197" s="10"/>
      <c r="TOR2197" s="10"/>
      <c r="TOS2197" s="10"/>
      <c r="TOT2197" s="10"/>
      <c r="TOU2197" s="10"/>
      <c r="TOV2197" s="10"/>
      <c r="TOW2197" s="10"/>
      <c r="TOX2197" s="10"/>
      <c r="TOY2197" s="10"/>
      <c r="TOZ2197" s="10"/>
      <c r="TPA2197" s="10"/>
      <c r="TPB2197" s="10"/>
      <c r="TPC2197" s="10"/>
      <c r="TPD2197" s="10"/>
      <c r="TPE2197" s="10"/>
      <c r="TPF2197" s="10"/>
      <c r="TPG2197" s="10"/>
      <c r="TPH2197" s="10"/>
      <c r="TPI2197" s="10"/>
      <c r="TPJ2197" s="10"/>
      <c r="TPK2197" s="10"/>
      <c r="TPL2197" s="10"/>
      <c r="TPM2197" s="10"/>
      <c r="TPN2197" s="10"/>
      <c r="TPO2197" s="10"/>
      <c r="TPP2197" s="10"/>
      <c r="TPQ2197" s="10"/>
      <c r="TPR2197" s="10"/>
      <c r="TPS2197" s="10"/>
      <c r="TPT2197" s="10"/>
      <c r="TPU2197" s="10"/>
      <c r="TPV2197" s="10"/>
      <c r="TPW2197" s="10"/>
      <c r="TPX2197" s="10"/>
      <c r="TPY2197" s="10"/>
      <c r="TPZ2197" s="10"/>
      <c r="TQA2197" s="10"/>
      <c r="TQB2197" s="10"/>
      <c r="TQC2197" s="10"/>
      <c r="TQD2197" s="10"/>
      <c r="TQE2197" s="10"/>
      <c r="TQF2197" s="10"/>
      <c r="TQG2197" s="10"/>
      <c r="TQH2197" s="10"/>
      <c r="TQI2197" s="10"/>
      <c r="TQJ2197" s="10"/>
      <c r="TQK2197" s="10"/>
      <c r="TQL2197" s="10"/>
      <c r="TQM2197" s="10"/>
      <c r="TQN2197" s="10"/>
      <c r="TQO2197" s="10"/>
      <c r="TQP2197" s="10"/>
      <c r="TQQ2197" s="10"/>
      <c r="TQR2197" s="10"/>
      <c r="TQS2197" s="10"/>
      <c r="TQT2197" s="10"/>
      <c r="TQU2197" s="10"/>
      <c r="TQV2197" s="10"/>
      <c r="TQW2197" s="10"/>
      <c r="TQX2197" s="10"/>
      <c r="TQY2197" s="10"/>
      <c r="TQZ2197" s="10"/>
      <c r="TRA2197" s="10"/>
      <c r="TRB2197" s="10"/>
      <c r="TRC2197" s="10"/>
      <c r="TRD2197" s="10"/>
      <c r="TRE2197" s="10"/>
      <c r="TRF2197" s="10"/>
      <c r="TRG2197" s="10"/>
      <c r="TRH2197" s="10"/>
      <c r="TRI2197" s="10"/>
      <c r="TRJ2197" s="10"/>
      <c r="TRK2197" s="10"/>
      <c r="TRL2197" s="10"/>
      <c r="TRM2197" s="10"/>
      <c r="TRN2197" s="10"/>
      <c r="TRO2197" s="10"/>
      <c r="TRP2197" s="10"/>
      <c r="TRQ2197" s="10"/>
      <c r="TRR2197" s="10"/>
      <c r="TRS2197" s="10"/>
      <c r="TRT2197" s="10"/>
      <c r="TRU2197" s="10"/>
      <c r="TRV2197" s="10"/>
      <c r="TRW2197" s="10"/>
      <c r="TRX2197" s="10"/>
      <c r="TRY2197" s="10"/>
      <c r="TRZ2197" s="10"/>
      <c r="TSA2197" s="10"/>
      <c r="TSB2197" s="10"/>
      <c r="TSC2197" s="10"/>
      <c r="TSD2197" s="10"/>
      <c r="TSE2197" s="10"/>
      <c r="TSF2197" s="10"/>
      <c r="TSG2197" s="10"/>
      <c r="TSH2197" s="10"/>
      <c r="TSI2197" s="10"/>
      <c r="TSJ2197" s="10"/>
      <c r="TSK2197" s="10"/>
      <c r="TSL2197" s="10"/>
      <c r="TSM2197" s="10"/>
      <c r="TSN2197" s="10"/>
      <c r="TSO2197" s="10"/>
      <c r="TSP2197" s="10"/>
      <c r="TSQ2197" s="10"/>
      <c r="TSR2197" s="10"/>
      <c r="TSS2197" s="10"/>
      <c r="TST2197" s="10"/>
      <c r="TSU2197" s="10"/>
      <c r="TSV2197" s="10"/>
      <c r="TSW2197" s="10"/>
      <c r="TSX2197" s="10"/>
      <c r="TSY2197" s="10"/>
      <c r="TSZ2197" s="10"/>
      <c r="TTA2197" s="10"/>
      <c r="TTB2197" s="10"/>
      <c r="TTC2197" s="10"/>
      <c r="TTD2197" s="10"/>
      <c r="TTE2197" s="10"/>
      <c r="TTF2197" s="10"/>
      <c r="TTG2197" s="10"/>
      <c r="TTH2197" s="10"/>
      <c r="TTI2197" s="10"/>
      <c r="TTJ2197" s="10"/>
      <c r="TTK2197" s="10"/>
      <c r="TTL2197" s="10"/>
      <c r="TTM2197" s="10"/>
      <c r="TTN2197" s="10"/>
      <c r="TTO2197" s="10"/>
      <c r="TTP2197" s="10"/>
      <c r="TTQ2197" s="10"/>
      <c r="TTR2197" s="10"/>
      <c r="TTS2197" s="10"/>
      <c r="TTT2197" s="10"/>
      <c r="TTU2197" s="10"/>
      <c r="TTV2197" s="10"/>
      <c r="TTW2197" s="10"/>
      <c r="TTX2197" s="10"/>
      <c r="TTY2197" s="10"/>
      <c r="TTZ2197" s="10"/>
      <c r="TUA2197" s="10"/>
      <c r="TUB2197" s="10"/>
      <c r="TUC2197" s="10"/>
      <c r="TUD2197" s="10"/>
      <c r="TUE2197" s="10"/>
      <c r="TUF2197" s="10"/>
      <c r="TUG2197" s="10"/>
      <c r="TUH2197" s="10"/>
      <c r="TUI2197" s="10"/>
      <c r="TUJ2197" s="10"/>
      <c r="TUK2197" s="10"/>
      <c r="TUL2197" s="10"/>
      <c r="TUM2197" s="10"/>
      <c r="TUN2197" s="10"/>
      <c r="TUO2197" s="10"/>
      <c r="TUP2197" s="10"/>
      <c r="TUQ2197" s="10"/>
      <c r="TUR2197" s="10"/>
      <c r="TUS2197" s="10"/>
      <c r="TUT2197" s="10"/>
      <c r="TUU2197" s="10"/>
      <c r="TUV2197" s="10"/>
      <c r="TUW2197" s="10"/>
      <c r="TUX2197" s="10"/>
      <c r="TUY2197" s="10"/>
      <c r="TUZ2197" s="10"/>
      <c r="TVA2197" s="10"/>
      <c r="TVB2197" s="10"/>
      <c r="TVC2197" s="10"/>
      <c r="TVD2197" s="10"/>
      <c r="TVE2197" s="10"/>
      <c r="TVF2197" s="10"/>
      <c r="TVG2197" s="10"/>
      <c r="TVH2197" s="10"/>
      <c r="TVI2197" s="10"/>
      <c r="TVJ2197" s="10"/>
      <c r="TVK2197" s="10"/>
      <c r="TVL2197" s="10"/>
      <c r="TVM2197" s="10"/>
      <c r="TVN2197" s="10"/>
      <c r="TVO2197" s="10"/>
      <c r="TVP2197" s="10"/>
      <c r="TVQ2197" s="10"/>
      <c r="TVR2197" s="10"/>
      <c r="TVS2197" s="10"/>
      <c r="TVT2197" s="10"/>
      <c r="TVU2197" s="10"/>
      <c r="TVV2197" s="10"/>
      <c r="TVW2197" s="10"/>
      <c r="TVX2197" s="10"/>
      <c r="TVY2197" s="10"/>
      <c r="TVZ2197" s="10"/>
      <c r="TWA2197" s="10"/>
      <c r="TWB2197" s="10"/>
      <c r="TWC2197" s="10"/>
      <c r="TWD2197" s="10"/>
      <c r="TWE2197" s="10"/>
      <c r="TWF2197" s="10"/>
      <c r="TWG2197" s="10"/>
      <c r="TWH2197" s="10"/>
      <c r="TWI2197" s="10"/>
      <c r="TWJ2197" s="10"/>
      <c r="TWK2197" s="10"/>
      <c r="TWL2197" s="10"/>
      <c r="TWM2197" s="10"/>
      <c r="TWN2197" s="10"/>
      <c r="TWO2197" s="10"/>
      <c r="TWP2197" s="10"/>
      <c r="TWQ2197" s="10"/>
      <c r="TWR2197" s="10"/>
      <c r="TWS2197" s="10"/>
      <c r="TWT2197" s="10"/>
      <c r="TWU2197" s="10"/>
      <c r="TWV2197" s="10"/>
      <c r="TWW2197" s="10"/>
      <c r="TWX2197" s="10"/>
      <c r="TWY2197" s="10"/>
      <c r="TWZ2197" s="10"/>
      <c r="TXA2197" s="10"/>
      <c r="TXB2197" s="10"/>
      <c r="TXC2197" s="10"/>
      <c r="TXD2197" s="10"/>
      <c r="TXE2197" s="10"/>
      <c r="TXF2197" s="10"/>
      <c r="TXG2197" s="10"/>
      <c r="TXH2197" s="10"/>
      <c r="TXI2197" s="10"/>
      <c r="TXJ2197" s="10"/>
      <c r="TXK2197" s="10"/>
      <c r="TXL2197" s="10"/>
      <c r="TXM2197" s="10"/>
      <c r="TXN2197" s="10"/>
      <c r="TXO2197" s="10"/>
      <c r="TXP2197" s="10"/>
      <c r="TXQ2197" s="10"/>
      <c r="TXR2197" s="10"/>
      <c r="TXS2197" s="10"/>
      <c r="TXT2197" s="10"/>
      <c r="TXU2197" s="10"/>
      <c r="TXV2197" s="10"/>
      <c r="TXW2197" s="10"/>
      <c r="TXX2197" s="10"/>
      <c r="TXY2197" s="10"/>
      <c r="TXZ2197" s="10"/>
      <c r="TYA2197" s="10"/>
      <c r="TYB2197" s="10"/>
      <c r="TYC2197" s="10"/>
      <c r="TYD2197" s="10"/>
      <c r="TYE2197" s="10"/>
      <c r="TYF2197" s="10"/>
      <c r="TYG2197" s="10"/>
      <c r="TYH2197" s="10"/>
      <c r="TYI2197" s="10"/>
      <c r="TYJ2197" s="10"/>
      <c r="TYK2197" s="10"/>
      <c r="TYL2197" s="10"/>
      <c r="TYM2197" s="10"/>
      <c r="TYN2197" s="10"/>
      <c r="TYO2197" s="10"/>
      <c r="TYP2197" s="10"/>
      <c r="TYQ2197" s="10"/>
      <c r="TYR2197" s="10"/>
      <c r="TYS2197" s="10"/>
      <c r="TYT2197" s="10"/>
      <c r="TYU2197" s="10"/>
      <c r="TYV2197" s="10"/>
      <c r="TYW2197" s="10"/>
      <c r="TYX2197" s="10"/>
      <c r="TYY2197" s="10"/>
      <c r="TYZ2197" s="10"/>
      <c r="TZA2197" s="10"/>
      <c r="TZB2197" s="10"/>
      <c r="TZC2197" s="10"/>
      <c r="TZD2197" s="10"/>
      <c r="TZE2197" s="10"/>
      <c r="TZF2197" s="10"/>
      <c r="TZG2197" s="10"/>
      <c r="TZH2197" s="10"/>
      <c r="TZI2197" s="10"/>
      <c r="TZJ2197" s="10"/>
      <c r="TZK2197" s="10"/>
      <c r="TZL2197" s="10"/>
      <c r="TZM2197" s="10"/>
      <c r="TZN2197" s="10"/>
      <c r="TZO2197" s="10"/>
      <c r="TZP2197" s="10"/>
      <c r="TZQ2197" s="10"/>
      <c r="TZR2197" s="10"/>
      <c r="TZS2197" s="10"/>
      <c r="TZT2197" s="10"/>
      <c r="TZU2197" s="10"/>
      <c r="TZV2197" s="10"/>
      <c r="TZW2197" s="10"/>
      <c r="TZX2197" s="10"/>
      <c r="TZY2197" s="10"/>
      <c r="TZZ2197" s="10"/>
      <c r="UAA2197" s="10"/>
      <c r="UAB2197" s="10"/>
      <c r="UAC2197" s="10"/>
      <c r="UAD2197" s="10"/>
      <c r="UAE2197" s="10"/>
      <c r="UAF2197" s="10"/>
      <c r="UAG2197" s="10"/>
      <c r="UAH2197" s="10"/>
      <c r="UAI2197" s="10"/>
      <c r="UAJ2197" s="10"/>
      <c r="UAK2197" s="10"/>
      <c r="UAL2197" s="10"/>
      <c r="UAM2197" s="10"/>
      <c r="UAN2197" s="10"/>
      <c r="UAO2197" s="10"/>
      <c r="UAP2197" s="10"/>
      <c r="UAQ2197" s="10"/>
      <c r="UAR2197" s="10"/>
      <c r="UAS2197" s="10"/>
      <c r="UAT2197" s="10"/>
      <c r="UAU2197" s="10"/>
      <c r="UAV2197" s="10"/>
      <c r="UAW2197" s="10"/>
      <c r="UAX2197" s="10"/>
      <c r="UAY2197" s="10"/>
      <c r="UAZ2197" s="10"/>
      <c r="UBA2197" s="10"/>
      <c r="UBB2197" s="10"/>
      <c r="UBC2197" s="10"/>
      <c r="UBD2197" s="10"/>
      <c r="UBE2197" s="10"/>
      <c r="UBF2197" s="10"/>
      <c r="UBG2197" s="10"/>
      <c r="UBH2197" s="10"/>
      <c r="UBI2197" s="10"/>
      <c r="UBJ2197" s="10"/>
      <c r="UBK2197" s="10"/>
      <c r="UBL2197" s="10"/>
      <c r="UBM2197" s="10"/>
      <c r="UBN2197" s="10"/>
      <c r="UBO2197" s="10"/>
      <c r="UBP2197" s="10"/>
      <c r="UBQ2197" s="10"/>
      <c r="UBR2197" s="10"/>
      <c r="UBS2197" s="10"/>
      <c r="UBT2197" s="10"/>
      <c r="UBU2197" s="10"/>
      <c r="UBV2197" s="10"/>
      <c r="UBW2197" s="10"/>
      <c r="UBX2197" s="10"/>
      <c r="UBY2197" s="10"/>
      <c r="UBZ2197" s="10"/>
      <c r="UCA2197" s="10"/>
      <c r="UCB2197" s="10"/>
      <c r="UCC2197" s="10"/>
      <c r="UCD2197" s="10"/>
      <c r="UCE2197" s="10"/>
      <c r="UCF2197" s="10"/>
      <c r="UCG2197" s="10"/>
      <c r="UCH2197" s="10"/>
      <c r="UCI2197" s="10"/>
      <c r="UCJ2197" s="10"/>
      <c r="UCK2197" s="10"/>
      <c r="UCL2197" s="10"/>
      <c r="UCM2197" s="10"/>
      <c r="UCN2197" s="10"/>
      <c r="UCO2197" s="10"/>
      <c r="UCP2197" s="10"/>
      <c r="UCQ2197" s="10"/>
      <c r="UCR2197" s="10"/>
      <c r="UCS2197" s="10"/>
      <c r="UCT2197" s="10"/>
      <c r="UCU2197" s="10"/>
      <c r="UCV2197" s="10"/>
      <c r="UCW2197" s="10"/>
      <c r="UCX2197" s="10"/>
      <c r="UCY2197" s="10"/>
      <c r="UCZ2197" s="10"/>
      <c r="UDA2197" s="10"/>
      <c r="UDB2197" s="10"/>
      <c r="UDC2197" s="10"/>
      <c r="UDD2197" s="10"/>
      <c r="UDE2197" s="10"/>
      <c r="UDF2197" s="10"/>
      <c r="UDG2197" s="10"/>
      <c r="UDH2197" s="10"/>
      <c r="UDI2197" s="10"/>
      <c r="UDJ2197" s="10"/>
      <c r="UDK2197" s="10"/>
      <c r="UDL2197" s="10"/>
      <c r="UDM2197" s="10"/>
      <c r="UDN2197" s="10"/>
      <c r="UDO2197" s="10"/>
      <c r="UDP2197" s="10"/>
      <c r="UDQ2197" s="10"/>
      <c r="UDR2197" s="10"/>
      <c r="UDS2197" s="10"/>
      <c r="UDT2197" s="10"/>
      <c r="UDU2197" s="10"/>
      <c r="UDV2197" s="10"/>
      <c r="UDW2197" s="10"/>
      <c r="UDX2197" s="10"/>
      <c r="UDY2197" s="10"/>
      <c r="UDZ2197" s="10"/>
      <c r="UEA2197" s="10"/>
      <c r="UEB2197" s="10"/>
      <c r="UEC2197" s="10"/>
      <c r="UED2197" s="10"/>
      <c r="UEE2197" s="10"/>
      <c r="UEF2197" s="10"/>
      <c r="UEG2197" s="10"/>
      <c r="UEH2197" s="10"/>
      <c r="UEI2197" s="10"/>
      <c r="UEJ2197" s="10"/>
      <c r="UEK2197" s="10"/>
      <c r="UEL2197" s="10"/>
      <c r="UEM2197" s="10"/>
      <c r="UEN2197" s="10"/>
      <c r="UEO2197" s="10"/>
      <c r="UEP2197" s="10"/>
      <c r="UEQ2197" s="10"/>
      <c r="UER2197" s="10"/>
      <c r="UES2197" s="10"/>
      <c r="UET2197" s="10"/>
      <c r="UEU2197" s="10"/>
      <c r="UEV2197" s="10"/>
      <c r="UEW2197" s="10"/>
      <c r="UEX2197" s="10"/>
      <c r="UEY2197" s="10"/>
      <c r="UEZ2197" s="10"/>
      <c r="UFA2197" s="10"/>
      <c r="UFB2197" s="10"/>
      <c r="UFC2197" s="10"/>
      <c r="UFD2197" s="10"/>
      <c r="UFE2197" s="10"/>
      <c r="UFF2197" s="10"/>
      <c r="UFG2197" s="10"/>
      <c r="UFH2197" s="10"/>
      <c r="UFI2197" s="10"/>
      <c r="UFJ2197" s="10"/>
      <c r="UFK2197" s="10"/>
      <c r="UFL2197" s="10"/>
      <c r="UFM2197" s="10"/>
      <c r="UFN2197" s="10"/>
      <c r="UFO2197" s="10"/>
      <c r="UFP2197" s="10"/>
      <c r="UFQ2197" s="10"/>
      <c r="UFR2197" s="10"/>
      <c r="UFS2197" s="10"/>
      <c r="UFT2197" s="10"/>
      <c r="UFU2197" s="10"/>
      <c r="UFV2197" s="10"/>
      <c r="UFW2197" s="10"/>
      <c r="UFX2197" s="10"/>
      <c r="UFY2197" s="10"/>
      <c r="UFZ2197" s="10"/>
      <c r="UGA2197" s="10"/>
      <c r="UGB2197" s="10"/>
      <c r="UGC2197" s="10"/>
      <c r="UGD2197" s="10"/>
      <c r="UGE2197" s="10"/>
      <c r="UGF2197" s="10"/>
      <c r="UGG2197" s="10"/>
      <c r="UGH2197" s="10"/>
      <c r="UGI2197" s="10"/>
      <c r="UGJ2197" s="10"/>
      <c r="UGK2197" s="10"/>
      <c r="UGL2197" s="10"/>
      <c r="UGM2197" s="10"/>
      <c r="UGN2197" s="10"/>
      <c r="UGO2197" s="10"/>
      <c r="UGP2197" s="10"/>
      <c r="UGQ2197" s="10"/>
      <c r="UGR2197" s="10"/>
      <c r="UGS2197" s="10"/>
      <c r="UGT2197" s="10"/>
      <c r="UGU2197" s="10"/>
      <c r="UGV2197" s="10"/>
      <c r="UGW2197" s="10"/>
      <c r="UGX2197" s="10"/>
      <c r="UGY2197" s="10"/>
      <c r="UGZ2197" s="10"/>
      <c r="UHA2197" s="10"/>
      <c r="UHB2197" s="10"/>
      <c r="UHC2197" s="10"/>
      <c r="UHD2197" s="10"/>
      <c r="UHE2197" s="10"/>
      <c r="UHF2197" s="10"/>
      <c r="UHG2197" s="10"/>
      <c r="UHH2197" s="10"/>
      <c r="UHI2197" s="10"/>
      <c r="UHJ2197" s="10"/>
      <c r="UHK2197" s="10"/>
      <c r="UHL2197" s="10"/>
      <c r="UHM2197" s="10"/>
      <c r="UHN2197" s="10"/>
      <c r="UHO2197" s="10"/>
      <c r="UHP2197" s="10"/>
      <c r="UHQ2197" s="10"/>
      <c r="UHR2197" s="10"/>
      <c r="UHS2197" s="10"/>
      <c r="UHT2197" s="10"/>
      <c r="UHU2197" s="10"/>
      <c r="UHV2197" s="10"/>
      <c r="UHW2197" s="10"/>
      <c r="UHX2197" s="10"/>
      <c r="UHY2197" s="10"/>
      <c r="UHZ2197" s="10"/>
      <c r="UIA2197" s="10"/>
      <c r="UIB2197" s="10"/>
      <c r="UIC2197" s="10"/>
      <c r="UID2197" s="10"/>
      <c r="UIE2197" s="10"/>
      <c r="UIF2197" s="10"/>
      <c r="UIG2197" s="10"/>
      <c r="UIH2197" s="10"/>
      <c r="UII2197" s="10"/>
      <c r="UIJ2197" s="10"/>
      <c r="UIK2197" s="10"/>
      <c r="UIL2197" s="10"/>
      <c r="UIM2197" s="10"/>
      <c r="UIN2197" s="10"/>
      <c r="UIO2197" s="10"/>
      <c r="UIP2197" s="10"/>
      <c r="UIQ2197" s="10"/>
      <c r="UIR2197" s="10"/>
      <c r="UIS2197" s="10"/>
      <c r="UIT2197" s="10"/>
      <c r="UIU2197" s="10"/>
      <c r="UIV2197" s="10"/>
      <c r="UIW2197" s="10"/>
      <c r="UIX2197" s="10"/>
      <c r="UIY2197" s="10"/>
      <c r="UIZ2197" s="10"/>
      <c r="UJA2197" s="10"/>
      <c r="UJB2197" s="10"/>
      <c r="UJC2197" s="10"/>
      <c r="UJD2197" s="10"/>
      <c r="UJE2197" s="10"/>
      <c r="UJF2197" s="10"/>
      <c r="UJG2197" s="10"/>
      <c r="UJH2197" s="10"/>
      <c r="UJI2197" s="10"/>
      <c r="UJJ2197" s="10"/>
      <c r="UJK2197" s="10"/>
      <c r="UJL2197" s="10"/>
      <c r="UJM2197" s="10"/>
      <c r="UJN2197" s="10"/>
      <c r="UJO2197" s="10"/>
      <c r="UJP2197" s="10"/>
      <c r="UJQ2197" s="10"/>
      <c r="UJR2197" s="10"/>
      <c r="UJS2197" s="10"/>
      <c r="UJT2197" s="10"/>
      <c r="UJU2197" s="10"/>
      <c r="UJV2197" s="10"/>
      <c r="UJW2197" s="10"/>
      <c r="UJX2197" s="10"/>
      <c r="UJY2197" s="10"/>
      <c r="UJZ2197" s="10"/>
      <c r="UKA2197" s="10"/>
      <c r="UKB2197" s="10"/>
      <c r="UKC2197" s="10"/>
      <c r="UKD2197" s="10"/>
      <c r="UKE2197" s="10"/>
      <c r="UKF2197" s="10"/>
      <c r="UKG2197" s="10"/>
      <c r="UKH2197" s="10"/>
      <c r="UKI2197" s="10"/>
      <c r="UKJ2197" s="10"/>
      <c r="UKK2197" s="10"/>
      <c r="UKL2197" s="10"/>
      <c r="UKM2197" s="10"/>
      <c r="UKN2197" s="10"/>
      <c r="UKO2197" s="10"/>
      <c r="UKP2197" s="10"/>
      <c r="UKQ2197" s="10"/>
      <c r="UKR2197" s="10"/>
      <c r="UKS2197" s="10"/>
      <c r="UKT2197" s="10"/>
      <c r="UKU2197" s="10"/>
      <c r="UKV2197" s="10"/>
      <c r="UKW2197" s="10"/>
      <c r="UKX2197" s="10"/>
      <c r="UKY2197" s="10"/>
      <c r="UKZ2197" s="10"/>
      <c r="ULA2197" s="10"/>
      <c r="ULB2197" s="10"/>
      <c r="ULC2197" s="10"/>
      <c r="ULD2197" s="10"/>
      <c r="ULE2197" s="10"/>
      <c r="ULF2197" s="10"/>
      <c r="ULG2197" s="10"/>
      <c r="ULH2197" s="10"/>
      <c r="ULI2197" s="10"/>
      <c r="ULJ2197" s="10"/>
      <c r="ULK2197" s="10"/>
      <c r="ULL2197" s="10"/>
      <c r="ULM2197" s="10"/>
      <c r="ULN2197" s="10"/>
      <c r="ULO2197" s="10"/>
      <c r="ULP2197" s="10"/>
      <c r="ULQ2197" s="10"/>
      <c r="ULR2197" s="10"/>
      <c r="ULS2197" s="10"/>
      <c r="ULT2197" s="10"/>
      <c r="ULU2197" s="10"/>
      <c r="ULV2197" s="10"/>
      <c r="ULW2197" s="10"/>
      <c r="ULX2197" s="10"/>
      <c r="ULY2197" s="10"/>
      <c r="ULZ2197" s="10"/>
      <c r="UMA2197" s="10"/>
      <c r="UMB2197" s="10"/>
      <c r="UMC2197" s="10"/>
      <c r="UMD2197" s="10"/>
      <c r="UME2197" s="10"/>
      <c r="UMF2197" s="10"/>
      <c r="UMG2197" s="10"/>
      <c r="UMH2197" s="10"/>
      <c r="UMI2197" s="10"/>
      <c r="UMJ2197" s="10"/>
      <c r="UMK2197" s="10"/>
      <c r="UML2197" s="10"/>
      <c r="UMM2197" s="10"/>
      <c r="UMN2197" s="10"/>
      <c r="UMO2197" s="10"/>
      <c r="UMP2197" s="10"/>
      <c r="UMQ2197" s="10"/>
      <c r="UMR2197" s="10"/>
      <c r="UMS2197" s="10"/>
      <c r="UMT2197" s="10"/>
      <c r="UMU2197" s="10"/>
      <c r="UMV2197" s="10"/>
      <c r="UMW2197" s="10"/>
      <c r="UMX2197" s="10"/>
      <c r="UMY2197" s="10"/>
      <c r="UMZ2197" s="10"/>
      <c r="UNA2197" s="10"/>
      <c r="UNB2197" s="10"/>
      <c r="UNC2197" s="10"/>
      <c r="UND2197" s="10"/>
      <c r="UNE2197" s="10"/>
      <c r="UNF2197" s="10"/>
      <c r="UNG2197" s="10"/>
      <c r="UNH2197" s="10"/>
      <c r="UNI2197" s="10"/>
      <c r="UNJ2197" s="10"/>
      <c r="UNK2197" s="10"/>
      <c r="UNL2197" s="10"/>
      <c r="UNM2197" s="10"/>
      <c r="UNN2197" s="10"/>
      <c r="UNO2197" s="10"/>
      <c r="UNP2197" s="10"/>
      <c r="UNQ2197" s="10"/>
      <c r="UNR2197" s="10"/>
      <c r="UNS2197" s="10"/>
      <c r="UNT2197" s="10"/>
      <c r="UNU2197" s="10"/>
      <c r="UNV2197" s="10"/>
      <c r="UNW2197" s="10"/>
      <c r="UNX2197" s="10"/>
      <c r="UNY2197" s="10"/>
      <c r="UNZ2197" s="10"/>
      <c r="UOA2197" s="10"/>
      <c r="UOB2197" s="10"/>
      <c r="UOC2197" s="10"/>
      <c r="UOD2197" s="10"/>
      <c r="UOE2197" s="10"/>
      <c r="UOF2197" s="10"/>
      <c r="UOG2197" s="10"/>
      <c r="UOH2197" s="10"/>
      <c r="UOI2197" s="10"/>
      <c r="UOJ2197" s="10"/>
      <c r="UOK2197" s="10"/>
      <c r="UOL2197" s="10"/>
      <c r="UOM2197" s="10"/>
      <c r="UON2197" s="10"/>
      <c r="UOO2197" s="10"/>
      <c r="UOP2197" s="10"/>
      <c r="UOQ2197" s="10"/>
      <c r="UOR2197" s="10"/>
      <c r="UOS2197" s="10"/>
      <c r="UOT2197" s="10"/>
      <c r="UOU2197" s="10"/>
      <c r="UOV2197" s="10"/>
      <c r="UOW2197" s="10"/>
      <c r="UOX2197" s="10"/>
      <c r="UOY2197" s="10"/>
      <c r="UOZ2197" s="10"/>
      <c r="UPA2197" s="10"/>
      <c r="UPB2197" s="10"/>
      <c r="UPC2197" s="10"/>
      <c r="UPD2197" s="10"/>
      <c r="UPE2197" s="10"/>
      <c r="UPF2197" s="10"/>
      <c r="UPG2197" s="10"/>
      <c r="UPH2197" s="10"/>
      <c r="UPI2197" s="10"/>
      <c r="UPJ2197" s="10"/>
      <c r="UPK2197" s="10"/>
      <c r="UPL2197" s="10"/>
      <c r="UPM2197" s="10"/>
      <c r="UPN2197" s="10"/>
      <c r="UPO2197" s="10"/>
      <c r="UPP2197" s="10"/>
      <c r="UPQ2197" s="10"/>
      <c r="UPR2197" s="10"/>
      <c r="UPS2197" s="10"/>
      <c r="UPT2197" s="10"/>
      <c r="UPU2197" s="10"/>
      <c r="UPV2197" s="10"/>
      <c r="UPW2197" s="10"/>
      <c r="UPX2197" s="10"/>
      <c r="UPY2197" s="10"/>
      <c r="UPZ2197" s="10"/>
      <c r="UQA2197" s="10"/>
      <c r="UQB2197" s="10"/>
      <c r="UQC2197" s="10"/>
      <c r="UQD2197" s="10"/>
      <c r="UQE2197" s="10"/>
      <c r="UQF2197" s="10"/>
      <c r="UQG2197" s="10"/>
      <c r="UQH2197" s="10"/>
      <c r="UQI2197" s="10"/>
      <c r="UQJ2197" s="10"/>
      <c r="UQK2197" s="10"/>
      <c r="UQL2197" s="10"/>
      <c r="UQM2197" s="10"/>
      <c r="UQN2197" s="10"/>
      <c r="UQO2197" s="10"/>
      <c r="UQP2197" s="10"/>
      <c r="UQQ2197" s="10"/>
      <c r="UQR2197" s="10"/>
      <c r="UQS2197" s="10"/>
      <c r="UQT2197" s="10"/>
      <c r="UQU2197" s="10"/>
      <c r="UQV2197" s="10"/>
      <c r="UQW2197" s="10"/>
      <c r="UQX2197" s="10"/>
      <c r="UQY2197" s="10"/>
      <c r="UQZ2197" s="10"/>
      <c r="URA2197" s="10"/>
      <c r="URB2197" s="10"/>
      <c r="URC2197" s="10"/>
      <c r="URD2197" s="10"/>
      <c r="URE2197" s="10"/>
      <c r="URF2197" s="10"/>
      <c r="URG2197" s="10"/>
      <c r="URH2197" s="10"/>
      <c r="URI2197" s="10"/>
      <c r="URJ2197" s="10"/>
      <c r="URK2197" s="10"/>
      <c r="URL2197" s="10"/>
      <c r="URM2197" s="10"/>
      <c r="URN2197" s="10"/>
      <c r="URO2197" s="10"/>
      <c r="URP2197" s="10"/>
      <c r="URQ2197" s="10"/>
      <c r="URR2197" s="10"/>
      <c r="URS2197" s="10"/>
      <c r="URT2197" s="10"/>
      <c r="URU2197" s="10"/>
      <c r="URV2197" s="10"/>
      <c r="URW2197" s="10"/>
      <c r="URX2197" s="10"/>
      <c r="URY2197" s="10"/>
      <c r="URZ2197" s="10"/>
      <c r="USA2197" s="10"/>
      <c r="USB2197" s="10"/>
      <c r="USC2197" s="10"/>
      <c r="USD2197" s="10"/>
      <c r="USE2197" s="10"/>
      <c r="USF2197" s="10"/>
      <c r="USG2197" s="10"/>
      <c r="USH2197" s="10"/>
      <c r="USI2197" s="10"/>
      <c r="USJ2197" s="10"/>
      <c r="USK2197" s="10"/>
      <c r="USL2197" s="10"/>
      <c r="USM2197" s="10"/>
      <c r="USN2197" s="10"/>
      <c r="USO2197" s="10"/>
      <c r="USP2197" s="10"/>
      <c r="USQ2197" s="10"/>
      <c r="USR2197" s="10"/>
      <c r="USS2197" s="10"/>
      <c r="UST2197" s="10"/>
      <c r="USU2197" s="10"/>
      <c r="USV2197" s="10"/>
      <c r="USW2197" s="10"/>
      <c r="USX2197" s="10"/>
      <c r="USY2197" s="10"/>
      <c r="USZ2197" s="10"/>
      <c r="UTA2197" s="10"/>
      <c r="UTB2197" s="10"/>
      <c r="UTC2197" s="10"/>
      <c r="UTD2197" s="10"/>
      <c r="UTE2197" s="10"/>
      <c r="UTF2197" s="10"/>
      <c r="UTG2197" s="10"/>
      <c r="UTH2197" s="10"/>
      <c r="UTI2197" s="10"/>
      <c r="UTJ2197" s="10"/>
      <c r="UTK2197" s="10"/>
      <c r="UTL2197" s="10"/>
      <c r="UTM2197" s="10"/>
      <c r="UTN2197" s="10"/>
      <c r="UTO2197" s="10"/>
      <c r="UTP2197" s="10"/>
      <c r="UTQ2197" s="10"/>
      <c r="UTR2197" s="10"/>
      <c r="UTS2197" s="10"/>
      <c r="UTT2197" s="10"/>
      <c r="UTU2197" s="10"/>
      <c r="UTV2197" s="10"/>
      <c r="UTW2197" s="10"/>
      <c r="UTX2197" s="10"/>
      <c r="UTY2197" s="10"/>
      <c r="UTZ2197" s="10"/>
      <c r="UUA2197" s="10"/>
      <c r="UUB2197" s="10"/>
      <c r="UUC2197" s="10"/>
      <c r="UUD2197" s="10"/>
      <c r="UUE2197" s="10"/>
      <c r="UUF2197" s="10"/>
      <c r="UUG2197" s="10"/>
      <c r="UUH2197" s="10"/>
      <c r="UUI2197" s="10"/>
      <c r="UUJ2197" s="10"/>
      <c r="UUK2197" s="10"/>
      <c r="UUL2197" s="10"/>
      <c r="UUM2197" s="10"/>
      <c r="UUN2197" s="10"/>
      <c r="UUO2197" s="10"/>
      <c r="UUP2197" s="10"/>
      <c r="UUQ2197" s="10"/>
      <c r="UUR2197" s="10"/>
      <c r="UUS2197" s="10"/>
      <c r="UUT2197" s="10"/>
      <c r="UUU2197" s="10"/>
      <c r="UUV2197" s="10"/>
      <c r="UUW2197" s="10"/>
      <c r="UUX2197" s="10"/>
      <c r="UUY2197" s="10"/>
      <c r="UUZ2197" s="10"/>
      <c r="UVA2197" s="10"/>
      <c r="UVB2197" s="10"/>
      <c r="UVC2197" s="10"/>
      <c r="UVD2197" s="10"/>
      <c r="UVE2197" s="10"/>
      <c r="UVF2197" s="10"/>
      <c r="UVG2197" s="10"/>
      <c r="UVH2197" s="10"/>
      <c r="UVI2197" s="10"/>
      <c r="UVJ2197" s="10"/>
      <c r="UVK2197" s="10"/>
      <c r="UVL2197" s="10"/>
      <c r="UVM2197" s="10"/>
      <c r="UVN2197" s="10"/>
      <c r="UVO2197" s="10"/>
      <c r="UVP2197" s="10"/>
      <c r="UVQ2197" s="10"/>
      <c r="UVR2197" s="10"/>
      <c r="UVS2197" s="10"/>
      <c r="UVT2197" s="10"/>
      <c r="UVU2197" s="10"/>
      <c r="UVV2197" s="10"/>
      <c r="UVW2197" s="10"/>
      <c r="UVX2197" s="10"/>
      <c r="UVY2197" s="10"/>
      <c r="UVZ2197" s="10"/>
      <c r="UWA2197" s="10"/>
      <c r="UWB2197" s="10"/>
      <c r="UWC2197" s="10"/>
      <c r="UWD2197" s="10"/>
      <c r="UWE2197" s="10"/>
      <c r="UWF2197" s="10"/>
      <c r="UWG2197" s="10"/>
      <c r="UWH2197" s="10"/>
      <c r="UWI2197" s="10"/>
      <c r="UWJ2197" s="10"/>
      <c r="UWK2197" s="10"/>
      <c r="UWL2197" s="10"/>
      <c r="UWM2197" s="10"/>
      <c r="UWN2197" s="10"/>
      <c r="UWO2197" s="10"/>
      <c r="UWP2197" s="10"/>
      <c r="UWQ2197" s="10"/>
      <c r="UWR2197" s="10"/>
      <c r="UWS2197" s="10"/>
      <c r="UWT2197" s="10"/>
      <c r="UWU2197" s="10"/>
      <c r="UWV2197" s="10"/>
      <c r="UWW2197" s="10"/>
      <c r="UWX2197" s="10"/>
      <c r="UWY2197" s="10"/>
      <c r="UWZ2197" s="10"/>
      <c r="UXA2197" s="10"/>
      <c r="UXB2197" s="10"/>
      <c r="UXC2197" s="10"/>
      <c r="UXD2197" s="10"/>
      <c r="UXE2197" s="10"/>
      <c r="UXF2197" s="10"/>
      <c r="UXG2197" s="10"/>
      <c r="UXH2197" s="10"/>
      <c r="UXI2197" s="10"/>
      <c r="UXJ2197" s="10"/>
      <c r="UXK2197" s="10"/>
      <c r="UXL2197" s="10"/>
      <c r="UXM2197" s="10"/>
      <c r="UXN2197" s="10"/>
      <c r="UXO2197" s="10"/>
      <c r="UXP2197" s="10"/>
      <c r="UXQ2197" s="10"/>
      <c r="UXR2197" s="10"/>
      <c r="UXS2197" s="10"/>
      <c r="UXT2197" s="10"/>
      <c r="UXU2197" s="10"/>
      <c r="UXV2197" s="10"/>
      <c r="UXW2197" s="10"/>
      <c r="UXX2197" s="10"/>
      <c r="UXY2197" s="10"/>
      <c r="UXZ2197" s="10"/>
      <c r="UYA2197" s="10"/>
      <c r="UYB2197" s="10"/>
      <c r="UYC2197" s="10"/>
      <c r="UYD2197" s="10"/>
      <c r="UYE2197" s="10"/>
      <c r="UYF2197" s="10"/>
      <c r="UYG2197" s="10"/>
      <c r="UYH2197" s="10"/>
      <c r="UYI2197" s="10"/>
      <c r="UYJ2197" s="10"/>
      <c r="UYK2197" s="10"/>
      <c r="UYL2197" s="10"/>
      <c r="UYM2197" s="10"/>
      <c r="UYN2197" s="10"/>
      <c r="UYO2197" s="10"/>
      <c r="UYP2197" s="10"/>
      <c r="UYQ2197" s="10"/>
      <c r="UYR2197" s="10"/>
      <c r="UYS2197" s="10"/>
      <c r="UYT2197" s="10"/>
      <c r="UYU2197" s="10"/>
      <c r="UYV2197" s="10"/>
      <c r="UYW2197" s="10"/>
      <c r="UYX2197" s="10"/>
      <c r="UYY2197" s="10"/>
      <c r="UYZ2197" s="10"/>
      <c r="UZA2197" s="10"/>
      <c r="UZB2197" s="10"/>
      <c r="UZC2197" s="10"/>
      <c r="UZD2197" s="10"/>
      <c r="UZE2197" s="10"/>
      <c r="UZF2197" s="10"/>
      <c r="UZG2197" s="10"/>
      <c r="UZH2197" s="10"/>
      <c r="UZI2197" s="10"/>
      <c r="UZJ2197" s="10"/>
      <c r="UZK2197" s="10"/>
      <c r="UZL2197" s="10"/>
      <c r="UZM2197" s="10"/>
      <c r="UZN2197" s="10"/>
      <c r="UZO2197" s="10"/>
      <c r="UZP2197" s="10"/>
      <c r="UZQ2197" s="10"/>
      <c r="UZR2197" s="10"/>
      <c r="UZS2197" s="10"/>
      <c r="UZT2197" s="10"/>
      <c r="UZU2197" s="10"/>
      <c r="UZV2197" s="10"/>
      <c r="UZW2197" s="10"/>
      <c r="UZX2197" s="10"/>
      <c r="UZY2197" s="10"/>
      <c r="UZZ2197" s="10"/>
      <c r="VAA2197" s="10"/>
      <c r="VAB2197" s="10"/>
      <c r="VAC2197" s="10"/>
      <c r="VAD2197" s="10"/>
      <c r="VAE2197" s="10"/>
      <c r="VAF2197" s="10"/>
      <c r="VAG2197" s="10"/>
      <c r="VAH2197" s="10"/>
      <c r="VAI2197" s="10"/>
      <c r="VAJ2197" s="10"/>
      <c r="VAK2197" s="10"/>
      <c r="VAL2197" s="10"/>
      <c r="VAM2197" s="10"/>
      <c r="VAN2197" s="10"/>
      <c r="VAO2197" s="10"/>
      <c r="VAP2197" s="10"/>
      <c r="VAQ2197" s="10"/>
      <c r="VAR2197" s="10"/>
      <c r="VAS2197" s="10"/>
      <c r="VAT2197" s="10"/>
      <c r="VAU2197" s="10"/>
      <c r="VAV2197" s="10"/>
      <c r="VAW2197" s="10"/>
      <c r="VAX2197" s="10"/>
      <c r="VAY2197" s="10"/>
      <c r="VAZ2197" s="10"/>
      <c r="VBA2197" s="10"/>
      <c r="VBB2197" s="10"/>
      <c r="VBC2197" s="10"/>
      <c r="VBD2197" s="10"/>
      <c r="VBE2197" s="10"/>
      <c r="VBF2197" s="10"/>
      <c r="VBG2197" s="10"/>
      <c r="VBH2197" s="10"/>
      <c r="VBI2197" s="10"/>
      <c r="VBJ2197" s="10"/>
      <c r="VBK2197" s="10"/>
      <c r="VBL2197" s="10"/>
      <c r="VBM2197" s="10"/>
      <c r="VBN2197" s="10"/>
      <c r="VBO2197" s="10"/>
      <c r="VBP2197" s="10"/>
      <c r="VBQ2197" s="10"/>
      <c r="VBR2197" s="10"/>
      <c r="VBS2197" s="10"/>
      <c r="VBT2197" s="10"/>
      <c r="VBU2197" s="10"/>
      <c r="VBV2197" s="10"/>
      <c r="VBW2197" s="10"/>
      <c r="VBX2197" s="10"/>
      <c r="VBY2197" s="10"/>
      <c r="VBZ2197" s="10"/>
      <c r="VCA2197" s="10"/>
      <c r="VCB2197" s="10"/>
      <c r="VCC2197" s="10"/>
      <c r="VCD2197" s="10"/>
      <c r="VCE2197" s="10"/>
      <c r="VCF2197" s="10"/>
      <c r="VCG2197" s="10"/>
      <c r="VCH2197" s="10"/>
      <c r="VCI2197" s="10"/>
      <c r="VCJ2197" s="10"/>
      <c r="VCK2197" s="10"/>
      <c r="VCL2197" s="10"/>
      <c r="VCM2197" s="10"/>
      <c r="VCN2197" s="10"/>
      <c r="VCO2197" s="10"/>
      <c r="VCP2197" s="10"/>
      <c r="VCQ2197" s="10"/>
      <c r="VCR2197" s="10"/>
      <c r="VCS2197" s="10"/>
      <c r="VCT2197" s="10"/>
      <c r="VCU2197" s="10"/>
      <c r="VCV2197" s="10"/>
      <c r="VCW2197" s="10"/>
      <c r="VCX2197" s="10"/>
      <c r="VCY2197" s="10"/>
      <c r="VCZ2197" s="10"/>
      <c r="VDA2197" s="10"/>
      <c r="VDB2197" s="10"/>
      <c r="VDC2197" s="10"/>
      <c r="VDD2197" s="10"/>
      <c r="VDE2197" s="10"/>
      <c r="VDF2197" s="10"/>
      <c r="VDG2197" s="10"/>
      <c r="VDH2197" s="10"/>
      <c r="VDI2197" s="10"/>
      <c r="VDJ2197" s="10"/>
      <c r="VDK2197" s="10"/>
      <c r="VDL2197" s="10"/>
      <c r="VDM2197" s="10"/>
      <c r="VDN2197" s="10"/>
      <c r="VDO2197" s="10"/>
      <c r="VDP2197" s="10"/>
      <c r="VDQ2197" s="10"/>
      <c r="VDR2197" s="10"/>
      <c r="VDS2197" s="10"/>
      <c r="VDT2197" s="10"/>
      <c r="VDU2197" s="10"/>
      <c r="VDV2197" s="10"/>
      <c r="VDW2197" s="10"/>
      <c r="VDX2197" s="10"/>
      <c r="VDY2197" s="10"/>
      <c r="VDZ2197" s="10"/>
      <c r="VEA2197" s="10"/>
      <c r="VEB2197" s="10"/>
      <c r="VEC2197" s="10"/>
      <c r="VED2197" s="10"/>
      <c r="VEE2197" s="10"/>
      <c r="VEF2197" s="10"/>
      <c r="VEG2197" s="10"/>
      <c r="VEH2197" s="10"/>
      <c r="VEI2197" s="10"/>
      <c r="VEJ2197" s="10"/>
      <c r="VEK2197" s="10"/>
      <c r="VEL2197" s="10"/>
      <c r="VEM2197" s="10"/>
      <c r="VEN2197" s="10"/>
      <c r="VEO2197" s="10"/>
      <c r="VEP2197" s="10"/>
      <c r="VEQ2197" s="10"/>
      <c r="VER2197" s="10"/>
      <c r="VES2197" s="10"/>
      <c r="VET2197" s="10"/>
      <c r="VEU2197" s="10"/>
      <c r="VEV2197" s="10"/>
      <c r="VEW2197" s="10"/>
      <c r="VEX2197" s="10"/>
      <c r="VEY2197" s="10"/>
      <c r="VEZ2197" s="10"/>
      <c r="VFA2197" s="10"/>
      <c r="VFB2197" s="10"/>
      <c r="VFC2197" s="10"/>
      <c r="VFD2197" s="10"/>
      <c r="VFE2197" s="10"/>
      <c r="VFF2197" s="10"/>
      <c r="VFG2197" s="10"/>
      <c r="VFH2197" s="10"/>
      <c r="VFI2197" s="10"/>
      <c r="VFJ2197" s="10"/>
      <c r="VFK2197" s="10"/>
      <c r="VFL2197" s="10"/>
      <c r="VFM2197" s="10"/>
      <c r="VFN2197" s="10"/>
      <c r="VFO2197" s="10"/>
      <c r="VFP2197" s="10"/>
      <c r="VFQ2197" s="10"/>
      <c r="VFR2197" s="10"/>
      <c r="VFS2197" s="10"/>
      <c r="VFT2197" s="10"/>
      <c r="VFU2197" s="10"/>
      <c r="VFV2197" s="10"/>
      <c r="VFW2197" s="10"/>
      <c r="VFX2197" s="10"/>
      <c r="VFY2197" s="10"/>
      <c r="VFZ2197" s="10"/>
      <c r="VGA2197" s="10"/>
      <c r="VGB2197" s="10"/>
      <c r="VGC2197" s="10"/>
      <c r="VGD2197" s="10"/>
      <c r="VGE2197" s="10"/>
      <c r="VGF2197" s="10"/>
      <c r="VGG2197" s="10"/>
      <c r="VGH2197" s="10"/>
      <c r="VGI2197" s="10"/>
      <c r="VGJ2197" s="10"/>
      <c r="VGK2197" s="10"/>
      <c r="VGL2197" s="10"/>
      <c r="VGM2197" s="10"/>
      <c r="VGN2197" s="10"/>
      <c r="VGO2197" s="10"/>
      <c r="VGP2197" s="10"/>
      <c r="VGQ2197" s="10"/>
      <c r="VGR2197" s="10"/>
      <c r="VGS2197" s="10"/>
      <c r="VGT2197" s="10"/>
      <c r="VGU2197" s="10"/>
      <c r="VGV2197" s="10"/>
      <c r="VGW2197" s="10"/>
      <c r="VGX2197" s="10"/>
      <c r="VGY2197" s="10"/>
      <c r="VGZ2197" s="10"/>
      <c r="VHA2197" s="10"/>
      <c r="VHB2197" s="10"/>
      <c r="VHC2197" s="10"/>
      <c r="VHD2197" s="10"/>
      <c r="VHE2197" s="10"/>
      <c r="VHF2197" s="10"/>
      <c r="VHG2197" s="10"/>
      <c r="VHH2197" s="10"/>
      <c r="VHI2197" s="10"/>
      <c r="VHJ2197" s="10"/>
      <c r="VHK2197" s="10"/>
      <c r="VHL2197" s="10"/>
      <c r="VHM2197" s="10"/>
      <c r="VHN2197" s="10"/>
      <c r="VHO2197" s="10"/>
      <c r="VHP2197" s="10"/>
      <c r="VHQ2197" s="10"/>
      <c r="VHR2197" s="10"/>
      <c r="VHS2197" s="10"/>
      <c r="VHT2197" s="10"/>
      <c r="VHU2197" s="10"/>
      <c r="VHV2197" s="10"/>
      <c r="VHW2197" s="10"/>
      <c r="VHX2197" s="10"/>
      <c r="VHY2197" s="10"/>
      <c r="VHZ2197" s="10"/>
      <c r="VIA2197" s="10"/>
      <c r="VIB2197" s="10"/>
      <c r="VIC2197" s="10"/>
      <c r="VID2197" s="10"/>
      <c r="VIE2197" s="10"/>
      <c r="VIF2197" s="10"/>
      <c r="VIG2197" s="10"/>
      <c r="VIH2197" s="10"/>
      <c r="VII2197" s="10"/>
      <c r="VIJ2197" s="10"/>
      <c r="VIK2197" s="10"/>
      <c r="VIL2197" s="10"/>
      <c r="VIM2197" s="10"/>
      <c r="VIN2197" s="10"/>
      <c r="VIO2197" s="10"/>
      <c r="VIP2197" s="10"/>
      <c r="VIQ2197" s="10"/>
      <c r="VIR2197" s="10"/>
      <c r="VIS2197" s="10"/>
      <c r="VIT2197" s="10"/>
      <c r="VIU2197" s="10"/>
      <c r="VIV2197" s="10"/>
      <c r="VIW2197" s="10"/>
      <c r="VIX2197" s="10"/>
      <c r="VIY2197" s="10"/>
      <c r="VIZ2197" s="10"/>
      <c r="VJA2197" s="10"/>
      <c r="VJB2197" s="10"/>
      <c r="VJC2197" s="10"/>
      <c r="VJD2197" s="10"/>
      <c r="VJE2197" s="10"/>
      <c r="VJF2197" s="10"/>
      <c r="VJG2197" s="10"/>
      <c r="VJH2197" s="10"/>
      <c r="VJI2197" s="10"/>
      <c r="VJJ2197" s="10"/>
      <c r="VJK2197" s="10"/>
      <c r="VJL2197" s="10"/>
      <c r="VJM2197" s="10"/>
      <c r="VJN2197" s="10"/>
      <c r="VJO2197" s="10"/>
      <c r="VJP2197" s="10"/>
      <c r="VJQ2197" s="10"/>
      <c r="VJR2197" s="10"/>
      <c r="VJS2197" s="10"/>
      <c r="VJT2197" s="10"/>
      <c r="VJU2197" s="10"/>
      <c r="VJV2197" s="10"/>
      <c r="VJW2197" s="10"/>
      <c r="VJX2197" s="10"/>
      <c r="VJY2197" s="10"/>
      <c r="VJZ2197" s="10"/>
      <c r="VKA2197" s="10"/>
      <c r="VKB2197" s="10"/>
      <c r="VKC2197" s="10"/>
      <c r="VKD2197" s="10"/>
      <c r="VKE2197" s="10"/>
      <c r="VKF2197" s="10"/>
      <c r="VKG2197" s="10"/>
      <c r="VKH2197" s="10"/>
      <c r="VKI2197" s="10"/>
      <c r="VKJ2197" s="10"/>
      <c r="VKK2197" s="10"/>
      <c r="VKL2197" s="10"/>
      <c r="VKM2197" s="10"/>
      <c r="VKN2197" s="10"/>
      <c r="VKO2197" s="10"/>
      <c r="VKP2197" s="10"/>
      <c r="VKQ2197" s="10"/>
      <c r="VKR2197" s="10"/>
      <c r="VKS2197" s="10"/>
      <c r="VKT2197" s="10"/>
      <c r="VKU2197" s="10"/>
      <c r="VKV2197" s="10"/>
      <c r="VKW2197" s="10"/>
      <c r="VKX2197" s="10"/>
      <c r="VKY2197" s="10"/>
      <c r="VKZ2197" s="10"/>
      <c r="VLA2197" s="10"/>
      <c r="VLB2197" s="10"/>
      <c r="VLC2197" s="10"/>
      <c r="VLD2197" s="10"/>
      <c r="VLE2197" s="10"/>
      <c r="VLF2197" s="10"/>
      <c r="VLG2197" s="10"/>
      <c r="VLH2197" s="10"/>
      <c r="VLI2197" s="10"/>
      <c r="VLJ2197" s="10"/>
      <c r="VLK2197" s="10"/>
      <c r="VLL2197" s="10"/>
      <c r="VLM2197" s="10"/>
      <c r="VLN2197" s="10"/>
      <c r="VLO2197" s="10"/>
      <c r="VLP2197" s="10"/>
      <c r="VLQ2197" s="10"/>
      <c r="VLR2197" s="10"/>
      <c r="VLS2197" s="10"/>
      <c r="VLT2197" s="10"/>
      <c r="VLU2197" s="10"/>
      <c r="VLV2197" s="10"/>
      <c r="VLW2197" s="10"/>
      <c r="VLX2197" s="10"/>
      <c r="VLY2197" s="10"/>
      <c r="VLZ2197" s="10"/>
      <c r="VMA2197" s="10"/>
      <c r="VMB2197" s="10"/>
      <c r="VMC2197" s="10"/>
      <c r="VMD2197" s="10"/>
      <c r="VME2197" s="10"/>
      <c r="VMF2197" s="10"/>
      <c r="VMG2197" s="10"/>
      <c r="VMH2197" s="10"/>
      <c r="VMI2197" s="10"/>
      <c r="VMJ2197" s="10"/>
      <c r="VMK2197" s="10"/>
      <c r="VML2197" s="10"/>
      <c r="VMM2197" s="10"/>
      <c r="VMN2197" s="10"/>
      <c r="VMO2197" s="10"/>
      <c r="VMP2197" s="10"/>
      <c r="VMQ2197" s="10"/>
      <c r="VMR2197" s="10"/>
      <c r="VMS2197" s="10"/>
      <c r="VMT2197" s="10"/>
      <c r="VMU2197" s="10"/>
      <c r="VMV2197" s="10"/>
      <c r="VMW2197" s="10"/>
      <c r="VMX2197" s="10"/>
      <c r="VMY2197" s="10"/>
      <c r="VMZ2197" s="10"/>
      <c r="VNA2197" s="10"/>
      <c r="VNB2197" s="10"/>
      <c r="VNC2197" s="10"/>
      <c r="VND2197" s="10"/>
      <c r="VNE2197" s="10"/>
      <c r="VNF2197" s="10"/>
      <c r="VNG2197" s="10"/>
      <c r="VNH2197" s="10"/>
      <c r="VNI2197" s="10"/>
      <c r="VNJ2197" s="10"/>
      <c r="VNK2197" s="10"/>
      <c r="VNL2197" s="10"/>
      <c r="VNM2197" s="10"/>
      <c r="VNN2197" s="10"/>
      <c r="VNO2197" s="10"/>
      <c r="VNP2197" s="10"/>
      <c r="VNQ2197" s="10"/>
      <c r="VNR2197" s="10"/>
      <c r="VNS2197" s="10"/>
      <c r="VNT2197" s="10"/>
      <c r="VNU2197" s="10"/>
      <c r="VNV2197" s="10"/>
      <c r="VNW2197" s="10"/>
      <c r="VNX2197" s="10"/>
      <c r="VNY2197" s="10"/>
      <c r="VNZ2197" s="10"/>
      <c r="VOA2197" s="10"/>
      <c r="VOB2197" s="10"/>
      <c r="VOC2197" s="10"/>
      <c r="VOD2197" s="10"/>
      <c r="VOE2197" s="10"/>
      <c r="VOF2197" s="10"/>
      <c r="VOG2197" s="10"/>
      <c r="VOH2197" s="10"/>
      <c r="VOI2197" s="10"/>
      <c r="VOJ2197" s="10"/>
      <c r="VOK2197" s="10"/>
      <c r="VOL2197" s="10"/>
      <c r="VOM2197" s="10"/>
      <c r="VON2197" s="10"/>
      <c r="VOO2197" s="10"/>
      <c r="VOP2197" s="10"/>
      <c r="VOQ2197" s="10"/>
      <c r="VOR2197" s="10"/>
      <c r="VOS2197" s="10"/>
      <c r="VOT2197" s="10"/>
      <c r="VOU2197" s="10"/>
      <c r="VOV2197" s="10"/>
      <c r="VOW2197" s="10"/>
      <c r="VOX2197" s="10"/>
      <c r="VOY2197" s="10"/>
      <c r="VOZ2197" s="10"/>
      <c r="VPA2197" s="10"/>
      <c r="VPB2197" s="10"/>
      <c r="VPC2197" s="10"/>
      <c r="VPD2197" s="10"/>
      <c r="VPE2197" s="10"/>
      <c r="VPF2197" s="10"/>
      <c r="VPG2197" s="10"/>
      <c r="VPH2197" s="10"/>
      <c r="VPI2197" s="10"/>
      <c r="VPJ2197" s="10"/>
      <c r="VPK2197" s="10"/>
      <c r="VPL2197" s="10"/>
      <c r="VPM2197" s="10"/>
      <c r="VPN2197" s="10"/>
      <c r="VPO2197" s="10"/>
      <c r="VPP2197" s="10"/>
      <c r="VPQ2197" s="10"/>
      <c r="VPR2197" s="10"/>
      <c r="VPS2197" s="10"/>
      <c r="VPT2197" s="10"/>
      <c r="VPU2197" s="10"/>
      <c r="VPV2197" s="10"/>
      <c r="VPW2197" s="10"/>
      <c r="VPX2197" s="10"/>
      <c r="VPY2197" s="10"/>
      <c r="VPZ2197" s="10"/>
      <c r="VQA2197" s="10"/>
      <c r="VQB2197" s="10"/>
      <c r="VQC2197" s="10"/>
      <c r="VQD2197" s="10"/>
      <c r="VQE2197" s="10"/>
      <c r="VQF2197" s="10"/>
      <c r="VQG2197" s="10"/>
      <c r="VQH2197" s="10"/>
      <c r="VQI2197" s="10"/>
      <c r="VQJ2197" s="10"/>
      <c r="VQK2197" s="10"/>
      <c r="VQL2197" s="10"/>
      <c r="VQM2197" s="10"/>
      <c r="VQN2197" s="10"/>
      <c r="VQO2197" s="10"/>
      <c r="VQP2197" s="10"/>
      <c r="VQQ2197" s="10"/>
      <c r="VQR2197" s="10"/>
      <c r="VQS2197" s="10"/>
      <c r="VQT2197" s="10"/>
      <c r="VQU2197" s="10"/>
      <c r="VQV2197" s="10"/>
      <c r="VQW2197" s="10"/>
      <c r="VQX2197" s="10"/>
      <c r="VQY2197" s="10"/>
      <c r="VQZ2197" s="10"/>
      <c r="VRA2197" s="10"/>
      <c r="VRB2197" s="10"/>
      <c r="VRC2197" s="10"/>
      <c r="VRD2197" s="10"/>
      <c r="VRE2197" s="10"/>
      <c r="VRF2197" s="10"/>
      <c r="VRG2197" s="10"/>
      <c r="VRH2197" s="10"/>
      <c r="VRI2197" s="10"/>
      <c r="VRJ2197" s="10"/>
      <c r="VRK2197" s="10"/>
      <c r="VRL2197" s="10"/>
      <c r="VRM2197" s="10"/>
      <c r="VRN2197" s="10"/>
      <c r="VRO2197" s="10"/>
      <c r="VRP2197" s="10"/>
      <c r="VRQ2197" s="10"/>
      <c r="VRR2197" s="10"/>
      <c r="VRS2197" s="10"/>
      <c r="VRT2197" s="10"/>
      <c r="VRU2197" s="10"/>
      <c r="VRV2197" s="10"/>
      <c r="VRW2197" s="10"/>
      <c r="VRX2197" s="10"/>
      <c r="VRY2197" s="10"/>
      <c r="VRZ2197" s="10"/>
      <c r="VSA2197" s="10"/>
      <c r="VSB2197" s="10"/>
      <c r="VSC2197" s="10"/>
      <c r="VSD2197" s="10"/>
      <c r="VSE2197" s="10"/>
      <c r="VSF2197" s="10"/>
      <c r="VSG2197" s="10"/>
      <c r="VSH2197" s="10"/>
      <c r="VSI2197" s="10"/>
      <c r="VSJ2197" s="10"/>
      <c r="VSK2197" s="10"/>
      <c r="VSL2197" s="10"/>
      <c r="VSM2197" s="10"/>
      <c r="VSN2197" s="10"/>
      <c r="VSO2197" s="10"/>
      <c r="VSP2197" s="10"/>
      <c r="VSQ2197" s="10"/>
      <c r="VSR2197" s="10"/>
      <c r="VSS2197" s="10"/>
      <c r="VST2197" s="10"/>
      <c r="VSU2197" s="10"/>
      <c r="VSV2197" s="10"/>
      <c r="VSW2197" s="10"/>
      <c r="VSX2197" s="10"/>
      <c r="VSY2197" s="10"/>
      <c r="VSZ2197" s="10"/>
      <c r="VTA2197" s="10"/>
      <c r="VTB2197" s="10"/>
      <c r="VTC2197" s="10"/>
      <c r="VTD2197" s="10"/>
      <c r="VTE2197" s="10"/>
      <c r="VTF2197" s="10"/>
      <c r="VTG2197" s="10"/>
      <c r="VTH2197" s="10"/>
      <c r="VTI2197" s="10"/>
      <c r="VTJ2197" s="10"/>
      <c r="VTK2197" s="10"/>
      <c r="VTL2197" s="10"/>
      <c r="VTM2197" s="10"/>
      <c r="VTN2197" s="10"/>
      <c r="VTO2197" s="10"/>
      <c r="VTP2197" s="10"/>
      <c r="VTQ2197" s="10"/>
      <c r="VTR2197" s="10"/>
      <c r="VTS2197" s="10"/>
      <c r="VTT2197" s="10"/>
      <c r="VTU2197" s="10"/>
      <c r="VTV2197" s="10"/>
      <c r="VTW2197" s="10"/>
      <c r="VTX2197" s="10"/>
      <c r="VTY2197" s="10"/>
      <c r="VTZ2197" s="10"/>
      <c r="VUA2197" s="10"/>
      <c r="VUB2197" s="10"/>
      <c r="VUC2197" s="10"/>
      <c r="VUD2197" s="10"/>
      <c r="VUE2197" s="10"/>
      <c r="VUF2197" s="10"/>
      <c r="VUG2197" s="10"/>
      <c r="VUH2197" s="10"/>
      <c r="VUI2197" s="10"/>
      <c r="VUJ2197" s="10"/>
      <c r="VUK2197" s="10"/>
      <c r="VUL2197" s="10"/>
      <c r="VUM2197" s="10"/>
      <c r="VUN2197" s="10"/>
      <c r="VUO2197" s="10"/>
      <c r="VUP2197" s="10"/>
      <c r="VUQ2197" s="10"/>
      <c r="VUR2197" s="10"/>
      <c r="VUS2197" s="10"/>
      <c r="VUT2197" s="10"/>
      <c r="VUU2197" s="10"/>
      <c r="VUV2197" s="10"/>
      <c r="VUW2197" s="10"/>
      <c r="VUX2197" s="10"/>
      <c r="VUY2197" s="10"/>
      <c r="VUZ2197" s="10"/>
      <c r="VVA2197" s="10"/>
      <c r="VVB2197" s="10"/>
      <c r="VVC2197" s="10"/>
      <c r="VVD2197" s="10"/>
      <c r="VVE2197" s="10"/>
      <c r="VVF2197" s="10"/>
      <c r="VVG2197" s="10"/>
      <c r="VVH2197" s="10"/>
      <c r="VVI2197" s="10"/>
      <c r="VVJ2197" s="10"/>
      <c r="VVK2197" s="10"/>
      <c r="VVL2197" s="10"/>
      <c r="VVM2197" s="10"/>
      <c r="VVN2197" s="10"/>
      <c r="VVO2197" s="10"/>
      <c r="VVP2197" s="10"/>
      <c r="VVQ2197" s="10"/>
      <c r="VVR2197" s="10"/>
      <c r="VVS2197" s="10"/>
      <c r="VVT2197" s="10"/>
      <c r="VVU2197" s="10"/>
      <c r="VVV2197" s="10"/>
      <c r="VVW2197" s="10"/>
      <c r="VVX2197" s="10"/>
      <c r="VVY2197" s="10"/>
      <c r="VVZ2197" s="10"/>
      <c r="VWA2197" s="10"/>
      <c r="VWB2197" s="10"/>
      <c r="VWC2197" s="10"/>
      <c r="VWD2197" s="10"/>
      <c r="VWE2197" s="10"/>
      <c r="VWF2197" s="10"/>
      <c r="VWG2197" s="10"/>
      <c r="VWH2197" s="10"/>
      <c r="VWI2197" s="10"/>
      <c r="VWJ2197" s="10"/>
      <c r="VWK2197" s="10"/>
      <c r="VWL2197" s="10"/>
      <c r="VWM2197" s="10"/>
      <c r="VWN2197" s="10"/>
      <c r="VWO2197" s="10"/>
      <c r="VWP2197" s="10"/>
      <c r="VWQ2197" s="10"/>
      <c r="VWR2197" s="10"/>
      <c r="VWS2197" s="10"/>
      <c r="VWT2197" s="10"/>
      <c r="VWU2197" s="10"/>
      <c r="VWV2197" s="10"/>
      <c r="VWW2197" s="10"/>
      <c r="VWX2197" s="10"/>
      <c r="VWY2197" s="10"/>
      <c r="VWZ2197" s="10"/>
      <c r="VXA2197" s="10"/>
      <c r="VXB2197" s="10"/>
      <c r="VXC2197" s="10"/>
      <c r="VXD2197" s="10"/>
      <c r="VXE2197" s="10"/>
      <c r="VXF2197" s="10"/>
      <c r="VXG2197" s="10"/>
      <c r="VXH2197" s="10"/>
      <c r="VXI2197" s="10"/>
      <c r="VXJ2197" s="10"/>
      <c r="VXK2197" s="10"/>
      <c r="VXL2197" s="10"/>
      <c r="VXM2197" s="10"/>
      <c r="VXN2197" s="10"/>
      <c r="VXO2197" s="10"/>
      <c r="VXP2197" s="10"/>
      <c r="VXQ2197" s="10"/>
      <c r="VXR2197" s="10"/>
      <c r="VXS2197" s="10"/>
      <c r="VXT2197" s="10"/>
      <c r="VXU2197" s="10"/>
      <c r="VXV2197" s="10"/>
      <c r="VXW2197" s="10"/>
      <c r="VXX2197" s="10"/>
      <c r="VXY2197" s="10"/>
      <c r="VXZ2197" s="10"/>
      <c r="VYA2197" s="10"/>
      <c r="VYB2197" s="10"/>
      <c r="VYC2197" s="10"/>
      <c r="VYD2197" s="10"/>
      <c r="VYE2197" s="10"/>
      <c r="VYF2197" s="10"/>
      <c r="VYG2197" s="10"/>
      <c r="VYH2197" s="10"/>
      <c r="VYI2197" s="10"/>
      <c r="VYJ2197" s="10"/>
      <c r="VYK2197" s="10"/>
      <c r="VYL2197" s="10"/>
      <c r="VYM2197" s="10"/>
      <c r="VYN2197" s="10"/>
      <c r="VYO2197" s="10"/>
      <c r="VYP2197" s="10"/>
      <c r="VYQ2197" s="10"/>
      <c r="VYR2197" s="10"/>
      <c r="VYS2197" s="10"/>
      <c r="VYT2197" s="10"/>
      <c r="VYU2197" s="10"/>
      <c r="VYV2197" s="10"/>
      <c r="VYW2197" s="10"/>
      <c r="VYX2197" s="10"/>
      <c r="VYY2197" s="10"/>
      <c r="VYZ2197" s="10"/>
      <c r="VZA2197" s="10"/>
      <c r="VZB2197" s="10"/>
      <c r="VZC2197" s="10"/>
      <c r="VZD2197" s="10"/>
      <c r="VZE2197" s="10"/>
      <c r="VZF2197" s="10"/>
      <c r="VZG2197" s="10"/>
      <c r="VZH2197" s="10"/>
      <c r="VZI2197" s="10"/>
      <c r="VZJ2197" s="10"/>
      <c r="VZK2197" s="10"/>
      <c r="VZL2197" s="10"/>
      <c r="VZM2197" s="10"/>
      <c r="VZN2197" s="10"/>
      <c r="VZO2197" s="10"/>
      <c r="VZP2197" s="10"/>
      <c r="VZQ2197" s="10"/>
      <c r="VZR2197" s="10"/>
      <c r="VZS2197" s="10"/>
      <c r="VZT2197" s="10"/>
      <c r="VZU2197" s="10"/>
      <c r="VZV2197" s="10"/>
      <c r="VZW2197" s="10"/>
      <c r="VZX2197" s="10"/>
      <c r="VZY2197" s="10"/>
      <c r="VZZ2197" s="10"/>
      <c r="WAA2197" s="10"/>
      <c r="WAB2197" s="10"/>
      <c r="WAC2197" s="10"/>
      <c r="WAD2197" s="10"/>
      <c r="WAE2197" s="10"/>
      <c r="WAF2197" s="10"/>
      <c r="WAG2197" s="10"/>
      <c r="WAH2197" s="10"/>
      <c r="WAI2197" s="10"/>
      <c r="WAJ2197" s="10"/>
      <c r="WAK2197" s="10"/>
      <c r="WAL2197" s="10"/>
      <c r="WAM2197" s="10"/>
      <c r="WAN2197" s="10"/>
      <c r="WAO2197" s="10"/>
      <c r="WAP2197" s="10"/>
      <c r="WAQ2197" s="10"/>
      <c r="WAR2197" s="10"/>
      <c r="WAS2197" s="10"/>
      <c r="WAT2197" s="10"/>
      <c r="WAU2197" s="10"/>
      <c r="WAV2197" s="10"/>
      <c r="WAW2197" s="10"/>
      <c r="WAX2197" s="10"/>
      <c r="WAY2197" s="10"/>
      <c r="WAZ2197" s="10"/>
      <c r="WBA2197" s="10"/>
      <c r="WBB2197" s="10"/>
      <c r="WBC2197" s="10"/>
      <c r="WBD2197" s="10"/>
      <c r="WBE2197" s="10"/>
      <c r="WBF2197" s="10"/>
      <c r="WBG2197" s="10"/>
      <c r="WBH2197" s="10"/>
      <c r="WBI2197" s="10"/>
      <c r="WBJ2197" s="10"/>
      <c r="WBK2197" s="10"/>
      <c r="WBL2197" s="10"/>
      <c r="WBM2197" s="10"/>
      <c r="WBN2197" s="10"/>
      <c r="WBO2197" s="10"/>
      <c r="WBP2197" s="10"/>
      <c r="WBQ2197" s="10"/>
      <c r="WBR2197" s="10"/>
      <c r="WBS2197" s="10"/>
      <c r="WBT2197" s="10"/>
      <c r="WBU2197" s="10"/>
      <c r="WBV2197" s="10"/>
      <c r="WBW2197" s="10"/>
      <c r="WBX2197" s="10"/>
      <c r="WBY2197" s="10"/>
      <c r="WBZ2197" s="10"/>
      <c r="WCA2197" s="10"/>
      <c r="WCB2197" s="10"/>
      <c r="WCC2197" s="10"/>
      <c r="WCD2197" s="10"/>
      <c r="WCE2197" s="10"/>
      <c r="WCF2197" s="10"/>
      <c r="WCG2197" s="10"/>
      <c r="WCH2197" s="10"/>
      <c r="WCI2197" s="10"/>
      <c r="WCJ2197" s="10"/>
      <c r="WCK2197" s="10"/>
      <c r="WCL2197" s="10"/>
      <c r="WCM2197" s="10"/>
      <c r="WCN2197" s="10"/>
      <c r="WCO2197" s="10"/>
      <c r="WCP2197" s="10"/>
      <c r="WCQ2197" s="10"/>
      <c r="WCR2197" s="10"/>
      <c r="WCS2197" s="10"/>
      <c r="WCT2197" s="10"/>
      <c r="WCU2197" s="10"/>
      <c r="WCV2197" s="10"/>
      <c r="WCW2197" s="10"/>
      <c r="WCX2197" s="10"/>
      <c r="WCY2197" s="10"/>
      <c r="WCZ2197" s="10"/>
      <c r="WDA2197" s="10"/>
      <c r="WDB2197" s="10"/>
      <c r="WDC2197" s="10"/>
      <c r="WDD2197" s="10"/>
      <c r="WDE2197" s="10"/>
      <c r="WDF2197" s="10"/>
      <c r="WDG2197" s="10"/>
      <c r="WDH2197" s="10"/>
      <c r="WDI2197" s="10"/>
      <c r="WDJ2197" s="10"/>
      <c r="WDK2197" s="10"/>
      <c r="WDL2197" s="10"/>
      <c r="WDM2197" s="10"/>
      <c r="WDN2197" s="10"/>
      <c r="WDO2197" s="10"/>
      <c r="WDP2197" s="10"/>
      <c r="WDQ2197" s="10"/>
      <c r="WDR2197" s="10"/>
      <c r="WDS2197" s="10"/>
      <c r="WDT2197" s="10"/>
      <c r="WDU2197" s="10"/>
      <c r="WDV2197" s="10"/>
      <c r="WDW2197" s="10"/>
      <c r="WDX2197" s="10"/>
      <c r="WDY2197" s="10"/>
      <c r="WDZ2197" s="10"/>
      <c r="WEA2197" s="10"/>
      <c r="WEB2197" s="10"/>
      <c r="WEC2197" s="10"/>
      <c r="WED2197" s="10"/>
      <c r="WEE2197" s="10"/>
      <c r="WEF2197" s="10"/>
      <c r="WEG2197" s="10"/>
      <c r="WEH2197" s="10"/>
      <c r="WEI2197" s="10"/>
      <c r="WEJ2197" s="10"/>
      <c r="WEK2197" s="10"/>
      <c r="WEL2197" s="10"/>
      <c r="WEM2197" s="10"/>
      <c r="WEN2197" s="10"/>
      <c r="WEO2197" s="10"/>
      <c r="WEP2197" s="10"/>
      <c r="WEQ2197" s="10"/>
      <c r="WER2197" s="10"/>
      <c r="WES2197" s="10"/>
      <c r="WET2197" s="10"/>
      <c r="WEU2197" s="10"/>
      <c r="WEV2197" s="10"/>
      <c r="WEW2197" s="10"/>
      <c r="WEX2197" s="10"/>
      <c r="WEY2197" s="10"/>
      <c r="WEZ2197" s="10"/>
      <c r="WFA2197" s="10"/>
      <c r="WFB2197" s="10"/>
      <c r="WFC2197" s="10"/>
      <c r="WFD2197" s="10"/>
      <c r="WFE2197" s="10"/>
      <c r="WFF2197" s="10"/>
      <c r="WFG2197" s="10"/>
      <c r="WFH2197" s="10"/>
      <c r="WFI2197" s="10"/>
      <c r="WFJ2197" s="10"/>
      <c r="WFK2197" s="10"/>
      <c r="WFL2197" s="10"/>
      <c r="WFM2197" s="10"/>
      <c r="WFN2197" s="10"/>
      <c r="WFO2197" s="10"/>
      <c r="WFP2197" s="10"/>
      <c r="WFQ2197" s="10"/>
      <c r="WFR2197" s="10"/>
      <c r="WFS2197" s="10"/>
      <c r="WFT2197" s="10"/>
      <c r="WFU2197" s="10"/>
      <c r="WFV2197" s="10"/>
      <c r="WFW2197" s="10"/>
      <c r="WFX2197" s="10"/>
      <c r="WFY2197" s="10"/>
      <c r="WFZ2197" s="10"/>
      <c r="WGA2197" s="10"/>
      <c r="WGB2197" s="10"/>
      <c r="WGC2197" s="10"/>
      <c r="WGD2197" s="10"/>
      <c r="WGE2197" s="10"/>
      <c r="WGF2197" s="10"/>
      <c r="WGG2197" s="10"/>
      <c r="WGH2197" s="10"/>
      <c r="WGI2197" s="10"/>
      <c r="WGJ2197" s="10"/>
      <c r="WGK2197" s="10"/>
      <c r="WGL2197" s="10"/>
      <c r="WGM2197" s="10"/>
      <c r="WGN2197" s="10"/>
      <c r="WGO2197" s="10"/>
      <c r="WGP2197" s="10"/>
      <c r="WGQ2197" s="10"/>
      <c r="WGR2197" s="10"/>
      <c r="WGS2197" s="10"/>
      <c r="WGT2197" s="10"/>
      <c r="WGU2197" s="10"/>
      <c r="WGV2197" s="10"/>
      <c r="WGW2197" s="10"/>
      <c r="WGX2197" s="10"/>
      <c r="WGY2197" s="10"/>
      <c r="WGZ2197" s="10"/>
      <c r="WHA2197" s="10"/>
      <c r="WHB2197" s="10"/>
      <c r="WHC2197" s="10"/>
      <c r="WHD2197" s="10"/>
      <c r="WHE2197" s="10"/>
      <c r="WHF2197" s="10"/>
      <c r="WHG2197" s="10"/>
      <c r="WHH2197" s="10"/>
      <c r="WHI2197" s="10"/>
      <c r="WHJ2197" s="10"/>
      <c r="WHK2197" s="10"/>
      <c r="WHL2197" s="10"/>
      <c r="WHM2197" s="10"/>
      <c r="WHN2197" s="10"/>
      <c r="WHO2197" s="10"/>
      <c r="WHP2197" s="10"/>
      <c r="WHQ2197" s="10"/>
      <c r="WHR2197" s="10"/>
      <c r="WHS2197" s="10"/>
      <c r="WHT2197" s="10"/>
      <c r="WHU2197" s="10"/>
      <c r="WHV2197" s="10"/>
      <c r="WHW2197" s="10"/>
      <c r="WHX2197" s="10"/>
      <c r="WHY2197" s="10"/>
      <c r="WHZ2197" s="10"/>
      <c r="WIA2197" s="10"/>
      <c r="WIB2197" s="10"/>
      <c r="WIC2197" s="10"/>
      <c r="WID2197" s="10"/>
      <c r="WIE2197" s="10"/>
      <c r="WIF2197" s="10"/>
      <c r="WIG2197" s="10"/>
      <c r="WIH2197" s="10"/>
      <c r="WII2197" s="10"/>
      <c r="WIJ2197" s="10"/>
      <c r="WIK2197" s="10"/>
      <c r="WIL2197" s="10"/>
      <c r="WIM2197" s="10"/>
      <c r="WIN2197" s="10"/>
      <c r="WIO2197" s="10"/>
      <c r="WIP2197" s="10"/>
      <c r="WIQ2197" s="10"/>
      <c r="WIR2197" s="10"/>
      <c r="WIS2197" s="10"/>
      <c r="WIT2197" s="10"/>
      <c r="WIU2197" s="10"/>
      <c r="WIV2197" s="10"/>
      <c r="WIW2197" s="10"/>
      <c r="WIX2197" s="10"/>
      <c r="WIY2197" s="10"/>
      <c r="WIZ2197" s="10"/>
      <c r="WJA2197" s="10"/>
      <c r="WJB2197" s="10"/>
      <c r="WJC2197" s="10"/>
      <c r="WJD2197" s="10"/>
      <c r="WJE2197" s="10"/>
      <c r="WJF2197" s="10"/>
      <c r="WJG2197" s="10"/>
      <c r="WJH2197" s="10"/>
      <c r="WJI2197" s="10"/>
      <c r="WJJ2197" s="10"/>
      <c r="WJK2197" s="10"/>
      <c r="WJL2197" s="10"/>
      <c r="WJM2197" s="10"/>
      <c r="WJN2197" s="10"/>
      <c r="WJO2197" s="10"/>
      <c r="WJP2197" s="10"/>
      <c r="WJQ2197" s="10"/>
      <c r="WJR2197" s="10"/>
      <c r="WJS2197" s="10"/>
      <c r="WJT2197" s="10"/>
      <c r="WJU2197" s="10"/>
      <c r="WJV2197" s="10"/>
      <c r="WJW2197" s="10"/>
      <c r="WJX2197" s="10"/>
      <c r="WJY2197" s="10"/>
      <c r="WJZ2197" s="10"/>
      <c r="WKA2197" s="10"/>
      <c r="WKB2197" s="10"/>
      <c r="WKC2197" s="10"/>
      <c r="WKD2197" s="10"/>
      <c r="WKE2197" s="10"/>
      <c r="WKF2197" s="10"/>
      <c r="WKG2197" s="10"/>
      <c r="WKH2197" s="10"/>
      <c r="WKI2197" s="10"/>
      <c r="WKJ2197" s="10"/>
      <c r="WKK2197" s="10"/>
      <c r="WKL2197" s="10"/>
      <c r="WKM2197" s="10"/>
      <c r="WKN2197" s="10"/>
      <c r="WKO2197" s="10"/>
      <c r="WKP2197" s="10"/>
      <c r="WKQ2197" s="10"/>
      <c r="WKR2197" s="10"/>
      <c r="WKS2197" s="10"/>
      <c r="WKT2197" s="10"/>
      <c r="WKU2197" s="10"/>
      <c r="WKV2197" s="10"/>
      <c r="WKW2197" s="10"/>
      <c r="WKX2197" s="10"/>
      <c r="WKY2197" s="10"/>
      <c r="WKZ2197" s="10"/>
      <c r="WLA2197" s="10"/>
      <c r="WLB2197" s="10"/>
      <c r="WLC2197" s="10"/>
      <c r="WLD2197" s="10"/>
      <c r="WLE2197" s="10"/>
      <c r="WLF2197" s="10"/>
      <c r="WLG2197" s="10"/>
      <c r="WLH2197" s="10"/>
      <c r="WLI2197" s="10"/>
      <c r="WLJ2197" s="10"/>
      <c r="WLK2197" s="10"/>
      <c r="WLL2197" s="10"/>
      <c r="WLM2197" s="10"/>
      <c r="WLN2197" s="10"/>
      <c r="WLO2197" s="10"/>
      <c r="WLP2197" s="10"/>
      <c r="WLQ2197" s="10"/>
      <c r="WLR2197" s="10"/>
      <c r="WLS2197" s="10"/>
      <c r="WLT2197" s="10"/>
      <c r="WLU2197" s="10"/>
      <c r="WLV2197" s="10"/>
      <c r="WLW2197" s="10"/>
      <c r="WLX2197" s="10"/>
      <c r="WLY2197" s="10"/>
      <c r="WLZ2197" s="10"/>
      <c r="WMA2197" s="10"/>
      <c r="WMB2197" s="10"/>
      <c r="WMC2197" s="10"/>
      <c r="WMD2197" s="10"/>
      <c r="WME2197" s="10"/>
      <c r="WMF2197" s="10"/>
      <c r="WMG2197" s="10"/>
      <c r="WMH2197" s="10"/>
      <c r="WMI2197" s="10"/>
      <c r="WMJ2197" s="10"/>
      <c r="WMK2197" s="10"/>
      <c r="WML2197" s="10"/>
      <c r="WMM2197" s="10"/>
      <c r="WMN2197" s="10"/>
      <c r="WMO2197" s="10"/>
      <c r="WMP2197" s="10"/>
      <c r="WMQ2197" s="10"/>
      <c r="WMR2197" s="10"/>
      <c r="WMS2197" s="10"/>
      <c r="WMT2197" s="10"/>
      <c r="WMU2197" s="10"/>
      <c r="WMV2197" s="10"/>
      <c r="WMW2197" s="10"/>
      <c r="WMX2197" s="10"/>
      <c r="WMY2197" s="10"/>
      <c r="WMZ2197" s="10"/>
      <c r="WNA2197" s="10"/>
      <c r="WNB2197" s="10"/>
      <c r="WNC2197" s="10"/>
      <c r="WND2197" s="10"/>
      <c r="WNE2197" s="10"/>
      <c r="WNF2197" s="10"/>
      <c r="WNG2197" s="10"/>
      <c r="WNH2197" s="10"/>
      <c r="WNI2197" s="10"/>
      <c r="WNJ2197" s="10"/>
      <c r="WNK2197" s="10"/>
      <c r="WNL2197" s="10"/>
      <c r="WNM2197" s="10"/>
      <c r="WNN2197" s="10"/>
      <c r="WNO2197" s="10"/>
      <c r="WNP2197" s="10"/>
      <c r="WNQ2197" s="10"/>
      <c r="WNR2197" s="10"/>
      <c r="WNS2197" s="10"/>
      <c r="WNT2197" s="10"/>
      <c r="WNU2197" s="10"/>
      <c r="WNV2197" s="10"/>
      <c r="WNW2197" s="10"/>
      <c r="WNX2197" s="10"/>
      <c r="WNY2197" s="10"/>
      <c r="WNZ2197" s="10"/>
      <c r="WOA2197" s="10"/>
      <c r="WOB2197" s="10"/>
      <c r="WOC2197" s="10"/>
      <c r="WOD2197" s="10"/>
      <c r="WOE2197" s="10"/>
      <c r="WOF2197" s="10"/>
      <c r="WOG2197" s="10"/>
      <c r="WOH2197" s="10"/>
      <c r="WOI2197" s="10"/>
      <c r="WOJ2197" s="10"/>
      <c r="WOK2197" s="10"/>
      <c r="WOL2197" s="10"/>
      <c r="WOM2197" s="10"/>
      <c r="WON2197" s="10"/>
      <c r="WOO2197" s="10"/>
      <c r="WOP2197" s="10"/>
      <c r="WOQ2197" s="10"/>
      <c r="WOR2197" s="10"/>
      <c r="WOS2197" s="10"/>
      <c r="WOT2197" s="10"/>
      <c r="WOU2197" s="10"/>
      <c r="WOV2197" s="10"/>
      <c r="WOW2197" s="10"/>
      <c r="WOX2197" s="10"/>
      <c r="WOY2197" s="10"/>
      <c r="WOZ2197" s="10"/>
      <c r="WPA2197" s="10"/>
      <c r="WPB2197" s="10"/>
      <c r="WPC2197" s="10"/>
      <c r="WPD2197" s="10"/>
      <c r="WPE2197" s="10"/>
      <c r="WPF2197" s="10"/>
      <c r="WPG2197" s="10"/>
      <c r="WPH2197" s="10"/>
      <c r="WPI2197" s="10"/>
      <c r="WPJ2197" s="10"/>
      <c r="WPK2197" s="10"/>
      <c r="WPL2197" s="10"/>
      <c r="WPM2197" s="10"/>
      <c r="WPN2197" s="10"/>
      <c r="WPO2197" s="10"/>
      <c r="WPP2197" s="10"/>
      <c r="WPQ2197" s="10"/>
      <c r="WPR2197" s="10"/>
      <c r="WPS2197" s="10"/>
      <c r="WPT2197" s="10"/>
      <c r="WPU2197" s="10"/>
      <c r="WPV2197" s="10"/>
      <c r="WPW2197" s="10"/>
      <c r="WPX2197" s="10"/>
      <c r="WPY2197" s="10"/>
      <c r="WPZ2197" s="10"/>
      <c r="WQA2197" s="10"/>
      <c r="WQB2197" s="10"/>
      <c r="WQC2197" s="10"/>
      <c r="WQD2197" s="10"/>
      <c r="WQE2197" s="10"/>
      <c r="WQF2197" s="10"/>
      <c r="WQG2197" s="10"/>
      <c r="WQH2197" s="10"/>
      <c r="WQI2197" s="10"/>
      <c r="WQJ2197" s="10"/>
      <c r="WQK2197" s="10"/>
      <c r="WQL2197" s="10"/>
      <c r="WQM2197" s="10"/>
      <c r="WQN2197" s="10"/>
      <c r="WQO2197" s="10"/>
      <c r="WQP2197" s="10"/>
      <c r="WQQ2197" s="10"/>
      <c r="WQR2197" s="10"/>
      <c r="WQS2197" s="10"/>
      <c r="WQT2197" s="10"/>
      <c r="WQU2197" s="10"/>
      <c r="WQV2197" s="10"/>
      <c r="WQW2197" s="10"/>
      <c r="WQX2197" s="10"/>
      <c r="WQY2197" s="10"/>
      <c r="WQZ2197" s="10"/>
      <c r="WRA2197" s="10"/>
      <c r="WRB2197" s="10"/>
      <c r="WRC2197" s="10"/>
      <c r="WRD2197" s="10"/>
      <c r="WRE2197" s="10"/>
      <c r="WRF2197" s="10"/>
      <c r="WRG2197" s="10"/>
      <c r="WRH2197" s="10"/>
      <c r="WRI2197" s="10"/>
      <c r="WRJ2197" s="10"/>
      <c r="WRK2197" s="10"/>
      <c r="WRL2197" s="10"/>
      <c r="WRM2197" s="10"/>
      <c r="WRN2197" s="10"/>
      <c r="WRO2197" s="10"/>
      <c r="WRP2197" s="10"/>
      <c r="WRQ2197" s="10"/>
      <c r="WRR2197" s="10"/>
      <c r="WRS2197" s="10"/>
      <c r="WRT2197" s="10"/>
      <c r="WRU2197" s="10"/>
      <c r="WRV2197" s="10"/>
      <c r="WRW2197" s="10"/>
      <c r="WRX2197" s="10"/>
      <c r="WRY2197" s="10"/>
      <c r="WRZ2197" s="10"/>
      <c r="WSA2197" s="10"/>
      <c r="WSB2197" s="10"/>
      <c r="WSC2197" s="10"/>
      <c r="WSD2197" s="10"/>
      <c r="WSE2197" s="10"/>
      <c r="WSF2197" s="10"/>
      <c r="WSG2197" s="10"/>
      <c r="WSH2197" s="10"/>
      <c r="WSI2197" s="10"/>
      <c r="WSJ2197" s="10"/>
      <c r="WSK2197" s="10"/>
      <c r="WSL2197" s="10"/>
      <c r="WSM2197" s="10"/>
      <c r="WSN2197" s="10"/>
      <c r="WSO2197" s="10"/>
      <c r="WSP2197" s="10"/>
      <c r="WSQ2197" s="10"/>
      <c r="WSR2197" s="10"/>
      <c r="WSS2197" s="10"/>
      <c r="WST2197" s="10"/>
      <c r="WSU2197" s="10"/>
      <c r="WSV2197" s="10"/>
      <c r="WSW2197" s="10"/>
      <c r="WSX2197" s="10"/>
      <c r="WSY2197" s="10"/>
      <c r="WSZ2197" s="10"/>
      <c r="WTA2197" s="10"/>
      <c r="WTB2197" s="10"/>
      <c r="WTC2197" s="10"/>
      <c r="WTD2197" s="10"/>
      <c r="WTE2197" s="10"/>
      <c r="WTF2197" s="10"/>
      <c r="WTG2197" s="10"/>
      <c r="WTH2197" s="10"/>
      <c r="WTI2197" s="10"/>
      <c r="WTJ2197" s="10"/>
      <c r="WTK2197" s="10"/>
      <c r="WTL2197" s="10"/>
      <c r="WTM2197" s="10"/>
      <c r="WTN2197" s="10"/>
      <c r="WTO2197" s="10"/>
      <c r="WTP2197" s="10"/>
      <c r="WTQ2197" s="10"/>
      <c r="WTR2197" s="10"/>
      <c r="WTS2197" s="10"/>
      <c r="WTT2197" s="10"/>
      <c r="WTU2197" s="10"/>
      <c r="WTV2197" s="10"/>
      <c r="WTW2197" s="10"/>
      <c r="WTX2197" s="10"/>
      <c r="WTY2197" s="10"/>
      <c r="WTZ2197" s="10"/>
      <c r="WUA2197" s="10"/>
      <c r="WUB2197" s="10"/>
      <c r="WUC2197" s="10"/>
      <c r="WUD2197" s="10"/>
      <c r="WUE2197" s="10"/>
      <c r="WUF2197" s="10"/>
      <c r="WUG2197" s="10"/>
      <c r="WUH2197" s="10"/>
      <c r="WUI2197" s="10"/>
      <c r="WUJ2197" s="10"/>
      <c r="WUK2197" s="10"/>
      <c r="WUL2197" s="10"/>
      <c r="WUM2197" s="10"/>
      <c r="WUN2197" s="10"/>
      <c r="WUO2197" s="10"/>
      <c r="WUP2197" s="10"/>
      <c r="WUQ2197" s="10"/>
      <c r="WUR2197" s="10"/>
      <c r="WUS2197" s="10"/>
      <c r="WUT2197" s="10"/>
      <c r="WUU2197" s="10"/>
      <c r="WUV2197" s="10"/>
      <c r="WUW2197" s="10"/>
      <c r="WUX2197" s="10"/>
      <c r="WUY2197" s="10"/>
      <c r="WUZ2197" s="10"/>
      <c r="WVA2197" s="10"/>
      <c r="WVB2197" s="10"/>
      <c r="WVC2197" s="10"/>
      <c r="WVD2197" s="10"/>
      <c r="WVE2197" s="10"/>
      <c r="WVF2197" s="10"/>
      <c r="WVG2197" s="10"/>
      <c r="WVH2197" s="10"/>
      <c r="WVI2197" s="10"/>
      <c r="WVJ2197" s="10"/>
      <c r="WVK2197" s="10"/>
      <c r="WVL2197" s="10"/>
      <c r="WVM2197" s="10"/>
      <c r="WVN2197" s="10"/>
      <c r="WVO2197" s="10"/>
      <c r="WVP2197" s="10"/>
      <c r="WVQ2197" s="10"/>
      <c r="WVR2197" s="10"/>
      <c r="WVS2197" s="10"/>
      <c r="WVT2197" s="10"/>
      <c r="WVU2197" s="10"/>
      <c r="WVV2197" s="10"/>
      <c r="WVW2197" s="10"/>
      <c r="WVX2197" s="10"/>
      <c r="WVY2197" s="10"/>
      <c r="WVZ2197" s="10"/>
      <c r="WWA2197" s="10"/>
      <c r="WWB2197" s="10"/>
      <c r="WWC2197" s="10"/>
      <c r="WWD2197" s="10"/>
      <c r="WWE2197" s="10"/>
      <c r="WWF2197" s="10"/>
      <c r="WWG2197" s="10"/>
      <c r="WWH2197" s="10"/>
      <c r="WWI2197" s="10"/>
      <c r="WWJ2197" s="10"/>
      <c r="WWK2197" s="10"/>
      <c r="WWL2197" s="10"/>
      <c r="WWM2197" s="10"/>
      <c r="WWN2197" s="10"/>
      <c r="WWO2197" s="10"/>
      <c r="WWP2197" s="10"/>
      <c r="WWQ2197" s="10"/>
      <c r="WWR2197" s="10"/>
      <c r="WWS2197" s="10"/>
      <c r="WWT2197" s="10"/>
      <c r="WWU2197" s="10"/>
      <c r="WWV2197" s="10"/>
      <c r="WWW2197" s="10"/>
      <c r="WWX2197" s="10"/>
      <c r="WWY2197" s="10"/>
      <c r="WWZ2197" s="10"/>
      <c r="WXA2197" s="10"/>
      <c r="WXB2197" s="10"/>
      <c r="WXC2197" s="10"/>
      <c r="WXD2197" s="10"/>
      <c r="WXE2197" s="10"/>
      <c r="WXF2197" s="10"/>
      <c r="WXG2197" s="10"/>
      <c r="WXH2197" s="10"/>
      <c r="WXI2197" s="10"/>
      <c r="WXJ2197" s="10"/>
      <c r="WXK2197" s="10"/>
      <c r="WXL2197" s="10"/>
      <c r="WXM2197" s="10"/>
      <c r="WXN2197" s="10"/>
      <c r="WXO2197" s="10"/>
      <c r="WXP2197" s="10"/>
      <c r="WXQ2197" s="10"/>
      <c r="WXR2197" s="10"/>
      <c r="WXS2197" s="10"/>
      <c r="WXT2197" s="10"/>
      <c r="WXU2197" s="10"/>
      <c r="WXV2197" s="10"/>
      <c r="WXW2197" s="10"/>
      <c r="WXX2197" s="10"/>
      <c r="WXY2197" s="10"/>
      <c r="WXZ2197" s="10"/>
      <c r="WYA2197" s="10"/>
      <c r="WYB2197" s="10"/>
      <c r="WYC2197" s="10"/>
      <c r="WYD2197" s="10"/>
      <c r="WYE2197" s="10"/>
      <c r="WYF2197" s="10"/>
      <c r="WYG2197" s="10"/>
      <c r="WYH2197" s="10"/>
      <c r="WYI2197" s="10"/>
      <c r="WYJ2197" s="10"/>
      <c r="WYK2197" s="10"/>
      <c r="WYL2197" s="10"/>
      <c r="WYM2197" s="10"/>
      <c r="WYN2197" s="10"/>
      <c r="WYO2197" s="10"/>
      <c r="WYP2197" s="10"/>
      <c r="WYQ2197" s="10"/>
      <c r="WYR2197" s="10"/>
      <c r="WYS2197" s="10"/>
      <c r="WYT2197" s="10"/>
      <c r="WYU2197" s="10"/>
      <c r="WYV2197" s="10"/>
      <c r="WYW2197" s="10"/>
      <c r="WYX2197" s="10"/>
      <c r="WYY2197" s="10"/>
      <c r="WYZ2197" s="10"/>
      <c r="WZA2197" s="10"/>
      <c r="WZB2197" s="10"/>
      <c r="WZC2197" s="10"/>
      <c r="WZD2197" s="10"/>
      <c r="WZE2197" s="10"/>
      <c r="WZF2197" s="10"/>
      <c r="WZG2197" s="10"/>
      <c r="WZH2197" s="10"/>
      <c r="WZI2197" s="10"/>
      <c r="WZJ2197" s="10"/>
      <c r="WZK2197" s="10"/>
      <c r="WZL2197" s="10"/>
      <c r="WZM2197" s="10"/>
      <c r="WZN2197" s="10"/>
      <c r="WZO2197" s="10"/>
      <c r="WZP2197" s="10"/>
      <c r="WZQ2197" s="10"/>
      <c r="WZR2197" s="10"/>
      <c r="WZS2197" s="10"/>
      <c r="WZT2197" s="10"/>
      <c r="WZU2197" s="10"/>
      <c r="WZV2197" s="10"/>
      <c r="WZW2197" s="10"/>
      <c r="WZX2197" s="10"/>
      <c r="WZY2197" s="10"/>
      <c r="WZZ2197" s="10"/>
      <c r="XAA2197" s="10"/>
      <c r="XAB2197" s="10"/>
      <c r="XAC2197" s="10"/>
      <c r="XAD2197" s="10"/>
      <c r="XAE2197" s="10"/>
      <c r="XAF2197" s="10"/>
      <c r="XAG2197" s="10"/>
      <c r="XAH2197" s="10"/>
      <c r="XAI2197" s="10"/>
      <c r="XAJ2197" s="10"/>
      <c r="XAK2197" s="10"/>
      <c r="XAL2197" s="10"/>
      <c r="XAM2197" s="10"/>
      <c r="XAN2197" s="10"/>
      <c r="XAO2197" s="10"/>
      <c r="XAP2197" s="10"/>
      <c r="XAQ2197" s="10"/>
      <c r="XAR2197" s="10"/>
      <c r="XAS2197" s="10"/>
      <c r="XAT2197" s="10"/>
      <c r="XAU2197" s="10"/>
      <c r="XAV2197" s="10"/>
      <c r="XAW2197" s="10"/>
      <c r="XAX2197" s="10"/>
      <c r="XAY2197" s="10"/>
      <c r="XAZ2197" s="10"/>
      <c r="XBA2197" s="10"/>
      <c r="XBB2197" s="10"/>
      <c r="XBC2197" s="10"/>
      <c r="XBD2197" s="10"/>
      <c r="XBE2197" s="10"/>
      <c r="XBF2197" s="10"/>
      <c r="XBG2197" s="10"/>
      <c r="XBH2197" s="10"/>
      <c r="XBI2197" s="10"/>
      <c r="XBJ2197" s="10"/>
      <c r="XBK2197" s="10"/>
      <c r="XBL2197" s="10"/>
      <c r="XBM2197" s="10"/>
      <c r="XBN2197" s="10"/>
      <c r="XBO2197" s="10"/>
      <c r="XBP2197" s="10"/>
      <c r="XBQ2197" s="10"/>
      <c r="XBR2197" s="10"/>
      <c r="XBS2197" s="10"/>
      <c r="XBT2197" s="10"/>
      <c r="XBU2197" s="10"/>
      <c r="XBV2197" s="10"/>
      <c r="XBW2197" s="10"/>
      <c r="XBX2197" s="10"/>
      <c r="XBY2197" s="10"/>
      <c r="XBZ2197" s="10"/>
      <c r="XCA2197" s="10"/>
      <c r="XCB2197" s="10"/>
      <c r="XCC2197" s="10"/>
      <c r="XCD2197" s="10"/>
      <c r="XCE2197" s="10"/>
      <c r="XCF2197" s="10"/>
      <c r="XCG2197" s="10"/>
      <c r="XCH2197" s="10"/>
      <c r="XCI2197" s="10"/>
      <c r="XCJ2197" s="10"/>
      <c r="XCK2197" s="10"/>
      <c r="XCL2197" s="10"/>
      <c r="XCM2197" s="10"/>
      <c r="XCN2197" s="10"/>
      <c r="XCO2197" s="10"/>
      <c r="XCP2197" s="10"/>
      <c r="XCQ2197" s="10"/>
      <c r="XCR2197" s="10"/>
      <c r="XCS2197" s="10"/>
      <c r="XCT2197" s="10"/>
      <c r="XCU2197" s="10"/>
      <c r="XCV2197" s="10"/>
      <c r="XCW2197" s="10"/>
      <c r="XCX2197" s="10"/>
      <c r="XCY2197" s="10"/>
      <c r="XCZ2197" s="10"/>
      <c r="XDA2197" s="10"/>
      <c r="XDB2197" s="10"/>
      <c r="XDC2197" s="10"/>
      <c r="XDD2197" s="10"/>
      <c r="XDE2197" s="10"/>
      <c r="XDF2197" s="10"/>
      <c r="XDG2197" s="10"/>
      <c r="XDH2197" s="10"/>
      <c r="XDI2197" s="10"/>
      <c r="XDJ2197" s="10"/>
      <c r="XDK2197" s="10"/>
      <c r="XDL2197" s="10"/>
      <c r="XDM2197" s="10"/>
      <c r="XDN2197" s="10"/>
      <c r="XDO2197" s="10"/>
      <c r="XDP2197" s="10"/>
      <c r="XDQ2197" s="10"/>
      <c r="XDR2197" s="10"/>
      <c r="XDS2197" s="10"/>
      <c r="XDT2197" s="10"/>
      <c r="XDU2197" s="10"/>
      <c r="XDV2197" s="10"/>
      <c r="XDW2197" s="10"/>
      <c r="XDX2197" s="10"/>
      <c r="XDY2197" s="10"/>
      <c r="XDZ2197" s="10"/>
      <c r="XEA2197" s="10"/>
      <c r="XEB2197" s="10"/>
      <c r="XEC2197" s="10"/>
      <c r="XED2197" s="10"/>
      <c r="XEE2197" s="10"/>
      <c r="XEF2197" s="10"/>
      <c r="XEG2197" s="10"/>
      <c r="XEH2197" s="10"/>
      <c r="XEI2197" s="10"/>
      <c r="XEJ2197" s="10"/>
      <c r="XEK2197" s="10"/>
      <c r="XEL2197" s="10"/>
      <c r="XEM2197" s="10"/>
      <c r="XEN2197" s="10"/>
      <c r="XEO2197" s="10"/>
      <c r="XEP2197" s="10"/>
      <c r="XEQ2197" s="10"/>
      <c r="XER2197" s="10"/>
      <c r="XES2197" s="10"/>
      <c r="XET2197" s="10"/>
      <c r="XEU2197" s="10"/>
      <c r="XEV2197" s="10"/>
      <c r="XEW2197" s="10"/>
      <c r="XEX2197" s="10"/>
      <c r="XEY2197" s="10"/>
      <c r="XEZ2197" s="10"/>
    </row>
    <row r="2198" spans="1:16380">
      <c r="A2198" s="7">
        <f>IF(B2198="","",SUBTOTAL(103,$B$2:B2198))</f>
        <v>2197</v>
      </c>
      <c r="B2198" s="8" t="s">
        <v>5957</v>
      </c>
      <c r="C2198" s="7"/>
      <c r="D2198" s="9" t="s">
        <v>5958</v>
      </c>
      <c r="E2198" s="7"/>
      <c r="F2198" s="7"/>
      <c r="G2198" s="7" t="s">
        <v>5957</v>
      </c>
      <c r="H2198" s="7">
        <v>2.0499999999999998</v>
      </c>
      <c r="I2198" s="7">
        <v>2</v>
      </c>
      <c r="J2198" s="7">
        <v>800</v>
      </c>
      <c r="K2198" s="7">
        <v>600</v>
      </c>
      <c r="L2198" s="7">
        <v>150</v>
      </c>
      <c r="M2198" s="7">
        <v>30</v>
      </c>
      <c r="N2198" s="7">
        <v>120</v>
      </c>
      <c r="O2198" s="7">
        <v>1000</v>
      </c>
      <c r="P2198" s="7">
        <v>1100</v>
      </c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0"/>
      <c r="BC2198" s="10"/>
      <c r="BD2198" s="10"/>
      <c r="BE2198" s="10"/>
      <c r="BF2198" s="10"/>
      <c r="BG2198" s="10"/>
      <c r="BH2198" s="10"/>
      <c r="BI2198" s="10"/>
      <c r="BJ2198" s="10"/>
      <c r="BK2198" s="10"/>
      <c r="BL2198" s="10"/>
      <c r="BM2198" s="10"/>
      <c r="BN2198" s="10"/>
      <c r="BO2198" s="10"/>
      <c r="BP2198" s="10"/>
      <c r="BQ2198" s="10"/>
      <c r="BR2198" s="10"/>
      <c r="BS2198" s="10"/>
      <c r="BT2198" s="10"/>
      <c r="BU2198" s="10"/>
      <c r="BV2198" s="10"/>
      <c r="BW2198" s="10"/>
      <c r="BX2198" s="10"/>
      <c r="BY2198" s="10"/>
      <c r="BZ2198" s="10"/>
      <c r="CA2198" s="10"/>
      <c r="CB2198" s="10"/>
      <c r="CC2198" s="10"/>
      <c r="CD2198" s="10"/>
      <c r="CE2198" s="10"/>
      <c r="CF2198" s="10"/>
      <c r="CG2198" s="10"/>
      <c r="CH2198" s="10"/>
      <c r="CI2198" s="10"/>
      <c r="CJ2198" s="10"/>
      <c r="CK2198" s="10"/>
      <c r="CL2198" s="10"/>
      <c r="CM2198" s="10"/>
      <c r="CN2198" s="10"/>
      <c r="CO2198" s="10"/>
      <c r="CP2198" s="10"/>
      <c r="CQ2198" s="10"/>
      <c r="CR2198" s="10"/>
      <c r="CS2198" s="10"/>
      <c r="CT2198" s="10"/>
      <c r="CU2198" s="10"/>
      <c r="CV2198" s="10"/>
      <c r="CW2198" s="10"/>
      <c r="CX2198" s="10"/>
      <c r="CY2198" s="10"/>
      <c r="CZ2198" s="10"/>
      <c r="DA2198" s="10"/>
      <c r="DB2198" s="10"/>
      <c r="DC2198" s="10"/>
      <c r="DD2198" s="10"/>
      <c r="DE2198" s="10"/>
      <c r="DF2198" s="10"/>
      <c r="DG2198" s="10"/>
      <c r="DH2198" s="10"/>
      <c r="DI2198" s="10"/>
      <c r="DJ2198" s="10"/>
      <c r="DK2198" s="10"/>
      <c r="DL2198" s="10"/>
      <c r="DM2198" s="10"/>
      <c r="DN2198" s="10"/>
      <c r="DO2198" s="10"/>
      <c r="DP2198" s="10"/>
      <c r="DQ2198" s="10"/>
      <c r="DR2198" s="10"/>
      <c r="DS2198" s="10"/>
      <c r="DT2198" s="10"/>
      <c r="DU2198" s="10"/>
      <c r="DV2198" s="10"/>
      <c r="DW2198" s="10"/>
      <c r="DX2198" s="10"/>
      <c r="DY2198" s="10"/>
      <c r="DZ2198" s="10"/>
      <c r="EA2198" s="10"/>
      <c r="EB2198" s="10"/>
      <c r="EC2198" s="10"/>
      <c r="ED2198" s="10"/>
      <c r="EE2198" s="10"/>
      <c r="EF2198" s="10"/>
      <c r="EG2198" s="10"/>
      <c r="EH2198" s="10"/>
      <c r="EI2198" s="10"/>
      <c r="EJ2198" s="10"/>
      <c r="EK2198" s="10"/>
      <c r="EL2198" s="10"/>
      <c r="EM2198" s="10"/>
      <c r="EN2198" s="10"/>
      <c r="EO2198" s="10"/>
      <c r="EP2198" s="10"/>
      <c r="EQ2198" s="10"/>
      <c r="ER2198" s="10"/>
      <c r="ES2198" s="10"/>
      <c r="ET2198" s="10"/>
      <c r="EU2198" s="10"/>
      <c r="EV2198" s="10"/>
      <c r="EW2198" s="10"/>
      <c r="EX2198" s="10"/>
      <c r="EY2198" s="10"/>
      <c r="EZ2198" s="10"/>
      <c r="FA2198" s="10"/>
      <c r="FB2198" s="10"/>
      <c r="FC2198" s="10"/>
      <c r="FD2198" s="10"/>
      <c r="FE2198" s="10"/>
      <c r="FF2198" s="10"/>
      <c r="FG2198" s="10"/>
      <c r="FH2198" s="10"/>
      <c r="FI2198" s="10"/>
      <c r="FJ2198" s="10"/>
      <c r="FK2198" s="10"/>
      <c r="FL2198" s="10"/>
      <c r="FM2198" s="10"/>
      <c r="FN2198" s="10"/>
      <c r="FO2198" s="10"/>
      <c r="FP2198" s="10"/>
      <c r="FQ2198" s="10"/>
      <c r="FR2198" s="10"/>
      <c r="FS2198" s="10"/>
      <c r="FT2198" s="10"/>
      <c r="FU2198" s="10"/>
      <c r="FV2198" s="10"/>
      <c r="FW2198" s="10"/>
      <c r="FX2198" s="10"/>
      <c r="FY2198" s="10"/>
      <c r="FZ2198" s="10"/>
      <c r="GA2198" s="10"/>
      <c r="GB2198" s="10"/>
      <c r="GC2198" s="10"/>
      <c r="GD2198" s="10"/>
      <c r="GE2198" s="10"/>
      <c r="GF2198" s="10"/>
      <c r="GG2198" s="10"/>
      <c r="GH2198" s="10"/>
      <c r="GI2198" s="10"/>
      <c r="GJ2198" s="10"/>
      <c r="GK2198" s="10"/>
      <c r="GL2198" s="10"/>
      <c r="GM2198" s="10"/>
      <c r="GN2198" s="10"/>
      <c r="GO2198" s="10"/>
      <c r="GP2198" s="10"/>
      <c r="GQ2198" s="10"/>
      <c r="GR2198" s="10"/>
      <c r="GS2198" s="10"/>
      <c r="GT2198" s="10"/>
      <c r="GU2198" s="10"/>
      <c r="GV2198" s="10"/>
      <c r="GW2198" s="10"/>
      <c r="GX2198" s="10"/>
      <c r="GY2198" s="10"/>
      <c r="GZ2198" s="10"/>
      <c r="HA2198" s="10"/>
      <c r="HB2198" s="10"/>
      <c r="HC2198" s="10"/>
      <c r="HD2198" s="10"/>
      <c r="HE2198" s="10"/>
      <c r="HF2198" s="10"/>
      <c r="HG2198" s="10"/>
      <c r="HH2198" s="10"/>
      <c r="HI2198" s="10"/>
      <c r="HJ2198" s="10"/>
      <c r="HK2198" s="10"/>
      <c r="HL2198" s="10"/>
      <c r="HM2198" s="10"/>
      <c r="HN2198" s="10"/>
      <c r="HO2198" s="10"/>
      <c r="HP2198" s="10"/>
      <c r="HQ2198" s="10"/>
      <c r="HR2198" s="10"/>
      <c r="HS2198" s="10"/>
      <c r="HT2198" s="10"/>
      <c r="HU2198" s="10"/>
      <c r="HV2198" s="10"/>
      <c r="HW2198" s="10"/>
      <c r="HX2198" s="10"/>
      <c r="HY2198" s="10"/>
      <c r="HZ2198" s="10"/>
      <c r="IA2198" s="10"/>
      <c r="IB2198" s="10"/>
      <c r="IC2198" s="10"/>
      <c r="ID2198" s="10"/>
      <c r="IE2198" s="10"/>
      <c r="IF2198" s="10"/>
      <c r="IG2198" s="10"/>
      <c r="IH2198" s="10"/>
      <c r="II2198" s="10"/>
      <c r="IJ2198" s="10"/>
      <c r="IK2198" s="10"/>
      <c r="IL2198" s="10"/>
      <c r="IM2198" s="10"/>
      <c r="IN2198" s="10"/>
      <c r="IO2198" s="10"/>
      <c r="IP2198" s="10"/>
      <c r="IQ2198" s="10"/>
      <c r="IR2198" s="10"/>
      <c r="IS2198" s="10"/>
      <c r="IT2198" s="10"/>
      <c r="IU2198" s="10"/>
      <c r="IV2198" s="10"/>
      <c r="IW2198" s="10"/>
      <c r="IX2198" s="10"/>
      <c r="IY2198" s="10"/>
      <c r="IZ2198" s="10"/>
      <c r="JA2198" s="10"/>
      <c r="JB2198" s="10"/>
      <c r="JC2198" s="10"/>
      <c r="JD2198" s="10"/>
      <c r="JE2198" s="10"/>
      <c r="JF2198" s="10"/>
      <c r="JG2198" s="10"/>
      <c r="JH2198" s="10"/>
      <c r="JI2198" s="10"/>
      <c r="JJ2198" s="10"/>
      <c r="JK2198" s="10"/>
      <c r="JL2198" s="10"/>
      <c r="JM2198" s="10"/>
      <c r="JN2198" s="10"/>
      <c r="JO2198" s="10"/>
      <c r="JP2198" s="10"/>
      <c r="JQ2198" s="10"/>
      <c r="JR2198" s="10"/>
      <c r="JS2198" s="10"/>
      <c r="JT2198" s="10"/>
      <c r="JU2198" s="10"/>
      <c r="JV2198" s="10"/>
      <c r="JW2198" s="10"/>
      <c r="JX2198" s="10"/>
      <c r="JY2198" s="10"/>
      <c r="JZ2198" s="10"/>
      <c r="KA2198" s="10"/>
      <c r="KB2198" s="10"/>
      <c r="KC2198" s="10"/>
      <c r="KD2198" s="10"/>
      <c r="KE2198" s="10"/>
      <c r="KF2198" s="10"/>
      <c r="KG2198" s="10"/>
      <c r="KH2198" s="10"/>
      <c r="KI2198" s="10"/>
      <c r="KJ2198" s="10"/>
      <c r="KK2198" s="10"/>
      <c r="KL2198" s="10"/>
      <c r="KM2198" s="10"/>
      <c r="KN2198" s="10"/>
      <c r="KO2198" s="10"/>
      <c r="KP2198" s="10"/>
      <c r="KQ2198" s="10"/>
      <c r="KR2198" s="10"/>
      <c r="KS2198" s="10"/>
      <c r="KT2198" s="10"/>
      <c r="KU2198" s="10"/>
      <c r="KV2198" s="10"/>
      <c r="KW2198" s="10"/>
      <c r="KX2198" s="10"/>
      <c r="KY2198" s="10"/>
      <c r="KZ2198" s="10"/>
      <c r="LA2198" s="10"/>
      <c r="LB2198" s="10"/>
      <c r="LC2198" s="10"/>
      <c r="LD2198" s="10"/>
      <c r="LE2198" s="10"/>
      <c r="LF2198" s="10"/>
      <c r="LG2198" s="10"/>
      <c r="LH2198" s="10"/>
      <c r="LI2198" s="10"/>
      <c r="LJ2198" s="10"/>
      <c r="LK2198" s="10"/>
      <c r="LL2198" s="10"/>
      <c r="LM2198" s="10"/>
      <c r="LN2198" s="10"/>
      <c r="LO2198" s="10"/>
      <c r="LP2198" s="10"/>
      <c r="LQ2198" s="10"/>
      <c r="LR2198" s="10"/>
      <c r="LS2198" s="10"/>
      <c r="LT2198" s="10"/>
      <c r="LU2198" s="10"/>
      <c r="LV2198" s="10"/>
      <c r="LW2198" s="10"/>
      <c r="LX2198" s="10"/>
      <c r="LY2198" s="10"/>
      <c r="LZ2198" s="10"/>
      <c r="MA2198" s="10"/>
      <c r="MB2198" s="10"/>
      <c r="MC2198" s="10"/>
      <c r="MD2198" s="10"/>
      <c r="ME2198" s="10"/>
      <c r="MF2198" s="10"/>
      <c r="MG2198" s="10"/>
      <c r="MH2198" s="10"/>
      <c r="MI2198" s="10"/>
      <c r="MJ2198" s="10"/>
      <c r="MK2198" s="10"/>
      <c r="ML2198" s="10"/>
      <c r="MM2198" s="10"/>
      <c r="MN2198" s="10"/>
      <c r="MO2198" s="10"/>
      <c r="MP2198" s="10"/>
      <c r="MQ2198" s="10"/>
      <c r="MR2198" s="10"/>
      <c r="MS2198" s="10"/>
      <c r="MT2198" s="10"/>
      <c r="MU2198" s="10"/>
      <c r="MV2198" s="10"/>
      <c r="MW2198" s="10"/>
      <c r="MX2198" s="10"/>
      <c r="MY2198" s="10"/>
      <c r="MZ2198" s="10"/>
      <c r="NA2198" s="10"/>
      <c r="NB2198" s="10"/>
      <c r="NC2198" s="10"/>
      <c r="ND2198" s="10"/>
      <c r="NE2198" s="10"/>
      <c r="NF2198" s="10"/>
      <c r="NG2198" s="10"/>
      <c r="NH2198" s="10"/>
      <c r="NI2198" s="10"/>
      <c r="NJ2198" s="10"/>
      <c r="NK2198" s="10"/>
      <c r="NL2198" s="10"/>
      <c r="NM2198" s="10"/>
      <c r="NN2198" s="10"/>
      <c r="NO2198" s="10"/>
      <c r="NP2198" s="10"/>
      <c r="NQ2198" s="10"/>
      <c r="NR2198" s="10"/>
      <c r="NS2198" s="10"/>
      <c r="NT2198" s="10"/>
      <c r="NU2198" s="10"/>
      <c r="NV2198" s="10"/>
      <c r="NW2198" s="10"/>
      <c r="NX2198" s="10"/>
      <c r="NY2198" s="10"/>
      <c r="NZ2198" s="10"/>
      <c r="OA2198" s="10"/>
      <c r="OB2198" s="10"/>
      <c r="OC2198" s="10"/>
      <c r="OD2198" s="10"/>
      <c r="OE2198" s="10"/>
      <c r="OF2198" s="10"/>
      <c r="OG2198" s="10"/>
      <c r="OH2198" s="10"/>
      <c r="OI2198" s="10"/>
      <c r="OJ2198" s="10"/>
      <c r="OK2198" s="10"/>
      <c r="OL2198" s="10"/>
      <c r="OM2198" s="10"/>
      <c r="ON2198" s="10"/>
      <c r="OO2198" s="10"/>
      <c r="OP2198" s="10"/>
      <c r="OQ2198" s="10"/>
      <c r="OR2198" s="10"/>
      <c r="OS2198" s="10"/>
      <c r="OT2198" s="10"/>
      <c r="OU2198" s="10"/>
      <c r="OV2198" s="10"/>
      <c r="OW2198" s="10"/>
      <c r="OX2198" s="10"/>
      <c r="OY2198" s="10"/>
      <c r="OZ2198" s="10"/>
      <c r="PA2198" s="10"/>
      <c r="PB2198" s="10"/>
      <c r="PC2198" s="10"/>
      <c r="PD2198" s="10"/>
      <c r="PE2198" s="10"/>
      <c r="PF2198" s="10"/>
      <c r="PG2198" s="10"/>
      <c r="PH2198" s="10"/>
      <c r="PI2198" s="10"/>
      <c r="PJ2198" s="10"/>
      <c r="PK2198" s="10"/>
      <c r="PL2198" s="10"/>
      <c r="PM2198" s="10"/>
      <c r="PN2198" s="10"/>
      <c r="PO2198" s="10"/>
      <c r="PP2198" s="10"/>
      <c r="PQ2198" s="10"/>
      <c r="PR2198" s="10"/>
      <c r="PS2198" s="10"/>
      <c r="PT2198" s="10"/>
      <c r="PU2198" s="10"/>
      <c r="PV2198" s="10"/>
      <c r="PW2198" s="10"/>
      <c r="PX2198" s="10"/>
      <c r="PY2198" s="10"/>
      <c r="PZ2198" s="10"/>
      <c r="QA2198" s="10"/>
      <c r="QB2198" s="10"/>
      <c r="QC2198" s="10"/>
      <c r="QD2198" s="10"/>
      <c r="QE2198" s="10"/>
      <c r="QF2198" s="10"/>
      <c r="QG2198" s="10"/>
      <c r="QH2198" s="10"/>
      <c r="QI2198" s="10"/>
      <c r="QJ2198" s="10"/>
      <c r="QK2198" s="10"/>
      <c r="QL2198" s="10"/>
      <c r="QM2198" s="10"/>
      <c r="QN2198" s="10"/>
      <c r="QO2198" s="10"/>
      <c r="QP2198" s="10"/>
      <c r="QQ2198" s="10"/>
      <c r="QR2198" s="10"/>
      <c r="QS2198" s="10"/>
      <c r="QT2198" s="10"/>
      <c r="QU2198" s="10"/>
      <c r="QV2198" s="10"/>
      <c r="QW2198" s="10"/>
      <c r="QX2198" s="10"/>
      <c r="QY2198" s="10"/>
      <c r="QZ2198" s="10"/>
      <c r="RA2198" s="10"/>
      <c r="RB2198" s="10"/>
      <c r="RC2198" s="10"/>
      <c r="RD2198" s="10"/>
      <c r="RE2198" s="10"/>
      <c r="RF2198" s="10"/>
      <c r="RG2198" s="10"/>
      <c r="RH2198" s="10"/>
      <c r="RI2198" s="10"/>
      <c r="RJ2198" s="10"/>
      <c r="RK2198" s="10"/>
      <c r="RL2198" s="10"/>
      <c r="RM2198" s="10"/>
      <c r="RN2198" s="10"/>
      <c r="RO2198" s="10"/>
      <c r="RP2198" s="10"/>
      <c r="RQ2198" s="10"/>
      <c r="RR2198" s="10"/>
      <c r="RS2198" s="10"/>
      <c r="RT2198" s="10"/>
      <c r="RU2198" s="10"/>
      <c r="RV2198" s="10"/>
      <c r="RW2198" s="10"/>
      <c r="RX2198" s="10"/>
      <c r="RY2198" s="10"/>
      <c r="RZ2198" s="10"/>
      <c r="SA2198" s="10"/>
      <c r="SB2198" s="10"/>
      <c r="SC2198" s="10"/>
      <c r="SD2198" s="10"/>
      <c r="SE2198" s="10"/>
      <c r="SF2198" s="10"/>
      <c r="SG2198" s="10"/>
      <c r="SH2198" s="10"/>
      <c r="SI2198" s="10"/>
      <c r="SJ2198" s="10"/>
      <c r="SK2198" s="10"/>
      <c r="SL2198" s="10"/>
      <c r="SM2198" s="10"/>
      <c r="SN2198" s="10"/>
      <c r="SO2198" s="10"/>
      <c r="SP2198" s="10"/>
      <c r="SQ2198" s="10"/>
      <c r="SR2198" s="10"/>
      <c r="SS2198" s="10"/>
      <c r="ST2198" s="10"/>
      <c r="SU2198" s="10"/>
      <c r="SV2198" s="10"/>
      <c r="SW2198" s="10"/>
      <c r="SX2198" s="10"/>
      <c r="SY2198" s="10"/>
      <c r="SZ2198" s="10"/>
      <c r="TA2198" s="10"/>
      <c r="TB2198" s="10"/>
      <c r="TC2198" s="10"/>
      <c r="TD2198" s="10"/>
      <c r="TE2198" s="10"/>
      <c r="TF2198" s="10"/>
      <c r="TG2198" s="10"/>
      <c r="TH2198" s="10"/>
      <c r="TI2198" s="10"/>
      <c r="TJ2198" s="10"/>
      <c r="TK2198" s="10"/>
      <c r="TL2198" s="10"/>
      <c r="TM2198" s="10"/>
      <c r="TN2198" s="10"/>
      <c r="TO2198" s="10"/>
      <c r="TP2198" s="10"/>
      <c r="TQ2198" s="10"/>
      <c r="TR2198" s="10"/>
      <c r="TS2198" s="10"/>
      <c r="TT2198" s="10"/>
      <c r="TU2198" s="10"/>
      <c r="TV2198" s="10"/>
      <c r="TW2198" s="10"/>
      <c r="TX2198" s="10"/>
      <c r="TY2198" s="10"/>
      <c r="TZ2198" s="10"/>
      <c r="UA2198" s="10"/>
      <c r="UB2198" s="10"/>
      <c r="UC2198" s="10"/>
      <c r="UD2198" s="10"/>
      <c r="UE2198" s="10"/>
      <c r="UF2198" s="10"/>
      <c r="UG2198" s="10"/>
      <c r="UH2198" s="10"/>
      <c r="UI2198" s="10"/>
      <c r="UJ2198" s="10"/>
      <c r="UK2198" s="10"/>
      <c r="UL2198" s="10"/>
      <c r="UM2198" s="10"/>
      <c r="UN2198" s="10"/>
      <c r="UO2198" s="10"/>
      <c r="UP2198" s="10"/>
      <c r="UQ2198" s="10"/>
      <c r="UR2198" s="10"/>
      <c r="US2198" s="10"/>
      <c r="UT2198" s="10"/>
      <c r="UU2198" s="10"/>
      <c r="UV2198" s="10"/>
      <c r="UW2198" s="10"/>
      <c r="UX2198" s="10"/>
      <c r="UY2198" s="10"/>
      <c r="UZ2198" s="10"/>
      <c r="VA2198" s="10"/>
      <c r="VB2198" s="10"/>
      <c r="VC2198" s="10"/>
      <c r="VD2198" s="10"/>
      <c r="VE2198" s="10"/>
      <c r="VF2198" s="10"/>
      <c r="VG2198" s="10"/>
      <c r="VH2198" s="10"/>
      <c r="VI2198" s="10"/>
      <c r="VJ2198" s="10"/>
      <c r="VK2198" s="10"/>
      <c r="VL2198" s="10"/>
      <c r="VM2198" s="10"/>
      <c r="VN2198" s="10"/>
      <c r="VO2198" s="10"/>
      <c r="VP2198" s="10"/>
      <c r="VQ2198" s="10"/>
      <c r="VR2198" s="10"/>
      <c r="VS2198" s="10"/>
      <c r="VT2198" s="10"/>
      <c r="VU2198" s="10"/>
      <c r="VV2198" s="10"/>
      <c r="VW2198" s="10"/>
      <c r="VX2198" s="10"/>
      <c r="VY2198" s="10"/>
      <c r="VZ2198" s="10"/>
      <c r="WA2198" s="10"/>
      <c r="WB2198" s="10"/>
      <c r="WC2198" s="10"/>
      <c r="WD2198" s="10"/>
      <c r="WE2198" s="10"/>
      <c r="WF2198" s="10"/>
      <c r="WG2198" s="10"/>
      <c r="WH2198" s="10"/>
      <c r="WI2198" s="10"/>
      <c r="WJ2198" s="10"/>
      <c r="WK2198" s="10"/>
      <c r="WL2198" s="10"/>
      <c r="WM2198" s="10"/>
      <c r="WN2198" s="10"/>
      <c r="WO2198" s="10"/>
      <c r="WP2198" s="10"/>
      <c r="WQ2198" s="10"/>
      <c r="WR2198" s="10"/>
      <c r="WS2198" s="10"/>
      <c r="WT2198" s="10"/>
      <c r="WU2198" s="10"/>
      <c r="WV2198" s="10"/>
      <c r="WW2198" s="10"/>
      <c r="WX2198" s="10"/>
      <c r="WY2198" s="10"/>
      <c r="WZ2198" s="10"/>
      <c r="XA2198" s="10"/>
      <c r="XB2198" s="10"/>
      <c r="XC2198" s="10"/>
      <c r="XD2198" s="10"/>
      <c r="XE2198" s="10"/>
      <c r="XF2198" s="10"/>
      <c r="XG2198" s="10"/>
      <c r="XH2198" s="10"/>
      <c r="XI2198" s="10"/>
      <c r="XJ2198" s="10"/>
      <c r="XK2198" s="10"/>
      <c r="XL2198" s="10"/>
      <c r="XM2198" s="10"/>
      <c r="XN2198" s="10"/>
      <c r="XO2198" s="10"/>
      <c r="XP2198" s="10"/>
      <c r="XQ2198" s="10"/>
      <c r="XR2198" s="10"/>
      <c r="XS2198" s="10"/>
      <c r="XT2198" s="10"/>
      <c r="XU2198" s="10"/>
      <c r="XV2198" s="10"/>
      <c r="XW2198" s="10"/>
      <c r="XX2198" s="10"/>
      <c r="XY2198" s="10"/>
      <c r="XZ2198" s="10"/>
      <c r="YA2198" s="10"/>
      <c r="YB2198" s="10"/>
      <c r="YC2198" s="10"/>
      <c r="YD2198" s="10"/>
      <c r="YE2198" s="10"/>
      <c r="YF2198" s="10"/>
      <c r="YG2198" s="10"/>
      <c r="YH2198" s="10"/>
      <c r="YI2198" s="10"/>
      <c r="YJ2198" s="10"/>
      <c r="YK2198" s="10"/>
      <c r="YL2198" s="10"/>
      <c r="YM2198" s="10"/>
      <c r="YN2198" s="10"/>
      <c r="YO2198" s="10"/>
      <c r="YP2198" s="10"/>
      <c r="YQ2198" s="10"/>
      <c r="YR2198" s="10"/>
      <c r="YS2198" s="10"/>
      <c r="YT2198" s="10"/>
      <c r="YU2198" s="10"/>
      <c r="YV2198" s="10"/>
      <c r="YW2198" s="10"/>
      <c r="YX2198" s="10"/>
      <c r="YY2198" s="10"/>
      <c r="YZ2198" s="10"/>
      <c r="ZA2198" s="10"/>
      <c r="ZB2198" s="10"/>
      <c r="ZC2198" s="10"/>
      <c r="ZD2198" s="10"/>
      <c r="ZE2198" s="10"/>
      <c r="ZF2198" s="10"/>
      <c r="ZG2198" s="10"/>
      <c r="ZH2198" s="10"/>
      <c r="ZI2198" s="10"/>
      <c r="ZJ2198" s="10"/>
      <c r="ZK2198" s="10"/>
      <c r="ZL2198" s="10"/>
      <c r="ZM2198" s="10"/>
      <c r="ZN2198" s="10"/>
      <c r="ZO2198" s="10"/>
      <c r="ZP2198" s="10"/>
      <c r="ZQ2198" s="10"/>
      <c r="ZR2198" s="10"/>
      <c r="ZS2198" s="10"/>
      <c r="ZT2198" s="10"/>
      <c r="ZU2198" s="10"/>
      <c r="ZV2198" s="10"/>
      <c r="ZW2198" s="10"/>
      <c r="ZX2198" s="10"/>
      <c r="ZY2198" s="10"/>
      <c r="ZZ2198" s="10"/>
      <c r="AAA2198" s="10"/>
      <c r="AAB2198" s="10"/>
      <c r="AAC2198" s="10"/>
      <c r="AAD2198" s="10"/>
      <c r="AAE2198" s="10"/>
      <c r="AAF2198" s="10"/>
      <c r="AAG2198" s="10"/>
      <c r="AAH2198" s="10"/>
      <c r="AAI2198" s="10"/>
      <c r="AAJ2198" s="10"/>
      <c r="AAK2198" s="10"/>
      <c r="AAL2198" s="10"/>
      <c r="AAM2198" s="10"/>
      <c r="AAN2198" s="10"/>
      <c r="AAO2198" s="10"/>
      <c r="AAP2198" s="10"/>
      <c r="AAQ2198" s="10"/>
      <c r="AAR2198" s="10"/>
      <c r="AAS2198" s="10"/>
      <c r="AAT2198" s="10"/>
      <c r="AAU2198" s="10"/>
      <c r="AAV2198" s="10"/>
      <c r="AAW2198" s="10"/>
      <c r="AAX2198" s="10"/>
      <c r="AAY2198" s="10"/>
      <c r="AAZ2198" s="10"/>
      <c r="ABA2198" s="10"/>
      <c r="ABB2198" s="10"/>
      <c r="ABC2198" s="10"/>
      <c r="ABD2198" s="10"/>
      <c r="ABE2198" s="10"/>
      <c r="ABF2198" s="10"/>
      <c r="ABG2198" s="10"/>
      <c r="ABH2198" s="10"/>
      <c r="ABI2198" s="10"/>
      <c r="ABJ2198" s="10"/>
      <c r="ABK2198" s="10"/>
      <c r="ABL2198" s="10"/>
      <c r="ABM2198" s="10"/>
      <c r="ABN2198" s="10"/>
      <c r="ABO2198" s="10"/>
      <c r="ABP2198" s="10"/>
      <c r="ABQ2198" s="10"/>
      <c r="ABR2198" s="10"/>
      <c r="ABS2198" s="10"/>
      <c r="ABT2198" s="10"/>
      <c r="ABU2198" s="10"/>
      <c r="ABV2198" s="10"/>
      <c r="ABW2198" s="10"/>
      <c r="ABX2198" s="10"/>
      <c r="ABY2198" s="10"/>
      <c r="ABZ2198" s="10"/>
      <c r="ACA2198" s="10"/>
      <c r="ACB2198" s="10"/>
      <c r="ACC2198" s="10"/>
      <c r="ACD2198" s="10"/>
      <c r="ACE2198" s="10"/>
      <c r="ACF2198" s="10"/>
      <c r="ACG2198" s="10"/>
      <c r="ACH2198" s="10"/>
      <c r="ACI2198" s="10"/>
      <c r="ACJ2198" s="10"/>
      <c r="ACK2198" s="10"/>
      <c r="ACL2198" s="10"/>
      <c r="ACM2198" s="10"/>
      <c r="ACN2198" s="10"/>
      <c r="ACO2198" s="10"/>
      <c r="ACP2198" s="10"/>
      <c r="ACQ2198" s="10"/>
      <c r="ACR2198" s="10"/>
      <c r="ACS2198" s="10"/>
      <c r="ACT2198" s="10"/>
      <c r="ACU2198" s="10"/>
      <c r="ACV2198" s="10"/>
      <c r="ACW2198" s="10"/>
      <c r="ACX2198" s="10"/>
      <c r="ACY2198" s="10"/>
      <c r="ACZ2198" s="10"/>
      <c r="ADA2198" s="10"/>
      <c r="ADB2198" s="10"/>
      <c r="ADC2198" s="10"/>
      <c r="ADD2198" s="10"/>
      <c r="ADE2198" s="10"/>
      <c r="ADF2198" s="10"/>
      <c r="ADG2198" s="10"/>
      <c r="ADH2198" s="10"/>
      <c r="ADI2198" s="10"/>
      <c r="ADJ2198" s="10"/>
      <c r="ADK2198" s="10"/>
      <c r="ADL2198" s="10"/>
      <c r="ADM2198" s="10"/>
      <c r="ADN2198" s="10"/>
      <c r="ADO2198" s="10"/>
      <c r="ADP2198" s="10"/>
      <c r="ADQ2198" s="10"/>
      <c r="ADR2198" s="10"/>
      <c r="ADS2198" s="10"/>
      <c r="ADT2198" s="10"/>
      <c r="ADU2198" s="10"/>
      <c r="ADV2198" s="10"/>
      <c r="ADW2198" s="10"/>
      <c r="ADX2198" s="10"/>
      <c r="ADY2198" s="10"/>
      <c r="ADZ2198" s="10"/>
      <c r="AEA2198" s="10"/>
      <c r="AEB2198" s="10"/>
      <c r="AEC2198" s="10"/>
      <c r="AED2198" s="10"/>
      <c r="AEE2198" s="10"/>
      <c r="AEF2198" s="10"/>
      <c r="AEG2198" s="10"/>
      <c r="AEH2198" s="10"/>
      <c r="AEI2198" s="10"/>
      <c r="AEJ2198" s="10"/>
      <c r="AEK2198" s="10"/>
      <c r="AEL2198" s="10"/>
      <c r="AEM2198" s="10"/>
      <c r="AEN2198" s="10"/>
      <c r="AEO2198" s="10"/>
      <c r="AEP2198" s="10"/>
      <c r="AEQ2198" s="10"/>
      <c r="AER2198" s="10"/>
      <c r="AES2198" s="10"/>
      <c r="AET2198" s="10"/>
      <c r="AEU2198" s="10"/>
      <c r="AEV2198" s="10"/>
      <c r="AEW2198" s="10"/>
      <c r="AEX2198" s="10"/>
      <c r="AEY2198" s="10"/>
      <c r="AEZ2198" s="10"/>
      <c r="AFA2198" s="10"/>
      <c r="AFB2198" s="10"/>
      <c r="AFC2198" s="10"/>
      <c r="AFD2198" s="10"/>
      <c r="AFE2198" s="10"/>
      <c r="AFF2198" s="10"/>
      <c r="AFG2198" s="10"/>
      <c r="AFH2198" s="10"/>
      <c r="AFI2198" s="10"/>
      <c r="AFJ2198" s="10"/>
      <c r="AFK2198" s="10"/>
      <c r="AFL2198" s="10"/>
      <c r="AFM2198" s="10"/>
      <c r="AFN2198" s="10"/>
      <c r="AFO2198" s="10"/>
      <c r="AFP2198" s="10"/>
      <c r="AFQ2198" s="10"/>
      <c r="AFR2198" s="10"/>
      <c r="AFS2198" s="10"/>
      <c r="AFT2198" s="10"/>
      <c r="AFU2198" s="10"/>
      <c r="AFV2198" s="10"/>
      <c r="AFW2198" s="10"/>
      <c r="AFX2198" s="10"/>
      <c r="AFY2198" s="10"/>
      <c r="AFZ2198" s="10"/>
      <c r="AGA2198" s="10"/>
      <c r="AGB2198" s="10"/>
      <c r="AGC2198" s="10"/>
      <c r="AGD2198" s="10"/>
      <c r="AGE2198" s="10"/>
      <c r="AGF2198" s="10"/>
      <c r="AGG2198" s="10"/>
      <c r="AGH2198" s="10"/>
      <c r="AGI2198" s="10"/>
      <c r="AGJ2198" s="10"/>
      <c r="AGK2198" s="10"/>
      <c r="AGL2198" s="10"/>
      <c r="AGM2198" s="10"/>
      <c r="AGN2198" s="10"/>
      <c r="AGO2198" s="10"/>
      <c r="AGP2198" s="10"/>
      <c r="AGQ2198" s="10"/>
      <c r="AGR2198" s="10"/>
      <c r="AGS2198" s="10"/>
      <c r="AGT2198" s="10"/>
      <c r="AGU2198" s="10"/>
      <c r="AGV2198" s="10"/>
      <c r="AGW2198" s="10"/>
      <c r="AGX2198" s="10"/>
      <c r="AGY2198" s="10"/>
      <c r="AGZ2198" s="10"/>
      <c r="AHA2198" s="10"/>
      <c r="AHB2198" s="10"/>
      <c r="AHC2198" s="10"/>
      <c r="AHD2198" s="10"/>
      <c r="AHE2198" s="10"/>
      <c r="AHF2198" s="10"/>
      <c r="AHG2198" s="10"/>
      <c r="AHH2198" s="10"/>
      <c r="AHI2198" s="10"/>
      <c r="AHJ2198" s="10"/>
      <c r="AHK2198" s="10"/>
      <c r="AHL2198" s="10"/>
      <c r="AHM2198" s="10"/>
      <c r="AHN2198" s="10"/>
      <c r="AHO2198" s="10"/>
      <c r="AHP2198" s="10"/>
      <c r="AHQ2198" s="10"/>
      <c r="AHR2198" s="10"/>
      <c r="AHS2198" s="10"/>
      <c r="AHT2198" s="10"/>
      <c r="AHU2198" s="10"/>
      <c r="AHV2198" s="10"/>
      <c r="AHW2198" s="10"/>
      <c r="AHX2198" s="10"/>
      <c r="AHY2198" s="10"/>
      <c r="AHZ2198" s="10"/>
      <c r="AIA2198" s="10"/>
      <c r="AIB2198" s="10"/>
      <c r="AIC2198" s="10"/>
      <c r="AID2198" s="10"/>
      <c r="AIE2198" s="10"/>
      <c r="AIF2198" s="10"/>
      <c r="AIG2198" s="10"/>
      <c r="AIH2198" s="10"/>
      <c r="AII2198" s="10"/>
      <c r="AIJ2198" s="10"/>
      <c r="AIK2198" s="10"/>
      <c r="AIL2198" s="10"/>
      <c r="AIM2198" s="10"/>
      <c r="AIN2198" s="10"/>
      <c r="AIO2198" s="10"/>
      <c r="AIP2198" s="10"/>
      <c r="AIQ2198" s="10"/>
      <c r="AIR2198" s="10"/>
      <c r="AIS2198" s="10"/>
      <c r="AIT2198" s="10"/>
      <c r="AIU2198" s="10"/>
      <c r="AIV2198" s="10"/>
      <c r="AIW2198" s="10"/>
      <c r="AIX2198" s="10"/>
      <c r="AIY2198" s="10"/>
      <c r="AIZ2198" s="10"/>
      <c r="AJA2198" s="10"/>
      <c r="AJB2198" s="10"/>
      <c r="AJC2198" s="10"/>
      <c r="AJD2198" s="10"/>
      <c r="AJE2198" s="10"/>
      <c r="AJF2198" s="10"/>
      <c r="AJG2198" s="10"/>
      <c r="AJH2198" s="10"/>
      <c r="AJI2198" s="10"/>
      <c r="AJJ2198" s="10"/>
      <c r="AJK2198" s="10"/>
      <c r="AJL2198" s="10"/>
      <c r="AJM2198" s="10"/>
      <c r="AJN2198" s="10"/>
      <c r="AJO2198" s="10"/>
      <c r="AJP2198" s="10"/>
      <c r="AJQ2198" s="10"/>
      <c r="AJR2198" s="10"/>
      <c r="AJS2198" s="10"/>
      <c r="AJT2198" s="10"/>
      <c r="AJU2198" s="10"/>
      <c r="AJV2198" s="10"/>
      <c r="AJW2198" s="10"/>
      <c r="AJX2198" s="10"/>
      <c r="AJY2198" s="10"/>
      <c r="AJZ2198" s="10"/>
      <c r="AKA2198" s="10"/>
      <c r="AKB2198" s="10"/>
      <c r="AKC2198" s="10"/>
      <c r="AKD2198" s="10"/>
      <c r="AKE2198" s="10"/>
      <c r="AKF2198" s="10"/>
      <c r="AKG2198" s="10"/>
      <c r="AKH2198" s="10"/>
      <c r="AKI2198" s="10"/>
      <c r="AKJ2198" s="10"/>
      <c r="AKK2198" s="10"/>
      <c r="AKL2198" s="10"/>
      <c r="AKM2198" s="10"/>
      <c r="AKN2198" s="10"/>
      <c r="AKO2198" s="10"/>
      <c r="AKP2198" s="10"/>
      <c r="AKQ2198" s="10"/>
      <c r="AKR2198" s="10"/>
      <c r="AKS2198" s="10"/>
      <c r="AKT2198" s="10"/>
      <c r="AKU2198" s="10"/>
      <c r="AKV2198" s="10"/>
      <c r="AKW2198" s="10"/>
      <c r="AKX2198" s="10"/>
      <c r="AKY2198" s="10"/>
      <c r="AKZ2198" s="10"/>
      <c r="ALA2198" s="10"/>
      <c r="ALB2198" s="10"/>
      <c r="ALC2198" s="10"/>
      <c r="ALD2198" s="10"/>
      <c r="ALE2198" s="10"/>
      <c r="ALF2198" s="10"/>
      <c r="ALG2198" s="10"/>
      <c r="ALH2198" s="10"/>
      <c r="ALI2198" s="10"/>
      <c r="ALJ2198" s="10"/>
      <c r="ALK2198" s="10"/>
      <c r="ALL2198" s="10"/>
      <c r="ALM2198" s="10"/>
      <c r="ALN2198" s="10"/>
      <c r="ALO2198" s="10"/>
      <c r="ALP2198" s="10"/>
      <c r="ALQ2198" s="10"/>
      <c r="ALR2198" s="10"/>
      <c r="ALS2198" s="10"/>
      <c r="ALT2198" s="10"/>
      <c r="ALU2198" s="10"/>
      <c r="ALV2198" s="10"/>
      <c r="ALW2198" s="10"/>
      <c r="ALX2198" s="10"/>
      <c r="ALY2198" s="10"/>
      <c r="ALZ2198" s="10"/>
      <c r="AMA2198" s="10"/>
      <c r="AMB2198" s="10"/>
      <c r="AMC2198" s="10"/>
      <c r="AMD2198" s="10"/>
      <c r="AME2198" s="10"/>
      <c r="AMF2198" s="10"/>
      <c r="AMG2198" s="10"/>
      <c r="AMH2198" s="10"/>
      <c r="AMI2198" s="10"/>
      <c r="AMJ2198" s="10"/>
      <c r="AMK2198" s="10"/>
      <c r="AML2198" s="10"/>
      <c r="AMM2198" s="10"/>
      <c r="AMN2198" s="10"/>
      <c r="AMO2198" s="10"/>
      <c r="AMP2198" s="10"/>
      <c r="AMQ2198" s="10"/>
      <c r="AMR2198" s="10"/>
      <c r="AMS2198" s="10"/>
      <c r="AMT2198" s="10"/>
      <c r="AMU2198" s="10"/>
      <c r="AMV2198" s="10"/>
      <c r="AMW2198" s="10"/>
      <c r="AMX2198" s="10"/>
      <c r="AMY2198" s="10"/>
      <c r="AMZ2198" s="10"/>
      <c r="ANA2198" s="10"/>
      <c r="ANB2198" s="10"/>
      <c r="ANC2198" s="10"/>
      <c r="AND2198" s="10"/>
      <c r="ANE2198" s="10"/>
      <c r="ANF2198" s="10"/>
      <c r="ANG2198" s="10"/>
      <c r="ANH2198" s="10"/>
      <c r="ANI2198" s="10"/>
      <c r="ANJ2198" s="10"/>
      <c r="ANK2198" s="10"/>
      <c r="ANL2198" s="10"/>
      <c r="ANM2198" s="10"/>
      <c r="ANN2198" s="10"/>
      <c r="ANO2198" s="10"/>
      <c r="ANP2198" s="10"/>
      <c r="ANQ2198" s="10"/>
      <c r="ANR2198" s="10"/>
      <c r="ANS2198" s="10"/>
      <c r="ANT2198" s="10"/>
      <c r="ANU2198" s="10"/>
      <c r="ANV2198" s="10"/>
      <c r="ANW2198" s="10"/>
      <c r="ANX2198" s="10"/>
      <c r="ANY2198" s="10"/>
      <c r="ANZ2198" s="10"/>
      <c r="AOA2198" s="10"/>
      <c r="AOB2198" s="10"/>
      <c r="AOC2198" s="10"/>
      <c r="AOD2198" s="10"/>
      <c r="AOE2198" s="10"/>
      <c r="AOF2198" s="10"/>
      <c r="AOG2198" s="10"/>
      <c r="AOH2198" s="10"/>
      <c r="AOI2198" s="10"/>
      <c r="AOJ2198" s="10"/>
      <c r="AOK2198" s="10"/>
      <c r="AOL2198" s="10"/>
      <c r="AOM2198" s="10"/>
      <c r="AON2198" s="10"/>
      <c r="AOO2198" s="10"/>
      <c r="AOP2198" s="10"/>
      <c r="AOQ2198" s="10"/>
      <c r="AOR2198" s="10"/>
      <c r="AOS2198" s="10"/>
      <c r="AOT2198" s="10"/>
      <c r="AOU2198" s="10"/>
      <c r="AOV2198" s="10"/>
      <c r="AOW2198" s="10"/>
      <c r="AOX2198" s="10"/>
      <c r="AOY2198" s="10"/>
      <c r="AOZ2198" s="10"/>
      <c r="APA2198" s="10"/>
      <c r="APB2198" s="10"/>
      <c r="APC2198" s="10"/>
      <c r="APD2198" s="10"/>
      <c r="APE2198" s="10"/>
      <c r="APF2198" s="10"/>
      <c r="APG2198" s="10"/>
      <c r="APH2198" s="10"/>
      <c r="API2198" s="10"/>
      <c r="APJ2198" s="10"/>
      <c r="APK2198" s="10"/>
      <c r="APL2198" s="10"/>
      <c r="APM2198" s="10"/>
      <c r="APN2198" s="10"/>
      <c r="APO2198" s="10"/>
      <c r="APP2198" s="10"/>
      <c r="APQ2198" s="10"/>
      <c r="APR2198" s="10"/>
      <c r="APS2198" s="10"/>
      <c r="APT2198" s="10"/>
      <c r="APU2198" s="10"/>
      <c r="APV2198" s="10"/>
      <c r="APW2198" s="10"/>
      <c r="APX2198" s="10"/>
      <c r="APY2198" s="10"/>
      <c r="APZ2198" s="10"/>
      <c r="AQA2198" s="10"/>
      <c r="AQB2198" s="10"/>
      <c r="AQC2198" s="10"/>
      <c r="AQD2198" s="10"/>
      <c r="AQE2198" s="10"/>
      <c r="AQF2198" s="10"/>
      <c r="AQG2198" s="10"/>
      <c r="AQH2198" s="10"/>
      <c r="AQI2198" s="10"/>
      <c r="AQJ2198" s="10"/>
      <c r="AQK2198" s="10"/>
      <c r="AQL2198" s="10"/>
      <c r="AQM2198" s="10"/>
      <c r="AQN2198" s="10"/>
      <c r="AQO2198" s="10"/>
      <c r="AQP2198" s="10"/>
      <c r="AQQ2198" s="10"/>
      <c r="AQR2198" s="10"/>
      <c r="AQS2198" s="10"/>
      <c r="AQT2198" s="10"/>
      <c r="AQU2198" s="10"/>
      <c r="AQV2198" s="10"/>
      <c r="AQW2198" s="10"/>
      <c r="AQX2198" s="10"/>
      <c r="AQY2198" s="10"/>
      <c r="AQZ2198" s="10"/>
      <c r="ARA2198" s="10"/>
      <c r="ARB2198" s="10"/>
      <c r="ARC2198" s="10"/>
      <c r="ARD2198" s="10"/>
      <c r="ARE2198" s="10"/>
      <c r="ARF2198" s="10"/>
      <c r="ARG2198" s="10"/>
      <c r="ARH2198" s="10"/>
      <c r="ARI2198" s="10"/>
      <c r="ARJ2198" s="10"/>
      <c r="ARK2198" s="10"/>
      <c r="ARL2198" s="10"/>
      <c r="ARM2198" s="10"/>
      <c r="ARN2198" s="10"/>
      <c r="ARO2198" s="10"/>
      <c r="ARP2198" s="10"/>
      <c r="ARQ2198" s="10"/>
      <c r="ARR2198" s="10"/>
      <c r="ARS2198" s="10"/>
      <c r="ART2198" s="10"/>
      <c r="ARU2198" s="10"/>
      <c r="ARV2198" s="10"/>
      <c r="ARW2198" s="10"/>
      <c r="ARX2198" s="10"/>
      <c r="ARY2198" s="10"/>
      <c r="ARZ2198" s="10"/>
      <c r="ASA2198" s="10"/>
      <c r="ASB2198" s="10"/>
      <c r="ASC2198" s="10"/>
      <c r="ASD2198" s="10"/>
      <c r="ASE2198" s="10"/>
      <c r="ASF2198" s="10"/>
      <c r="ASG2198" s="10"/>
      <c r="ASH2198" s="10"/>
      <c r="ASI2198" s="10"/>
      <c r="ASJ2198" s="10"/>
      <c r="ASK2198" s="10"/>
      <c r="ASL2198" s="10"/>
      <c r="ASM2198" s="10"/>
      <c r="ASN2198" s="10"/>
      <c r="ASO2198" s="10"/>
      <c r="ASP2198" s="10"/>
      <c r="ASQ2198" s="10"/>
      <c r="ASR2198" s="10"/>
      <c r="ASS2198" s="10"/>
      <c r="AST2198" s="10"/>
      <c r="ASU2198" s="10"/>
      <c r="ASV2198" s="10"/>
      <c r="ASW2198" s="10"/>
      <c r="ASX2198" s="10"/>
      <c r="ASY2198" s="10"/>
      <c r="ASZ2198" s="10"/>
      <c r="ATA2198" s="10"/>
      <c r="ATB2198" s="10"/>
      <c r="ATC2198" s="10"/>
      <c r="ATD2198" s="10"/>
      <c r="ATE2198" s="10"/>
      <c r="ATF2198" s="10"/>
      <c r="ATG2198" s="10"/>
      <c r="ATH2198" s="10"/>
      <c r="ATI2198" s="10"/>
      <c r="ATJ2198" s="10"/>
      <c r="ATK2198" s="10"/>
      <c r="ATL2198" s="10"/>
      <c r="ATM2198" s="10"/>
      <c r="ATN2198" s="10"/>
      <c r="ATO2198" s="10"/>
      <c r="ATP2198" s="10"/>
      <c r="ATQ2198" s="10"/>
      <c r="ATR2198" s="10"/>
      <c r="ATS2198" s="10"/>
      <c r="ATT2198" s="10"/>
      <c r="ATU2198" s="10"/>
      <c r="ATV2198" s="10"/>
      <c r="ATW2198" s="10"/>
      <c r="ATX2198" s="10"/>
      <c r="ATY2198" s="10"/>
      <c r="ATZ2198" s="10"/>
      <c r="AUA2198" s="10"/>
      <c r="AUB2198" s="10"/>
      <c r="AUC2198" s="10"/>
      <c r="AUD2198" s="10"/>
      <c r="AUE2198" s="10"/>
      <c r="AUF2198" s="10"/>
      <c r="AUG2198" s="10"/>
      <c r="AUH2198" s="10"/>
      <c r="AUI2198" s="10"/>
      <c r="AUJ2198" s="10"/>
      <c r="AUK2198" s="10"/>
      <c r="AUL2198" s="10"/>
      <c r="AUM2198" s="10"/>
      <c r="AUN2198" s="10"/>
      <c r="AUO2198" s="10"/>
      <c r="AUP2198" s="10"/>
      <c r="AUQ2198" s="10"/>
      <c r="AUR2198" s="10"/>
      <c r="AUS2198" s="10"/>
      <c r="AUT2198" s="10"/>
      <c r="AUU2198" s="10"/>
      <c r="AUV2198" s="10"/>
      <c r="AUW2198" s="10"/>
      <c r="AUX2198" s="10"/>
      <c r="AUY2198" s="10"/>
      <c r="AUZ2198" s="10"/>
      <c r="AVA2198" s="10"/>
      <c r="AVB2198" s="10"/>
      <c r="AVC2198" s="10"/>
      <c r="AVD2198" s="10"/>
      <c r="AVE2198" s="10"/>
      <c r="AVF2198" s="10"/>
      <c r="AVG2198" s="10"/>
      <c r="AVH2198" s="10"/>
      <c r="AVI2198" s="10"/>
      <c r="AVJ2198" s="10"/>
      <c r="AVK2198" s="10"/>
      <c r="AVL2198" s="10"/>
      <c r="AVM2198" s="10"/>
      <c r="AVN2198" s="10"/>
      <c r="AVO2198" s="10"/>
      <c r="AVP2198" s="10"/>
      <c r="AVQ2198" s="10"/>
      <c r="AVR2198" s="10"/>
      <c r="AVS2198" s="10"/>
      <c r="AVT2198" s="10"/>
      <c r="AVU2198" s="10"/>
      <c r="AVV2198" s="10"/>
      <c r="AVW2198" s="10"/>
      <c r="AVX2198" s="10"/>
      <c r="AVY2198" s="10"/>
      <c r="AVZ2198" s="10"/>
      <c r="AWA2198" s="10"/>
      <c r="AWB2198" s="10"/>
      <c r="AWC2198" s="10"/>
      <c r="AWD2198" s="10"/>
      <c r="AWE2198" s="10"/>
      <c r="AWF2198" s="10"/>
      <c r="AWG2198" s="10"/>
      <c r="AWH2198" s="10"/>
      <c r="AWI2198" s="10"/>
      <c r="AWJ2198" s="10"/>
      <c r="AWK2198" s="10"/>
      <c r="AWL2198" s="10"/>
      <c r="AWM2198" s="10"/>
      <c r="AWN2198" s="10"/>
      <c r="AWO2198" s="10"/>
      <c r="AWP2198" s="10"/>
      <c r="AWQ2198" s="10"/>
      <c r="AWR2198" s="10"/>
      <c r="AWS2198" s="10"/>
      <c r="AWT2198" s="10"/>
      <c r="AWU2198" s="10"/>
      <c r="AWV2198" s="10"/>
      <c r="AWW2198" s="10"/>
      <c r="AWX2198" s="10"/>
      <c r="AWY2198" s="10"/>
      <c r="AWZ2198" s="10"/>
      <c r="AXA2198" s="10"/>
      <c r="AXB2198" s="10"/>
      <c r="AXC2198" s="10"/>
      <c r="AXD2198" s="10"/>
      <c r="AXE2198" s="10"/>
      <c r="AXF2198" s="10"/>
      <c r="AXG2198" s="10"/>
      <c r="AXH2198" s="10"/>
      <c r="AXI2198" s="10"/>
      <c r="AXJ2198" s="10"/>
      <c r="AXK2198" s="10"/>
      <c r="AXL2198" s="10"/>
      <c r="AXM2198" s="10"/>
      <c r="AXN2198" s="10"/>
      <c r="AXO2198" s="10"/>
      <c r="AXP2198" s="10"/>
      <c r="AXQ2198" s="10"/>
      <c r="AXR2198" s="10"/>
      <c r="AXS2198" s="10"/>
      <c r="AXT2198" s="10"/>
      <c r="AXU2198" s="10"/>
      <c r="AXV2198" s="10"/>
      <c r="AXW2198" s="10"/>
      <c r="AXX2198" s="10"/>
      <c r="AXY2198" s="10"/>
      <c r="AXZ2198" s="10"/>
      <c r="AYA2198" s="10"/>
      <c r="AYB2198" s="10"/>
      <c r="AYC2198" s="10"/>
      <c r="AYD2198" s="10"/>
      <c r="AYE2198" s="10"/>
      <c r="AYF2198" s="10"/>
      <c r="AYG2198" s="10"/>
      <c r="AYH2198" s="10"/>
      <c r="AYI2198" s="10"/>
      <c r="AYJ2198" s="10"/>
      <c r="AYK2198" s="10"/>
      <c r="AYL2198" s="10"/>
      <c r="AYM2198" s="10"/>
      <c r="AYN2198" s="10"/>
      <c r="AYO2198" s="10"/>
      <c r="AYP2198" s="10"/>
      <c r="AYQ2198" s="10"/>
      <c r="AYR2198" s="10"/>
      <c r="AYS2198" s="10"/>
      <c r="AYT2198" s="10"/>
      <c r="AYU2198" s="10"/>
      <c r="AYV2198" s="10"/>
      <c r="AYW2198" s="10"/>
      <c r="AYX2198" s="10"/>
      <c r="AYY2198" s="10"/>
      <c r="AYZ2198" s="10"/>
      <c r="AZA2198" s="10"/>
      <c r="AZB2198" s="10"/>
      <c r="AZC2198" s="10"/>
      <c r="AZD2198" s="10"/>
      <c r="AZE2198" s="10"/>
      <c r="AZF2198" s="10"/>
      <c r="AZG2198" s="10"/>
      <c r="AZH2198" s="10"/>
      <c r="AZI2198" s="10"/>
      <c r="AZJ2198" s="10"/>
      <c r="AZK2198" s="10"/>
      <c r="AZL2198" s="10"/>
      <c r="AZM2198" s="10"/>
      <c r="AZN2198" s="10"/>
      <c r="AZO2198" s="10"/>
      <c r="AZP2198" s="10"/>
      <c r="AZQ2198" s="10"/>
      <c r="AZR2198" s="10"/>
      <c r="AZS2198" s="10"/>
      <c r="AZT2198" s="10"/>
      <c r="AZU2198" s="10"/>
      <c r="AZV2198" s="10"/>
      <c r="AZW2198" s="10"/>
      <c r="AZX2198" s="10"/>
      <c r="AZY2198" s="10"/>
      <c r="AZZ2198" s="10"/>
      <c r="BAA2198" s="10"/>
      <c r="BAB2198" s="10"/>
      <c r="BAC2198" s="10"/>
      <c r="BAD2198" s="10"/>
      <c r="BAE2198" s="10"/>
      <c r="BAF2198" s="10"/>
      <c r="BAG2198" s="10"/>
      <c r="BAH2198" s="10"/>
      <c r="BAI2198" s="10"/>
      <c r="BAJ2198" s="10"/>
      <c r="BAK2198" s="10"/>
      <c r="BAL2198" s="10"/>
      <c r="BAM2198" s="10"/>
      <c r="BAN2198" s="10"/>
      <c r="BAO2198" s="10"/>
      <c r="BAP2198" s="10"/>
      <c r="BAQ2198" s="10"/>
      <c r="BAR2198" s="10"/>
      <c r="BAS2198" s="10"/>
      <c r="BAT2198" s="10"/>
      <c r="BAU2198" s="10"/>
      <c r="BAV2198" s="10"/>
      <c r="BAW2198" s="10"/>
      <c r="BAX2198" s="10"/>
      <c r="BAY2198" s="10"/>
      <c r="BAZ2198" s="10"/>
      <c r="BBA2198" s="10"/>
      <c r="BBB2198" s="10"/>
      <c r="BBC2198" s="10"/>
      <c r="BBD2198" s="10"/>
      <c r="BBE2198" s="10"/>
      <c r="BBF2198" s="10"/>
      <c r="BBG2198" s="10"/>
      <c r="BBH2198" s="10"/>
      <c r="BBI2198" s="10"/>
      <c r="BBJ2198" s="10"/>
      <c r="BBK2198" s="10"/>
      <c r="BBL2198" s="10"/>
      <c r="BBM2198" s="10"/>
      <c r="BBN2198" s="10"/>
      <c r="BBO2198" s="10"/>
      <c r="BBP2198" s="10"/>
      <c r="BBQ2198" s="10"/>
      <c r="BBR2198" s="10"/>
      <c r="BBS2198" s="10"/>
      <c r="BBT2198" s="10"/>
      <c r="BBU2198" s="10"/>
      <c r="BBV2198" s="10"/>
      <c r="BBW2198" s="10"/>
      <c r="BBX2198" s="10"/>
      <c r="BBY2198" s="10"/>
      <c r="BBZ2198" s="10"/>
      <c r="BCA2198" s="10"/>
      <c r="BCB2198" s="10"/>
      <c r="BCC2198" s="10"/>
      <c r="BCD2198" s="10"/>
      <c r="BCE2198" s="10"/>
      <c r="BCF2198" s="10"/>
      <c r="BCG2198" s="10"/>
      <c r="BCH2198" s="10"/>
      <c r="BCI2198" s="10"/>
      <c r="BCJ2198" s="10"/>
      <c r="BCK2198" s="10"/>
      <c r="BCL2198" s="10"/>
      <c r="BCM2198" s="10"/>
      <c r="BCN2198" s="10"/>
      <c r="BCO2198" s="10"/>
      <c r="BCP2198" s="10"/>
      <c r="BCQ2198" s="10"/>
      <c r="BCR2198" s="10"/>
      <c r="BCS2198" s="10"/>
      <c r="BCT2198" s="10"/>
      <c r="BCU2198" s="10"/>
      <c r="BCV2198" s="10"/>
      <c r="BCW2198" s="10"/>
      <c r="BCX2198" s="10"/>
      <c r="BCY2198" s="10"/>
      <c r="BCZ2198" s="10"/>
      <c r="BDA2198" s="10"/>
      <c r="BDB2198" s="10"/>
      <c r="BDC2198" s="10"/>
      <c r="BDD2198" s="10"/>
      <c r="BDE2198" s="10"/>
      <c r="BDF2198" s="10"/>
      <c r="BDG2198" s="10"/>
      <c r="BDH2198" s="10"/>
      <c r="BDI2198" s="10"/>
      <c r="BDJ2198" s="10"/>
      <c r="BDK2198" s="10"/>
      <c r="BDL2198" s="10"/>
      <c r="BDM2198" s="10"/>
      <c r="BDN2198" s="10"/>
      <c r="BDO2198" s="10"/>
      <c r="BDP2198" s="10"/>
      <c r="BDQ2198" s="10"/>
      <c r="BDR2198" s="10"/>
      <c r="BDS2198" s="10"/>
      <c r="BDT2198" s="10"/>
      <c r="BDU2198" s="10"/>
      <c r="BDV2198" s="10"/>
      <c r="BDW2198" s="10"/>
      <c r="BDX2198" s="10"/>
      <c r="BDY2198" s="10"/>
      <c r="BDZ2198" s="10"/>
      <c r="BEA2198" s="10"/>
      <c r="BEB2198" s="10"/>
      <c r="BEC2198" s="10"/>
      <c r="BED2198" s="10"/>
      <c r="BEE2198" s="10"/>
      <c r="BEF2198" s="10"/>
      <c r="BEG2198" s="10"/>
      <c r="BEH2198" s="10"/>
      <c r="BEI2198" s="10"/>
      <c r="BEJ2198" s="10"/>
      <c r="BEK2198" s="10"/>
      <c r="BEL2198" s="10"/>
      <c r="BEM2198" s="10"/>
      <c r="BEN2198" s="10"/>
      <c r="BEO2198" s="10"/>
      <c r="BEP2198" s="10"/>
      <c r="BEQ2198" s="10"/>
      <c r="BER2198" s="10"/>
      <c r="BES2198" s="10"/>
      <c r="BET2198" s="10"/>
      <c r="BEU2198" s="10"/>
      <c r="BEV2198" s="10"/>
      <c r="BEW2198" s="10"/>
      <c r="BEX2198" s="10"/>
      <c r="BEY2198" s="10"/>
      <c r="BEZ2198" s="10"/>
      <c r="BFA2198" s="10"/>
      <c r="BFB2198" s="10"/>
      <c r="BFC2198" s="10"/>
      <c r="BFD2198" s="10"/>
      <c r="BFE2198" s="10"/>
      <c r="BFF2198" s="10"/>
      <c r="BFG2198" s="10"/>
      <c r="BFH2198" s="10"/>
      <c r="BFI2198" s="10"/>
      <c r="BFJ2198" s="10"/>
      <c r="BFK2198" s="10"/>
      <c r="BFL2198" s="10"/>
      <c r="BFM2198" s="10"/>
      <c r="BFN2198" s="10"/>
      <c r="BFO2198" s="10"/>
      <c r="BFP2198" s="10"/>
      <c r="BFQ2198" s="10"/>
      <c r="BFR2198" s="10"/>
      <c r="BFS2198" s="10"/>
      <c r="BFT2198" s="10"/>
      <c r="BFU2198" s="10"/>
      <c r="BFV2198" s="10"/>
      <c r="BFW2198" s="10"/>
      <c r="BFX2198" s="10"/>
      <c r="BFY2198" s="10"/>
      <c r="BFZ2198" s="10"/>
      <c r="BGA2198" s="10"/>
      <c r="BGB2198" s="10"/>
      <c r="BGC2198" s="10"/>
      <c r="BGD2198" s="10"/>
      <c r="BGE2198" s="10"/>
      <c r="BGF2198" s="10"/>
      <c r="BGG2198" s="10"/>
      <c r="BGH2198" s="10"/>
      <c r="BGI2198" s="10"/>
      <c r="BGJ2198" s="10"/>
      <c r="BGK2198" s="10"/>
      <c r="BGL2198" s="10"/>
      <c r="BGM2198" s="10"/>
      <c r="BGN2198" s="10"/>
      <c r="BGO2198" s="10"/>
      <c r="BGP2198" s="10"/>
      <c r="BGQ2198" s="10"/>
      <c r="BGR2198" s="10"/>
      <c r="BGS2198" s="10"/>
      <c r="BGT2198" s="10"/>
      <c r="BGU2198" s="10"/>
      <c r="BGV2198" s="10"/>
      <c r="BGW2198" s="10"/>
      <c r="BGX2198" s="10"/>
      <c r="BGY2198" s="10"/>
      <c r="BGZ2198" s="10"/>
      <c r="BHA2198" s="10"/>
      <c r="BHB2198" s="10"/>
      <c r="BHC2198" s="10"/>
      <c r="BHD2198" s="10"/>
      <c r="BHE2198" s="10"/>
      <c r="BHF2198" s="10"/>
      <c r="BHG2198" s="10"/>
      <c r="BHH2198" s="10"/>
      <c r="BHI2198" s="10"/>
      <c r="BHJ2198" s="10"/>
      <c r="BHK2198" s="10"/>
      <c r="BHL2198" s="10"/>
      <c r="BHM2198" s="10"/>
      <c r="BHN2198" s="10"/>
      <c r="BHO2198" s="10"/>
      <c r="BHP2198" s="10"/>
      <c r="BHQ2198" s="10"/>
      <c r="BHR2198" s="10"/>
      <c r="BHS2198" s="10"/>
      <c r="BHT2198" s="10"/>
      <c r="BHU2198" s="10"/>
      <c r="BHV2198" s="10"/>
      <c r="BHW2198" s="10"/>
      <c r="BHX2198" s="10"/>
      <c r="BHY2198" s="10"/>
      <c r="BHZ2198" s="10"/>
      <c r="BIA2198" s="10"/>
      <c r="BIB2198" s="10"/>
      <c r="BIC2198" s="10"/>
      <c r="BID2198" s="10"/>
      <c r="BIE2198" s="10"/>
      <c r="BIF2198" s="10"/>
      <c r="BIG2198" s="10"/>
      <c r="BIH2198" s="10"/>
      <c r="BII2198" s="10"/>
      <c r="BIJ2198" s="10"/>
      <c r="BIK2198" s="10"/>
      <c r="BIL2198" s="10"/>
      <c r="BIM2198" s="10"/>
      <c r="BIN2198" s="10"/>
      <c r="BIO2198" s="10"/>
      <c r="BIP2198" s="10"/>
      <c r="BIQ2198" s="10"/>
      <c r="BIR2198" s="10"/>
      <c r="BIS2198" s="10"/>
      <c r="BIT2198" s="10"/>
      <c r="BIU2198" s="10"/>
      <c r="BIV2198" s="10"/>
      <c r="BIW2198" s="10"/>
      <c r="BIX2198" s="10"/>
      <c r="BIY2198" s="10"/>
      <c r="BIZ2198" s="10"/>
      <c r="BJA2198" s="10"/>
      <c r="BJB2198" s="10"/>
      <c r="BJC2198" s="10"/>
      <c r="BJD2198" s="10"/>
      <c r="BJE2198" s="10"/>
      <c r="BJF2198" s="10"/>
      <c r="BJG2198" s="10"/>
      <c r="BJH2198" s="10"/>
      <c r="BJI2198" s="10"/>
      <c r="BJJ2198" s="10"/>
      <c r="BJK2198" s="10"/>
      <c r="BJL2198" s="10"/>
      <c r="BJM2198" s="10"/>
      <c r="BJN2198" s="10"/>
      <c r="BJO2198" s="10"/>
      <c r="BJP2198" s="10"/>
      <c r="BJQ2198" s="10"/>
      <c r="BJR2198" s="10"/>
      <c r="BJS2198" s="10"/>
      <c r="BJT2198" s="10"/>
      <c r="BJU2198" s="10"/>
      <c r="BJV2198" s="10"/>
      <c r="BJW2198" s="10"/>
      <c r="BJX2198" s="10"/>
      <c r="BJY2198" s="10"/>
      <c r="BJZ2198" s="10"/>
      <c r="BKA2198" s="10"/>
      <c r="BKB2198" s="10"/>
      <c r="BKC2198" s="10"/>
      <c r="BKD2198" s="10"/>
      <c r="BKE2198" s="10"/>
      <c r="BKF2198" s="10"/>
      <c r="BKG2198" s="10"/>
      <c r="BKH2198" s="10"/>
      <c r="BKI2198" s="10"/>
      <c r="BKJ2198" s="10"/>
      <c r="BKK2198" s="10"/>
      <c r="BKL2198" s="10"/>
      <c r="BKM2198" s="10"/>
      <c r="BKN2198" s="10"/>
      <c r="BKO2198" s="10"/>
      <c r="BKP2198" s="10"/>
      <c r="BKQ2198" s="10"/>
      <c r="BKR2198" s="10"/>
      <c r="BKS2198" s="10"/>
      <c r="BKT2198" s="10"/>
      <c r="BKU2198" s="10"/>
      <c r="BKV2198" s="10"/>
      <c r="BKW2198" s="10"/>
      <c r="BKX2198" s="10"/>
      <c r="BKY2198" s="10"/>
      <c r="BKZ2198" s="10"/>
      <c r="BLA2198" s="10"/>
      <c r="BLB2198" s="10"/>
      <c r="BLC2198" s="10"/>
      <c r="BLD2198" s="10"/>
      <c r="BLE2198" s="10"/>
      <c r="BLF2198" s="10"/>
      <c r="BLG2198" s="10"/>
      <c r="BLH2198" s="10"/>
      <c r="BLI2198" s="10"/>
      <c r="BLJ2198" s="10"/>
      <c r="BLK2198" s="10"/>
      <c r="BLL2198" s="10"/>
      <c r="BLM2198" s="10"/>
      <c r="BLN2198" s="10"/>
      <c r="BLO2198" s="10"/>
      <c r="BLP2198" s="10"/>
      <c r="BLQ2198" s="10"/>
      <c r="BLR2198" s="10"/>
      <c r="BLS2198" s="10"/>
      <c r="BLT2198" s="10"/>
      <c r="BLU2198" s="10"/>
      <c r="BLV2198" s="10"/>
      <c r="BLW2198" s="10"/>
      <c r="BLX2198" s="10"/>
      <c r="BLY2198" s="10"/>
      <c r="BLZ2198" s="10"/>
      <c r="BMA2198" s="10"/>
      <c r="BMB2198" s="10"/>
      <c r="BMC2198" s="10"/>
      <c r="BMD2198" s="10"/>
      <c r="BME2198" s="10"/>
      <c r="BMF2198" s="10"/>
      <c r="BMG2198" s="10"/>
      <c r="BMH2198" s="10"/>
      <c r="BMI2198" s="10"/>
      <c r="BMJ2198" s="10"/>
      <c r="BMK2198" s="10"/>
      <c r="BML2198" s="10"/>
      <c r="BMM2198" s="10"/>
      <c r="BMN2198" s="10"/>
      <c r="BMO2198" s="10"/>
      <c r="BMP2198" s="10"/>
      <c r="BMQ2198" s="10"/>
      <c r="BMR2198" s="10"/>
      <c r="BMS2198" s="10"/>
      <c r="BMT2198" s="10"/>
      <c r="BMU2198" s="10"/>
      <c r="BMV2198" s="10"/>
      <c r="BMW2198" s="10"/>
      <c r="BMX2198" s="10"/>
      <c r="BMY2198" s="10"/>
      <c r="BMZ2198" s="10"/>
      <c r="BNA2198" s="10"/>
      <c r="BNB2198" s="10"/>
      <c r="BNC2198" s="10"/>
      <c r="BND2198" s="10"/>
      <c r="BNE2198" s="10"/>
      <c r="BNF2198" s="10"/>
      <c r="BNG2198" s="10"/>
      <c r="BNH2198" s="10"/>
      <c r="BNI2198" s="10"/>
      <c r="BNJ2198" s="10"/>
      <c r="BNK2198" s="10"/>
      <c r="BNL2198" s="10"/>
      <c r="BNM2198" s="10"/>
      <c r="BNN2198" s="10"/>
      <c r="BNO2198" s="10"/>
      <c r="BNP2198" s="10"/>
      <c r="BNQ2198" s="10"/>
      <c r="BNR2198" s="10"/>
      <c r="BNS2198" s="10"/>
      <c r="BNT2198" s="10"/>
      <c r="BNU2198" s="10"/>
      <c r="BNV2198" s="10"/>
      <c r="BNW2198" s="10"/>
      <c r="BNX2198" s="10"/>
      <c r="BNY2198" s="10"/>
      <c r="BNZ2198" s="10"/>
      <c r="BOA2198" s="10"/>
      <c r="BOB2198" s="10"/>
      <c r="BOC2198" s="10"/>
      <c r="BOD2198" s="10"/>
      <c r="BOE2198" s="10"/>
      <c r="BOF2198" s="10"/>
      <c r="BOG2198" s="10"/>
      <c r="BOH2198" s="10"/>
      <c r="BOI2198" s="10"/>
      <c r="BOJ2198" s="10"/>
      <c r="BOK2198" s="10"/>
      <c r="BOL2198" s="10"/>
      <c r="BOM2198" s="10"/>
      <c r="BON2198" s="10"/>
      <c r="BOO2198" s="10"/>
      <c r="BOP2198" s="10"/>
      <c r="BOQ2198" s="10"/>
      <c r="BOR2198" s="10"/>
      <c r="BOS2198" s="10"/>
      <c r="BOT2198" s="10"/>
      <c r="BOU2198" s="10"/>
      <c r="BOV2198" s="10"/>
      <c r="BOW2198" s="10"/>
      <c r="BOX2198" s="10"/>
      <c r="BOY2198" s="10"/>
      <c r="BOZ2198" s="10"/>
      <c r="BPA2198" s="10"/>
      <c r="BPB2198" s="10"/>
      <c r="BPC2198" s="10"/>
      <c r="BPD2198" s="10"/>
      <c r="BPE2198" s="10"/>
      <c r="BPF2198" s="10"/>
      <c r="BPG2198" s="10"/>
      <c r="BPH2198" s="10"/>
      <c r="BPI2198" s="10"/>
      <c r="BPJ2198" s="10"/>
      <c r="BPK2198" s="10"/>
      <c r="BPL2198" s="10"/>
      <c r="BPM2198" s="10"/>
      <c r="BPN2198" s="10"/>
      <c r="BPO2198" s="10"/>
      <c r="BPP2198" s="10"/>
      <c r="BPQ2198" s="10"/>
      <c r="BPR2198" s="10"/>
      <c r="BPS2198" s="10"/>
      <c r="BPT2198" s="10"/>
      <c r="BPU2198" s="10"/>
      <c r="BPV2198" s="10"/>
      <c r="BPW2198" s="10"/>
      <c r="BPX2198" s="10"/>
      <c r="BPY2198" s="10"/>
      <c r="BPZ2198" s="10"/>
      <c r="BQA2198" s="10"/>
      <c r="BQB2198" s="10"/>
      <c r="BQC2198" s="10"/>
      <c r="BQD2198" s="10"/>
      <c r="BQE2198" s="10"/>
      <c r="BQF2198" s="10"/>
      <c r="BQG2198" s="10"/>
      <c r="BQH2198" s="10"/>
      <c r="BQI2198" s="10"/>
      <c r="BQJ2198" s="10"/>
      <c r="BQK2198" s="10"/>
      <c r="BQL2198" s="10"/>
      <c r="BQM2198" s="10"/>
      <c r="BQN2198" s="10"/>
      <c r="BQO2198" s="10"/>
      <c r="BQP2198" s="10"/>
      <c r="BQQ2198" s="10"/>
      <c r="BQR2198" s="10"/>
      <c r="BQS2198" s="10"/>
      <c r="BQT2198" s="10"/>
      <c r="BQU2198" s="10"/>
      <c r="BQV2198" s="10"/>
      <c r="BQW2198" s="10"/>
      <c r="BQX2198" s="10"/>
      <c r="BQY2198" s="10"/>
      <c r="BQZ2198" s="10"/>
      <c r="BRA2198" s="10"/>
      <c r="BRB2198" s="10"/>
      <c r="BRC2198" s="10"/>
      <c r="BRD2198" s="10"/>
      <c r="BRE2198" s="10"/>
      <c r="BRF2198" s="10"/>
      <c r="BRG2198" s="10"/>
      <c r="BRH2198" s="10"/>
      <c r="BRI2198" s="10"/>
      <c r="BRJ2198" s="10"/>
      <c r="BRK2198" s="10"/>
      <c r="BRL2198" s="10"/>
      <c r="BRM2198" s="10"/>
      <c r="BRN2198" s="10"/>
      <c r="BRO2198" s="10"/>
      <c r="BRP2198" s="10"/>
      <c r="BRQ2198" s="10"/>
      <c r="BRR2198" s="10"/>
      <c r="BRS2198" s="10"/>
      <c r="BRT2198" s="10"/>
      <c r="BRU2198" s="10"/>
      <c r="BRV2198" s="10"/>
      <c r="BRW2198" s="10"/>
      <c r="BRX2198" s="10"/>
      <c r="BRY2198" s="10"/>
      <c r="BRZ2198" s="10"/>
      <c r="BSA2198" s="10"/>
      <c r="BSB2198" s="10"/>
      <c r="BSC2198" s="10"/>
      <c r="BSD2198" s="10"/>
      <c r="BSE2198" s="10"/>
      <c r="BSF2198" s="10"/>
      <c r="BSG2198" s="10"/>
      <c r="BSH2198" s="10"/>
      <c r="BSI2198" s="10"/>
      <c r="BSJ2198" s="10"/>
      <c r="BSK2198" s="10"/>
      <c r="BSL2198" s="10"/>
      <c r="BSM2198" s="10"/>
      <c r="BSN2198" s="10"/>
      <c r="BSO2198" s="10"/>
      <c r="BSP2198" s="10"/>
      <c r="BSQ2198" s="10"/>
      <c r="BSR2198" s="10"/>
      <c r="BSS2198" s="10"/>
      <c r="BST2198" s="10"/>
      <c r="BSU2198" s="10"/>
      <c r="BSV2198" s="10"/>
      <c r="BSW2198" s="10"/>
      <c r="BSX2198" s="10"/>
      <c r="BSY2198" s="10"/>
      <c r="BSZ2198" s="10"/>
      <c r="BTA2198" s="10"/>
      <c r="BTB2198" s="10"/>
      <c r="BTC2198" s="10"/>
      <c r="BTD2198" s="10"/>
      <c r="BTE2198" s="10"/>
      <c r="BTF2198" s="10"/>
      <c r="BTG2198" s="10"/>
      <c r="BTH2198" s="10"/>
      <c r="BTI2198" s="10"/>
      <c r="BTJ2198" s="10"/>
      <c r="BTK2198" s="10"/>
      <c r="BTL2198" s="10"/>
      <c r="BTM2198" s="10"/>
      <c r="BTN2198" s="10"/>
      <c r="BTO2198" s="10"/>
      <c r="BTP2198" s="10"/>
      <c r="BTQ2198" s="10"/>
      <c r="BTR2198" s="10"/>
      <c r="BTS2198" s="10"/>
      <c r="BTT2198" s="10"/>
      <c r="BTU2198" s="10"/>
      <c r="BTV2198" s="10"/>
      <c r="BTW2198" s="10"/>
      <c r="BTX2198" s="10"/>
      <c r="BTY2198" s="10"/>
      <c r="BTZ2198" s="10"/>
      <c r="BUA2198" s="10"/>
      <c r="BUB2198" s="10"/>
      <c r="BUC2198" s="10"/>
      <c r="BUD2198" s="10"/>
      <c r="BUE2198" s="10"/>
      <c r="BUF2198" s="10"/>
      <c r="BUG2198" s="10"/>
      <c r="BUH2198" s="10"/>
      <c r="BUI2198" s="10"/>
      <c r="BUJ2198" s="10"/>
      <c r="BUK2198" s="10"/>
      <c r="BUL2198" s="10"/>
      <c r="BUM2198" s="10"/>
      <c r="BUN2198" s="10"/>
      <c r="BUO2198" s="10"/>
      <c r="BUP2198" s="10"/>
      <c r="BUQ2198" s="10"/>
      <c r="BUR2198" s="10"/>
      <c r="BUS2198" s="10"/>
      <c r="BUT2198" s="10"/>
      <c r="BUU2198" s="10"/>
      <c r="BUV2198" s="10"/>
      <c r="BUW2198" s="10"/>
      <c r="BUX2198" s="10"/>
      <c r="BUY2198" s="10"/>
      <c r="BUZ2198" s="10"/>
      <c r="BVA2198" s="10"/>
      <c r="BVB2198" s="10"/>
      <c r="BVC2198" s="10"/>
      <c r="BVD2198" s="10"/>
      <c r="BVE2198" s="10"/>
      <c r="BVF2198" s="10"/>
      <c r="BVG2198" s="10"/>
      <c r="BVH2198" s="10"/>
      <c r="BVI2198" s="10"/>
      <c r="BVJ2198" s="10"/>
      <c r="BVK2198" s="10"/>
      <c r="BVL2198" s="10"/>
      <c r="BVM2198" s="10"/>
      <c r="BVN2198" s="10"/>
      <c r="BVO2198" s="10"/>
      <c r="BVP2198" s="10"/>
      <c r="BVQ2198" s="10"/>
      <c r="BVR2198" s="10"/>
      <c r="BVS2198" s="10"/>
      <c r="BVT2198" s="10"/>
      <c r="BVU2198" s="10"/>
      <c r="BVV2198" s="10"/>
      <c r="BVW2198" s="10"/>
      <c r="BVX2198" s="10"/>
      <c r="BVY2198" s="10"/>
      <c r="BVZ2198" s="10"/>
      <c r="BWA2198" s="10"/>
      <c r="BWB2198" s="10"/>
      <c r="BWC2198" s="10"/>
      <c r="BWD2198" s="10"/>
      <c r="BWE2198" s="10"/>
      <c r="BWF2198" s="10"/>
      <c r="BWG2198" s="10"/>
      <c r="BWH2198" s="10"/>
      <c r="BWI2198" s="10"/>
      <c r="BWJ2198" s="10"/>
      <c r="BWK2198" s="10"/>
      <c r="BWL2198" s="10"/>
      <c r="BWM2198" s="10"/>
      <c r="BWN2198" s="10"/>
      <c r="BWO2198" s="10"/>
      <c r="BWP2198" s="10"/>
      <c r="BWQ2198" s="10"/>
      <c r="BWR2198" s="10"/>
      <c r="BWS2198" s="10"/>
      <c r="BWT2198" s="10"/>
      <c r="BWU2198" s="10"/>
      <c r="BWV2198" s="10"/>
      <c r="BWW2198" s="10"/>
      <c r="BWX2198" s="10"/>
      <c r="BWY2198" s="10"/>
      <c r="BWZ2198" s="10"/>
      <c r="BXA2198" s="10"/>
      <c r="BXB2198" s="10"/>
      <c r="BXC2198" s="10"/>
      <c r="BXD2198" s="10"/>
      <c r="BXE2198" s="10"/>
      <c r="BXF2198" s="10"/>
      <c r="BXG2198" s="10"/>
      <c r="BXH2198" s="10"/>
      <c r="BXI2198" s="10"/>
      <c r="BXJ2198" s="10"/>
      <c r="BXK2198" s="10"/>
      <c r="BXL2198" s="10"/>
      <c r="BXM2198" s="10"/>
      <c r="BXN2198" s="10"/>
      <c r="BXO2198" s="10"/>
      <c r="BXP2198" s="10"/>
      <c r="BXQ2198" s="10"/>
      <c r="BXR2198" s="10"/>
      <c r="BXS2198" s="10"/>
      <c r="BXT2198" s="10"/>
      <c r="BXU2198" s="10"/>
      <c r="BXV2198" s="10"/>
      <c r="BXW2198" s="10"/>
      <c r="BXX2198" s="10"/>
      <c r="BXY2198" s="10"/>
      <c r="BXZ2198" s="10"/>
      <c r="BYA2198" s="10"/>
      <c r="BYB2198" s="10"/>
      <c r="BYC2198" s="10"/>
      <c r="BYD2198" s="10"/>
      <c r="BYE2198" s="10"/>
      <c r="BYF2198" s="10"/>
      <c r="BYG2198" s="10"/>
      <c r="BYH2198" s="10"/>
      <c r="BYI2198" s="10"/>
      <c r="BYJ2198" s="10"/>
      <c r="BYK2198" s="10"/>
      <c r="BYL2198" s="10"/>
      <c r="BYM2198" s="10"/>
      <c r="BYN2198" s="10"/>
      <c r="BYO2198" s="10"/>
      <c r="BYP2198" s="10"/>
      <c r="BYQ2198" s="10"/>
      <c r="BYR2198" s="10"/>
      <c r="BYS2198" s="10"/>
      <c r="BYT2198" s="10"/>
      <c r="BYU2198" s="10"/>
      <c r="BYV2198" s="10"/>
      <c r="BYW2198" s="10"/>
      <c r="BYX2198" s="10"/>
      <c r="BYY2198" s="10"/>
      <c r="BYZ2198" s="10"/>
      <c r="BZA2198" s="10"/>
      <c r="BZB2198" s="10"/>
      <c r="BZC2198" s="10"/>
      <c r="BZD2198" s="10"/>
      <c r="BZE2198" s="10"/>
      <c r="BZF2198" s="10"/>
      <c r="BZG2198" s="10"/>
      <c r="BZH2198" s="10"/>
      <c r="BZI2198" s="10"/>
      <c r="BZJ2198" s="10"/>
      <c r="BZK2198" s="10"/>
      <c r="BZL2198" s="10"/>
      <c r="BZM2198" s="10"/>
      <c r="BZN2198" s="10"/>
      <c r="BZO2198" s="10"/>
      <c r="BZP2198" s="10"/>
      <c r="BZQ2198" s="10"/>
      <c r="BZR2198" s="10"/>
      <c r="BZS2198" s="10"/>
      <c r="BZT2198" s="10"/>
      <c r="BZU2198" s="10"/>
      <c r="BZV2198" s="10"/>
      <c r="BZW2198" s="10"/>
      <c r="BZX2198" s="10"/>
      <c r="BZY2198" s="10"/>
      <c r="BZZ2198" s="10"/>
      <c r="CAA2198" s="10"/>
      <c r="CAB2198" s="10"/>
      <c r="CAC2198" s="10"/>
      <c r="CAD2198" s="10"/>
      <c r="CAE2198" s="10"/>
      <c r="CAF2198" s="10"/>
      <c r="CAG2198" s="10"/>
      <c r="CAH2198" s="10"/>
      <c r="CAI2198" s="10"/>
      <c r="CAJ2198" s="10"/>
      <c r="CAK2198" s="10"/>
      <c r="CAL2198" s="10"/>
      <c r="CAM2198" s="10"/>
      <c r="CAN2198" s="10"/>
      <c r="CAO2198" s="10"/>
      <c r="CAP2198" s="10"/>
      <c r="CAQ2198" s="10"/>
      <c r="CAR2198" s="10"/>
      <c r="CAS2198" s="10"/>
      <c r="CAT2198" s="10"/>
      <c r="CAU2198" s="10"/>
      <c r="CAV2198" s="10"/>
      <c r="CAW2198" s="10"/>
      <c r="CAX2198" s="10"/>
      <c r="CAY2198" s="10"/>
      <c r="CAZ2198" s="10"/>
      <c r="CBA2198" s="10"/>
      <c r="CBB2198" s="10"/>
      <c r="CBC2198" s="10"/>
      <c r="CBD2198" s="10"/>
      <c r="CBE2198" s="10"/>
      <c r="CBF2198" s="10"/>
      <c r="CBG2198" s="10"/>
      <c r="CBH2198" s="10"/>
      <c r="CBI2198" s="10"/>
      <c r="CBJ2198" s="10"/>
      <c r="CBK2198" s="10"/>
      <c r="CBL2198" s="10"/>
      <c r="CBM2198" s="10"/>
      <c r="CBN2198" s="10"/>
      <c r="CBO2198" s="10"/>
      <c r="CBP2198" s="10"/>
      <c r="CBQ2198" s="10"/>
      <c r="CBR2198" s="10"/>
      <c r="CBS2198" s="10"/>
      <c r="CBT2198" s="10"/>
      <c r="CBU2198" s="10"/>
      <c r="CBV2198" s="10"/>
      <c r="CBW2198" s="10"/>
      <c r="CBX2198" s="10"/>
      <c r="CBY2198" s="10"/>
      <c r="CBZ2198" s="10"/>
      <c r="CCA2198" s="10"/>
      <c r="CCB2198" s="10"/>
      <c r="CCC2198" s="10"/>
      <c r="CCD2198" s="10"/>
      <c r="CCE2198" s="10"/>
      <c r="CCF2198" s="10"/>
      <c r="CCG2198" s="10"/>
      <c r="CCH2198" s="10"/>
      <c r="CCI2198" s="10"/>
      <c r="CCJ2198" s="10"/>
      <c r="CCK2198" s="10"/>
      <c r="CCL2198" s="10"/>
      <c r="CCM2198" s="10"/>
      <c r="CCN2198" s="10"/>
      <c r="CCO2198" s="10"/>
      <c r="CCP2198" s="10"/>
      <c r="CCQ2198" s="10"/>
      <c r="CCR2198" s="10"/>
      <c r="CCS2198" s="10"/>
      <c r="CCT2198" s="10"/>
      <c r="CCU2198" s="10"/>
      <c r="CCV2198" s="10"/>
      <c r="CCW2198" s="10"/>
      <c r="CCX2198" s="10"/>
      <c r="CCY2198" s="10"/>
      <c r="CCZ2198" s="10"/>
      <c r="CDA2198" s="10"/>
      <c r="CDB2198" s="10"/>
      <c r="CDC2198" s="10"/>
      <c r="CDD2198" s="10"/>
      <c r="CDE2198" s="10"/>
      <c r="CDF2198" s="10"/>
      <c r="CDG2198" s="10"/>
      <c r="CDH2198" s="10"/>
      <c r="CDI2198" s="10"/>
      <c r="CDJ2198" s="10"/>
      <c r="CDK2198" s="10"/>
      <c r="CDL2198" s="10"/>
      <c r="CDM2198" s="10"/>
      <c r="CDN2198" s="10"/>
      <c r="CDO2198" s="10"/>
      <c r="CDP2198" s="10"/>
      <c r="CDQ2198" s="10"/>
      <c r="CDR2198" s="10"/>
      <c r="CDS2198" s="10"/>
      <c r="CDT2198" s="10"/>
      <c r="CDU2198" s="10"/>
      <c r="CDV2198" s="10"/>
      <c r="CDW2198" s="10"/>
      <c r="CDX2198" s="10"/>
      <c r="CDY2198" s="10"/>
      <c r="CDZ2198" s="10"/>
      <c r="CEA2198" s="10"/>
      <c r="CEB2198" s="10"/>
      <c r="CEC2198" s="10"/>
      <c r="CED2198" s="10"/>
      <c r="CEE2198" s="10"/>
      <c r="CEF2198" s="10"/>
      <c r="CEG2198" s="10"/>
      <c r="CEH2198" s="10"/>
      <c r="CEI2198" s="10"/>
      <c r="CEJ2198" s="10"/>
      <c r="CEK2198" s="10"/>
      <c r="CEL2198" s="10"/>
      <c r="CEM2198" s="10"/>
      <c r="CEN2198" s="10"/>
      <c r="CEO2198" s="10"/>
      <c r="CEP2198" s="10"/>
      <c r="CEQ2198" s="10"/>
      <c r="CER2198" s="10"/>
      <c r="CES2198" s="10"/>
      <c r="CET2198" s="10"/>
      <c r="CEU2198" s="10"/>
      <c r="CEV2198" s="10"/>
      <c r="CEW2198" s="10"/>
      <c r="CEX2198" s="10"/>
      <c r="CEY2198" s="10"/>
      <c r="CEZ2198" s="10"/>
      <c r="CFA2198" s="10"/>
      <c r="CFB2198" s="10"/>
      <c r="CFC2198" s="10"/>
      <c r="CFD2198" s="10"/>
      <c r="CFE2198" s="10"/>
      <c r="CFF2198" s="10"/>
      <c r="CFG2198" s="10"/>
      <c r="CFH2198" s="10"/>
      <c r="CFI2198" s="10"/>
      <c r="CFJ2198" s="10"/>
      <c r="CFK2198" s="10"/>
      <c r="CFL2198" s="10"/>
      <c r="CFM2198" s="10"/>
      <c r="CFN2198" s="10"/>
      <c r="CFO2198" s="10"/>
      <c r="CFP2198" s="10"/>
      <c r="CFQ2198" s="10"/>
      <c r="CFR2198" s="10"/>
      <c r="CFS2198" s="10"/>
      <c r="CFT2198" s="10"/>
      <c r="CFU2198" s="10"/>
      <c r="CFV2198" s="10"/>
      <c r="CFW2198" s="10"/>
      <c r="CFX2198" s="10"/>
      <c r="CFY2198" s="10"/>
      <c r="CFZ2198" s="10"/>
      <c r="CGA2198" s="10"/>
      <c r="CGB2198" s="10"/>
      <c r="CGC2198" s="10"/>
      <c r="CGD2198" s="10"/>
      <c r="CGE2198" s="10"/>
      <c r="CGF2198" s="10"/>
      <c r="CGG2198" s="10"/>
      <c r="CGH2198" s="10"/>
      <c r="CGI2198" s="10"/>
      <c r="CGJ2198" s="10"/>
      <c r="CGK2198" s="10"/>
      <c r="CGL2198" s="10"/>
      <c r="CGM2198" s="10"/>
      <c r="CGN2198" s="10"/>
      <c r="CGO2198" s="10"/>
      <c r="CGP2198" s="10"/>
      <c r="CGQ2198" s="10"/>
      <c r="CGR2198" s="10"/>
      <c r="CGS2198" s="10"/>
      <c r="CGT2198" s="10"/>
      <c r="CGU2198" s="10"/>
      <c r="CGV2198" s="10"/>
      <c r="CGW2198" s="10"/>
      <c r="CGX2198" s="10"/>
      <c r="CGY2198" s="10"/>
      <c r="CGZ2198" s="10"/>
      <c r="CHA2198" s="10"/>
      <c r="CHB2198" s="10"/>
      <c r="CHC2198" s="10"/>
      <c r="CHD2198" s="10"/>
      <c r="CHE2198" s="10"/>
      <c r="CHF2198" s="10"/>
      <c r="CHG2198" s="10"/>
      <c r="CHH2198" s="10"/>
      <c r="CHI2198" s="10"/>
      <c r="CHJ2198" s="10"/>
      <c r="CHK2198" s="10"/>
      <c r="CHL2198" s="10"/>
      <c r="CHM2198" s="10"/>
      <c r="CHN2198" s="10"/>
      <c r="CHO2198" s="10"/>
      <c r="CHP2198" s="10"/>
      <c r="CHQ2198" s="10"/>
      <c r="CHR2198" s="10"/>
      <c r="CHS2198" s="10"/>
      <c r="CHT2198" s="10"/>
      <c r="CHU2198" s="10"/>
      <c r="CHV2198" s="10"/>
      <c r="CHW2198" s="10"/>
      <c r="CHX2198" s="10"/>
      <c r="CHY2198" s="10"/>
      <c r="CHZ2198" s="10"/>
      <c r="CIA2198" s="10"/>
      <c r="CIB2198" s="10"/>
      <c r="CIC2198" s="10"/>
      <c r="CID2198" s="10"/>
      <c r="CIE2198" s="10"/>
      <c r="CIF2198" s="10"/>
      <c r="CIG2198" s="10"/>
      <c r="CIH2198" s="10"/>
      <c r="CII2198" s="10"/>
      <c r="CIJ2198" s="10"/>
      <c r="CIK2198" s="10"/>
      <c r="CIL2198" s="10"/>
      <c r="CIM2198" s="10"/>
      <c r="CIN2198" s="10"/>
      <c r="CIO2198" s="10"/>
      <c r="CIP2198" s="10"/>
      <c r="CIQ2198" s="10"/>
      <c r="CIR2198" s="10"/>
      <c r="CIS2198" s="10"/>
      <c r="CIT2198" s="10"/>
      <c r="CIU2198" s="10"/>
      <c r="CIV2198" s="10"/>
      <c r="CIW2198" s="10"/>
      <c r="CIX2198" s="10"/>
      <c r="CIY2198" s="10"/>
      <c r="CIZ2198" s="10"/>
      <c r="CJA2198" s="10"/>
      <c r="CJB2198" s="10"/>
      <c r="CJC2198" s="10"/>
      <c r="CJD2198" s="10"/>
      <c r="CJE2198" s="10"/>
      <c r="CJF2198" s="10"/>
      <c r="CJG2198" s="10"/>
      <c r="CJH2198" s="10"/>
      <c r="CJI2198" s="10"/>
      <c r="CJJ2198" s="10"/>
      <c r="CJK2198" s="10"/>
      <c r="CJL2198" s="10"/>
      <c r="CJM2198" s="10"/>
      <c r="CJN2198" s="10"/>
      <c r="CJO2198" s="10"/>
      <c r="CJP2198" s="10"/>
      <c r="CJQ2198" s="10"/>
      <c r="CJR2198" s="10"/>
      <c r="CJS2198" s="10"/>
      <c r="CJT2198" s="10"/>
      <c r="CJU2198" s="10"/>
      <c r="CJV2198" s="10"/>
      <c r="CJW2198" s="10"/>
      <c r="CJX2198" s="10"/>
      <c r="CJY2198" s="10"/>
      <c r="CJZ2198" s="10"/>
      <c r="CKA2198" s="10"/>
      <c r="CKB2198" s="10"/>
      <c r="CKC2198" s="10"/>
      <c r="CKD2198" s="10"/>
      <c r="CKE2198" s="10"/>
      <c r="CKF2198" s="10"/>
      <c r="CKG2198" s="10"/>
      <c r="CKH2198" s="10"/>
      <c r="CKI2198" s="10"/>
      <c r="CKJ2198" s="10"/>
      <c r="CKK2198" s="10"/>
      <c r="CKL2198" s="10"/>
      <c r="CKM2198" s="10"/>
      <c r="CKN2198" s="10"/>
      <c r="CKO2198" s="10"/>
      <c r="CKP2198" s="10"/>
      <c r="CKQ2198" s="10"/>
      <c r="CKR2198" s="10"/>
      <c r="CKS2198" s="10"/>
      <c r="CKT2198" s="10"/>
      <c r="CKU2198" s="10"/>
      <c r="CKV2198" s="10"/>
      <c r="CKW2198" s="10"/>
      <c r="CKX2198" s="10"/>
      <c r="CKY2198" s="10"/>
      <c r="CKZ2198" s="10"/>
      <c r="CLA2198" s="10"/>
      <c r="CLB2198" s="10"/>
      <c r="CLC2198" s="10"/>
      <c r="CLD2198" s="10"/>
      <c r="CLE2198" s="10"/>
      <c r="CLF2198" s="10"/>
      <c r="CLG2198" s="10"/>
      <c r="CLH2198" s="10"/>
      <c r="CLI2198" s="10"/>
      <c r="CLJ2198" s="10"/>
      <c r="CLK2198" s="10"/>
      <c r="CLL2198" s="10"/>
      <c r="CLM2198" s="10"/>
      <c r="CLN2198" s="10"/>
      <c r="CLO2198" s="10"/>
      <c r="CLP2198" s="10"/>
      <c r="CLQ2198" s="10"/>
      <c r="CLR2198" s="10"/>
      <c r="CLS2198" s="10"/>
      <c r="CLT2198" s="10"/>
      <c r="CLU2198" s="10"/>
      <c r="CLV2198" s="10"/>
      <c r="CLW2198" s="10"/>
      <c r="CLX2198" s="10"/>
      <c r="CLY2198" s="10"/>
      <c r="CLZ2198" s="10"/>
      <c r="CMA2198" s="10"/>
      <c r="CMB2198" s="10"/>
      <c r="CMC2198" s="10"/>
      <c r="CMD2198" s="10"/>
      <c r="CME2198" s="10"/>
      <c r="CMF2198" s="10"/>
      <c r="CMG2198" s="10"/>
      <c r="CMH2198" s="10"/>
      <c r="CMI2198" s="10"/>
      <c r="CMJ2198" s="10"/>
      <c r="CMK2198" s="10"/>
      <c r="CML2198" s="10"/>
      <c r="CMM2198" s="10"/>
      <c r="CMN2198" s="10"/>
      <c r="CMO2198" s="10"/>
      <c r="CMP2198" s="10"/>
      <c r="CMQ2198" s="10"/>
      <c r="CMR2198" s="10"/>
      <c r="CMS2198" s="10"/>
      <c r="CMT2198" s="10"/>
      <c r="CMU2198" s="10"/>
      <c r="CMV2198" s="10"/>
      <c r="CMW2198" s="10"/>
      <c r="CMX2198" s="10"/>
      <c r="CMY2198" s="10"/>
      <c r="CMZ2198" s="10"/>
      <c r="CNA2198" s="10"/>
      <c r="CNB2198" s="10"/>
      <c r="CNC2198" s="10"/>
      <c r="CND2198" s="10"/>
      <c r="CNE2198" s="10"/>
      <c r="CNF2198" s="10"/>
      <c r="CNG2198" s="10"/>
      <c r="CNH2198" s="10"/>
      <c r="CNI2198" s="10"/>
      <c r="CNJ2198" s="10"/>
      <c r="CNK2198" s="10"/>
      <c r="CNL2198" s="10"/>
      <c r="CNM2198" s="10"/>
      <c r="CNN2198" s="10"/>
      <c r="CNO2198" s="10"/>
      <c r="CNP2198" s="10"/>
      <c r="CNQ2198" s="10"/>
      <c r="CNR2198" s="10"/>
      <c r="CNS2198" s="10"/>
      <c r="CNT2198" s="10"/>
      <c r="CNU2198" s="10"/>
      <c r="CNV2198" s="10"/>
      <c r="CNW2198" s="10"/>
      <c r="CNX2198" s="10"/>
      <c r="CNY2198" s="10"/>
      <c r="CNZ2198" s="10"/>
      <c r="COA2198" s="10"/>
      <c r="COB2198" s="10"/>
      <c r="COC2198" s="10"/>
      <c r="COD2198" s="10"/>
      <c r="COE2198" s="10"/>
      <c r="COF2198" s="10"/>
      <c r="COG2198" s="10"/>
      <c r="COH2198" s="10"/>
      <c r="COI2198" s="10"/>
      <c r="COJ2198" s="10"/>
      <c r="COK2198" s="10"/>
      <c r="COL2198" s="10"/>
      <c r="COM2198" s="10"/>
      <c r="CON2198" s="10"/>
      <c r="COO2198" s="10"/>
      <c r="COP2198" s="10"/>
      <c r="COQ2198" s="10"/>
      <c r="COR2198" s="10"/>
      <c r="COS2198" s="10"/>
      <c r="COT2198" s="10"/>
      <c r="COU2198" s="10"/>
      <c r="COV2198" s="10"/>
      <c r="COW2198" s="10"/>
      <c r="COX2198" s="10"/>
      <c r="COY2198" s="10"/>
      <c r="COZ2198" s="10"/>
      <c r="CPA2198" s="10"/>
      <c r="CPB2198" s="10"/>
      <c r="CPC2198" s="10"/>
      <c r="CPD2198" s="10"/>
      <c r="CPE2198" s="10"/>
      <c r="CPF2198" s="10"/>
      <c r="CPG2198" s="10"/>
      <c r="CPH2198" s="10"/>
      <c r="CPI2198" s="10"/>
      <c r="CPJ2198" s="10"/>
      <c r="CPK2198" s="10"/>
      <c r="CPL2198" s="10"/>
      <c r="CPM2198" s="10"/>
      <c r="CPN2198" s="10"/>
      <c r="CPO2198" s="10"/>
      <c r="CPP2198" s="10"/>
      <c r="CPQ2198" s="10"/>
      <c r="CPR2198" s="10"/>
      <c r="CPS2198" s="10"/>
      <c r="CPT2198" s="10"/>
      <c r="CPU2198" s="10"/>
      <c r="CPV2198" s="10"/>
      <c r="CPW2198" s="10"/>
      <c r="CPX2198" s="10"/>
      <c r="CPY2198" s="10"/>
      <c r="CPZ2198" s="10"/>
      <c r="CQA2198" s="10"/>
      <c r="CQB2198" s="10"/>
      <c r="CQC2198" s="10"/>
      <c r="CQD2198" s="10"/>
      <c r="CQE2198" s="10"/>
      <c r="CQF2198" s="10"/>
      <c r="CQG2198" s="10"/>
      <c r="CQH2198" s="10"/>
      <c r="CQI2198" s="10"/>
      <c r="CQJ2198" s="10"/>
      <c r="CQK2198" s="10"/>
      <c r="CQL2198" s="10"/>
      <c r="CQM2198" s="10"/>
      <c r="CQN2198" s="10"/>
      <c r="CQO2198" s="10"/>
      <c r="CQP2198" s="10"/>
      <c r="CQQ2198" s="10"/>
      <c r="CQR2198" s="10"/>
      <c r="CQS2198" s="10"/>
      <c r="CQT2198" s="10"/>
      <c r="CQU2198" s="10"/>
      <c r="CQV2198" s="10"/>
      <c r="CQW2198" s="10"/>
      <c r="CQX2198" s="10"/>
      <c r="CQY2198" s="10"/>
      <c r="CQZ2198" s="10"/>
      <c r="CRA2198" s="10"/>
      <c r="CRB2198" s="10"/>
      <c r="CRC2198" s="10"/>
      <c r="CRD2198" s="10"/>
      <c r="CRE2198" s="10"/>
      <c r="CRF2198" s="10"/>
      <c r="CRG2198" s="10"/>
      <c r="CRH2198" s="10"/>
      <c r="CRI2198" s="10"/>
      <c r="CRJ2198" s="10"/>
      <c r="CRK2198" s="10"/>
      <c r="CRL2198" s="10"/>
      <c r="CRM2198" s="10"/>
      <c r="CRN2198" s="10"/>
      <c r="CRO2198" s="10"/>
      <c r="CRP2198" s="10"/>
      <c r="CRQ2198" s="10"/>
      <c r="CRR2198" s="10"/>
      <c r="CRS2198" s="10"/>
      <c r="CRT2198" s="10"/>
      <c r="CRU2198" s="10"/>
      <c r="CRV2198" s="10"/>
      <c r="CRW2198" s="10"/>
      <c r="CRX2198" s="10"/>
      <c r="CRY2198" s="10"/>
      <c r="CRZ2198" s="10"/>
      <c r="CSA2198" s="10"/>
      <c r="CSB2198" s="10"/>
      <c r="CSC2198" s="10"/>
      <c r="CSD2198" s="10"/>
      <c r="CSE2198" s="10"/>
      <c r="CSF2198" s="10"/>
      <c r="CSG2198" s="10"/>
      <c r="CSH2198" s="10"/>
      <c r="CSI2198" s="10"/>
      <c r="CSJ2198" s="10"/>
      <c r="CSK2198" s="10"/>
      <c r="CSL2198" s="10"/>
      <c r="CSM2198" s="10"/>
      <c r="CSN2198" s="10"/>
      <c r="CSO2198" s="10"/>
      <c r="CSP2198" s="10"/>
      <c r="CSQ2198" s="10"/>
      <c r="CSR2198" s="10"/>
      <c r="CSS2198" s="10"/>
      <c r="CST2198" s="10"/>
      <c r="CSU2198" s="10"/>
      <c r="CSV2198" s="10"/>
      <c r="CSW2198" s="10"/>
      <c r="CSX2198" s="10"/>
      <c r="CSY2198" s="10"/>
      <c r="CSZ2198" s="10"/>
      <c r="CTA2198" s="10"/>
      <c r="CTB2198" s="10"/>
      <c r="CTC2198" s="10"/>
      <c r="CTD2198" s="10"/>
      <c r="CTE2198" s="10"/>
      <c r="CTF2198" s="10"/>
      <c r="CTG2198" s="10"/>
      <c r="CTH2198" s="10"/>
      <c r="CTI2198" s="10"/>
      <c r="CTJ2198" s="10"/>
      <c r="CTK2198" s="10"/>
      <c r="CTL2198" s="10"/>
      <c r="CTM2198" s="10"/>
      <c r="CTN2198" s="10"/>
      <c r="CTO2198" s="10"/>
      <c r="CTP2198" s="10"/>
      <c r="CTQ2198" s="10"/>
      <c r="CTR2198" s="10"/>
      <c r="CTS2198" s="10"/>
      <c r="CTT2198" s="10"/>
      <c r="CTU2198" s="10"/>
      <c r="CTV2198" s="10"/>
      <c r="CTW2198" s="10"/>
      <c r="CTX2198" s="10"/>
      <c r="CTY2198" s="10"/>
      <c r="CTZ2198" s="10"/>
      <c r="CUA2198" s="10"/>
      <c r="CUB2198" s="10"/>
      <c r="CUC2198" s="10"/>
      <c r="CUD2198" s="10"/>
      <c r="CUE2198" s="10"/>
      <c r="CUF2198" s="10"/>
      <c r="CUG2198" s="10"/>
      <c r="CUH2198" s="10"/>
      <c r="CUI2198" s="10"/>
      <c r="CUJ2198" s="10"/>
      <c r="CUK2198" s="10"/>
      <c r="CUL2198" s="10"/>
      <c r="CUM2198" s="10"/>
      <c r="CUN2198" s="10"/>
      <c r="CUO2198" s="10"/>
      <c r="CUP2198" s="10"/>
      <c r="CUQ2198" s="10"/>
      <c r="CUR2198" s="10"/>
      <c r="CUS2198" s="10"/>
      <c r="CUT2198" s="10"/>
      <c r="CUU2198" s="10"/>
      <c r="CUV2198" s="10"/>
      <c r="CUW2198" s="10"/>
      <c r="CUX2198" s="10"/>
      <c r="CUY2198" s="10"/>
      <c r="CUZ2198" s="10"/>
      <c r="CVA2198" s="10"/>
      <c r="CVB2198" s="10"/>
      <c r="CVC2198" s="10"/>
      <c r="CVD2198" s="10"/>
      <c r="CVE2198" s="10"/>
      <c r="CVF2198" s="10"/>
      <c r="CVG2198" s="10"/>
      <c r="CVH2198" s="10"/>
      <c r="CVI2198" s="10"/>
      <c r="CVJ2198" s="10"/>
      <c r="CVK2198" s="10"/>
      <c r="CVL2198" s="10"/>
      <c r="CVM2198" s="10"/>
      <c r="CVN2198" s="10"/>
      <c r="CVO2198" s="10"/>
      <c r="CVP2198" s="10"/>
      <c r="CVQ2198" s="10"/>
      <c r="CVR2198" s="10"/>
      <c r="CVS2198" s="10"/>
      <c r="CVT2198" s="10"/>
      <c r="CVU2198" s="10"/>
      <c r="CVV2198" s="10"/>
      <c r="CVW2198" s="10"/>
      <c r="CVX2198" s="10"/>
      <c r="CVY2198" s="10"/>
      <c r="CVZ2198" s="10"/>
      <c r="CWA2198" s="10"/>
      <c r="CWB2198" s="10"/>
      <c r="CWC2198" s="10"/>
      <c r="CWD2198" s="10"/>
      <c r="CWE2198" s="10"/>
      <c r="CWF2198" s="10"/>
      <c r="CWG2198" s="10"/>
      <c r="CWH2198" s="10"/>
      <c r="CWI2198" s="10"/>
      <c r="CWJ2198" s="10"/>
      <c r="CWK2198" s="10"/>
      <c r="CWL2198" s="10"/>
      <c r="CWM2198" s="10"/>
      <c r="CWN2198" s="10"/>
      <c r="CWO2198" s="10"/>
      <c r="CWP2198" s="10"/>
      <c r="CWQ2198" s="10"/>
      <c r="CWR2198" s="10"/>
      <c r="CWS2198" s="10"/>
      <c r="CWT2198" s="10"/>
      <c r="CWU2198" s="10"/>
      <c r="CWV2198" s="10"/>
      <c r="CWW2198" s="10"/>
      <c r="CWX2198" s="10"/>
      <c r="CWY2198" s="10"/>
      <c r="CWZ2198" s="10"/>
      <c r="CXA2198" s="10"/>
      <c r="CXB2198" s="10"/>
      <c r="CXC2198" s="10"/>
      <c r="CXD2198" s="10"/>
      <c r="CXE2198" s="10"/>
      <c r="CXF2198" s="10"/>
      <c r="CXG2198" s="10"/>
      <c r="CXH2198" s="10"/>
      <c r="CXI2198" s="10"/>
      <c r="CXJ2198" s="10"/>
      <c r="CXK2198" s="10"/>
      <c r="CXL2198" s="10"/>
      <c r="CXM2198" s="10"/>
      <c r="CXN2198" s="10"/>
      <c r="CXO2198" s="10"/>
      <c r="CXP2198" s="10"/>
      <c r="CXQ2198" s="10"/>
      <c r="CXR2198" s="10"/>
      <c r="CXS2198" s="10"/>
      <c r="CXT2198" s="10"/>
      <c r="CXU2198" s="10"/>
      <c r="CXV2198" s="10"/>
      <c r="CXW2198" s="10"/>
      <c r="CXX2198" s="10"/>
      <c r="CXY2198" s="10"/>
      <c r="CXZ2198" s="10"/>
      <c r="CYA2198" s="10"/>
      <c r="CYB2198" s="10"/>
      <c r="CYC2198" s="10"/>
      <c r="CYD2198" s="10"/>
      <c r="CYE2198" s="10"/>
      <c r="CYF2198" s="10"/>
      <c r="CYG2198" s="10"/>
      <c r="CYH2198" s="10"/>
      <c r="CYI2198" s="10"/>
      <c r="CYJ2198" s="10"/>
      <c r="CYK2198" s="10"/>
      <c r="CYL2198" s="10"/>
      <c r="CYM2198" s="10"/>
      <c r="CYN2198" s="10"/>
      <c r="CYO2198" s="10"/>
      <c r="CYP2198" s="10"/>
      <c r="CYQ2198" s="10"/>
      <c r="CYR2198" s="10"/>
      <c r="CYS2198" s="10"/>
      <c r="CYT2198" s="10"/>
      <c r="CYU2198" s="10"/>
      <c r="CYV2198" s="10"/>
      <c r="CYW2198" s="10"/>
      <c r="CYX2198" s="10"/>
      <c r="CYY2198" s="10"/>
      <c r="CYZ2198" s="10"/>
      <c r="CZA2198" s="10"/>
      <c r="CZB2198" s="10"/>
      <c r="CZC2198" s="10"/>
      <c r="CZD2198" s="10"/>
      <c r="CZE2198" s="10"/>
      <c r="CZF2198" s="10"/>
      <c r="CZG2198" s="10"/>
      <c r="CZH2198" s="10"/>
      <c r="CZI2198" s="10"/>
      <c r="CZJ2198" s="10"/>
      <c r="CZK2198" s="10"/>
      <c r="CZL2198" s="10"/>
      <c r="CZM2198" s="10"/>
      <c r="CZN2198" s="10"/>
      <c r="CZO2198" s="10"/>
      <c r="CZP2198" s="10"/>
      <c r="CZQ2198" s="10"/>
      <c r="CZR2198" s="10"/>
      <c r="CZS2198" s="10"/>
      <c r="CZT2198" s="10"/>
      <c r="CZU2198" s="10"/>
      <c r="CZV2198" s="10"/>
      <c r="CZW2198" s="10"/>
      <c r="CZX2198" s="10"/>
      <c r="CZY2198" s="10"/>
      <c r="CZZ2198" s="10"/>
      <c r="DAA2198" s="10"/>
      <c r="DAB2198" s="10"/>
      <c r="DAC2198" s="10"/>
      <c r="DAD2198" s="10"/>
      <c r="DAE2198" s="10"/>
      <c r="DAF2198" s="10"/>
      <c r="DAG2198" s="10"/>
      <c r="DAH2198" s="10"/>
      <c r="DAI2198" s="10"/>
      <c r="DAJ2198" s="10"/>
      <c r="DAK2198" s="10"/>
      <c r="DAL2198" s="10"/>
      <c r="DAM2198" s="10"/>
      <c r="DAN2198" s="10"/>
      <c r="DAO2198" s="10"/>
      <c r="DAP2198" s="10"/>
      <c r="DAQ2198" s="10"/>
      <c r="DAR2198" s="10"/>
      <c r="DAS2198" s="10"/>
      <c r="DAT2198" s="10"/>
      <c r="DAU2198" s="10"/>
      <c r="DAV2198" s="10"/>
      <c r="DAW2198" s="10"/>
      <c r="DAX2198" s="10"/>
      <c r="DAY2198" s="10"/>
      <c r="DAZ2198" s="10"/>
      <c r="DBA2198" s="10"/>
      <c r="DBB2198" s="10"/>
      <c r="DBC2198" s="10"/>
      <c r="DBD2198" s="10"/>
      <c r="DBE2198" s="10"/>
      <c r="DBF2198" s="10"/>
      <c r="DBG2198" s="10"/>
      <c r="DBH2198" s="10"/>
      <c r="DBI2198" s="10"/>
      <c r="DBJ2198" s="10"/>
      <c r="DBK2198" s="10"/>
      <c r="DBL2198" s="10"/>
      <c r="DBM2198" s="10"/>
      <c r="DBN2198" s="10"/>
      <c r="DBO2198" s="10"/>
      <c r="DBP2198" s="10"/>
      <c r="DBQ2198" s="10"/>
      <c r="DBR2198" s="10"/>
      <c r="DBS2198" s="10"/>
      <c r="DBT2198" s="10"/>
      <c r="DBU2198" s="10"/>
      <c r="DBV2198" s="10"/>
      <c r="DBW2198" s="10"/>
      <c r="DBX2198" s="10"/>
      <c r="DBY2198" s="10"/>
      <c r="DBZ2198" s="10"/>
      <c r="DCA2198" s="10"/>
      <c r="DCB2198" s="10"/>
      <c r="DCC2198" s="10"/>
      <c r="DCD2198" s="10"/>
      <c r="DCE2198" s="10"/>
      <c r="DCF2198" s="10"/>
      <c r="DCG2198" s="10"/>
      <c r="DCH2198" s="10"/>
      <c r="DCI2198" s="10"/>
      <c r="DCJ2198" s="10"/>
      <c r="DCK2198" s="10"/>
      <c r="DCL2198" s="10"/>
      <c r="DCM2198" s="10"/>
      <c r="DCN2198" s="10"/>
      <c r="DCO2198" s="10"/>
      <c r="DCP2198" s="10"/>
      <c r="DCQ2198" s="10"/>
      <c r="DCR2198" s="10"/>
      <c r="DCS2198" s="10"/>
      <c r="DCT2198" s="10"/>
      <c r="DCU2198" s="10"/>
      <c r="DCV2198" s="10"/>
      <c r="DCW2198" s="10"/>
      <c r="DCX2198" s="10"/>
      <c r="DCY2198" s="10"/>
      <c r="DCZ2198" s="10"/>
      <c r="DDA2198" s="10"/>
      <c r="DDB2198" s="10"/>
      <c r="DDC2198" s="10"/>
      <c r="DDD2198" s="10"/>
      <c r="DDE2198" s="10"/>
      <c r="DDF2198" s="10"/>
      <c r="DDG2198" s="10"/>
      <c r="DDH2198" s="10"/>
      <c r="DDI2198" s="10"/>
      <c r="DDJ2198" s="10"/>
      <c r="DDK2198" s="10"/>
      <c r="DDL2198" s="10"/>
      <c r="DDM2198" s="10"/>
      <c r="DDN2198" s="10"/>
      <c r="DDO2198" s="10"/>
      <c r="DDP2198" s="10"/>
      <c r="DDQ2198" s="10"/>
      <c r="DDR2198" s="10"/>
      <c r="DDS2198" s="10"/>
      <c r="DDT2198" s="10"/>
      <c r="DDU2198" s="10"/>
      <c r="DDV2198" s="10"/>
      <c r="DDW2198" s="10"/>
      <c r="DDX2198" s="10"/>
      <c r="DDY2198" s="10"/>
      <c r="DDZ2198" s="10"/>
      <c r="DEA2198" s="10"/>
      <c r="DEB2198" s="10"/>
      <c r="DEC2198" s="10"/>
      <c r="DED2198" s="10"/>
      <c r="DEE2198" s="10"/>
      <c r="DEF2198" s="10"/>
      <c r="DEG2198" s="10"/>
      <c r="DEH2198" s="10"/>
      <c r="DEI2198" s="10"/>
      <c r="DEJ2198" s="10"/>
      <c r="DEK2198" s="10"/>
      <c r="DEL2198" s="10"/>
      <c r="DEM2198" s="10"/>
      <c r="DEN2198" s="10"/>
      <c r="DEO2198" s="10"/>
      <c r="DEP2198" s="10"/>
      <c r="DEQ2198" s="10"/>
      <c r="DER2198" s="10"/>
      <c r="DES2198" s="10"/>
      <c r="DET2198" s="10"/>
      <c r="DEU2198" s="10"/>
      <c r="DEV2198" s="10"/>
      <c r="DEW2198" s="10"/>
      <c r="DEX2198" s="10"/>
      <c r="DEY2198" s="10"/>
      <c r="DEZ2198" s="10"/>
      <c r="DFA2198" s="10"/>
      <c r="DFB2198" s="10"/>
      <c r="DFC2198" s="10"/>
      <c r="DFD2198" s="10"/>
      <c r="DFE2198" s="10"/>
      <c r="DFF2198" s="10"/>
      <c r="DFG2198" s="10"/>
      <c r="DFH2198" s="10"/>
      <c r="DFI2198" s="10"/>
      <c r="DFJ2198" s="10"/>
      <c r="DFK2198" s="10"/>
      <c r="DFL2198" s="10"/>
      <c r="DFM2198" s="10"/>
      <c r="DFN2198" s="10"/>
      <c r="DFO2198" s="10"/>
      <c r="DFP2198" s="10"/>
      <c r="DFQ2198" s="10"/>
      <c r="DFR2198" s="10"/>
      <c r="DFS2198" s="10"/>
      <c r="DFT2198" s="10"/>
      <c r="DFU2198" s="10"/>
      <c r="DFV2198" s="10"/>
      <c r="DFW2198" s="10"/>
      <c r="DFX2198" s="10"/>
      <c r="DFY2198" s="10"/>
      <c r="DFZ2198" s="10"/>
      <c r="DGA2198" s="10"/>
      <c r="DGB2198" s="10"/>
      <c r="DGC2198" s="10"/>
      <c r="DGD2198" s="10"/>
      <c r="DGE2198" s="10"/>
      <c r="DGF2198" s="10"/>
      <c r="DGG2198" s="10"/>
      <c r="DGH2198" s="10"/>
      <c r="DGI2198" s="10"/>
      <c r="DGJ2198" s="10"/>
      <c r="DGK2198" s="10"/>
      <c r="DGL2198" s="10"/>
      <c r="DGM2198" s="10"/>
      <c r="DGN2198" s="10"/>
      <c r="DGO2198" s="10"/>
      <c r="DGP2198" s="10"/>
      <c r="DGQ2198" s="10"/>
      <c r="DGR2198" s="10"/>
      <c r="DGS2198" s="10"/>
      <c r="DGT2198" s="10"/>
      <c r="DGU2198" s="10"/>
      <c r="DGV2198" s="10"/>
      <c r="DGW2198" s="10"/>
      <c r="DGX2198" s="10"/>
      <c r="DGY2198" s="10"/>
      <c r="DGZ2198" s="10"/>
      <c r="DHA2198" s="10"/>
      <c r="DHB2198" s="10"/>
      <c r="DHC2198" s="10"/>
      <c r="DHD2198" s="10"/>
      <c r="DHE2198" s="10"/>
      <c r="DHF2198" s="10"/>
      <c r="DHG2198" s="10"/>
      <c r="DHH2198" s="10"/>
      <c r="DHI2198" s="10"/>
      <c r="DHJ2198" s="10"/>
      <c r="DHK2198" s="10"/>
      <c r="DHL2198" s="10"/>
      <c r="DHM2198" s="10"/>
      <c r="DHN2198" s="10"/>
      <c r="DHO2198" s="10"/>
      <c r="DHP2198" s="10"/>
      <c r="DHQ2198" s="10"/>
      <c r="DHR2198" s="10"/>
      <c r="DHS2198" s="10"/>
      <c r="DHT2198" s="10"/>
      <c r="DHU2198" s="10"/>
      <c r="DHV2198" s="10"/>
      <c r="DHW2198" s="10"/>
      <c r="DHX2198" s="10"/>
      <c r="DHY2198" s="10"/>
      <c r="DHZ2198" s="10"/>
      <c r="DIA2198" s="10"/>
      <c r="DIB2198" s="10"/>
      <c r="DIC2198" s="10"/>
      <c r="DID2198" s="10"/>
      <c r="DIE2198" s="10"/>
      <c r="DIF2198" s="10"/>
      <c r="DIG2198" s="10"/>
      <c r="DIH2198" s="10"/>
      <c r="DII2198" s="10"/>
      <c r="DIJ2198" s="10"/>
      <c r="DIK2198" s="10"/>
      <c r="DIL2198" s="10"/>
      <c r="DIM2198" s="10"/>
      <c r="DIN2198" s="10"/>
      <c r="DIO2198" s="10"/>
      <c r="DIP2198" s="10"/>
      <c r="DIQ2198" s="10"/>
      <c r="DIR2198" s="10"/>
      <c r="DIS2198" s="10"/>
      <c r="DIT2198" s="10"/>
      <c r="DIU2198" s="10"/>
      <c r="DIV2198" s="10"/>
      <c r="DIW2198" s="10"/>
      <c r="DIX2198" s="10"/>
      <c r="DIY2198" s="10"/>
      <c r="DIZ2198" s="10"/>
      <c r="DJA2198" s="10"/>
      <c r="DJB2198" s="10"/>
      <c r="DJC2198" s="10"/>
      <c r="DJD2198" s="10"/>
      <c r="DJE2198" s="10"/>
      <c r="DJF2198" s="10"/>
      <c r="DJG2198" s="10"/>
      <c r="DJH2198" s="10"/>
      <c r="DJI2198" s="10"/>
      <c r="DJJ2198" s="10"/>
      <c r="DJK2198" s="10"/>
      <c r="DJL2198" s="10"/>
      <c r="DJM2198" s="10"/>
      <c r="DJN2198" s="10"/>
      <c r="DJO2198" s="10"/>
      <c r="DJP2198" s="10"/>
      <c r="DJQ2198" s="10"/>
      <c r="DJR2198" s="10"/>
      <c r="DJS2198" s="10"/>
      <c r="DJT2198" s="10"/>
      <c r="DJU2198" s="10"/>
      <c r="DJV2198" s="10"/>
      <c r="DJW2198" s="10"/>
      <c r="DJX2198" s="10"/>
      <c r="DJY2198" s="10"/>
      <c r="DJZ2198" s="10"/>
      <c r="DKA2198" s="10"/>
      <c r="DKB2198" s="10"/>
      <c r="DKC2198" s="10"/>
      <c r="DKD2198" s="10"/>
      <c r="DKE2198" s="10"/>
      <c r="DKF2198" s="10"/>
      <c r="DKG2198" s="10"/>
      <c r="DKH2198" s="10"/>
      <c r="DKI2198" s="10"/>
      <c r="DKJ2198" s="10"/>
      <c r="DKK2198" s="10"/>
      <c r="DKL2198" s="10"/>
      <c r="DKM2198" s="10"/>
      <c r="DKN2198" s="10"/>
      <c r="DKO2198" s="10"/>
      <c r="DKP2198" s="10"/>
      <c r="DKQ2198" s="10"/>
      <c r="DKR2198" s="10"/>
      <c r="DKS2198" s="10"/>
      <c r="DKT2198" s="10"/>
      <c r="DKU2198" s="10"/>
      <c r="DKV2198" s="10"/>
      <c r="DKW2198" s="10"/>
      <c r="DKX2198" s="10"/>
      <c r="DKY2198" s="10"/>
      <c r="DKZ2198" s="10"/>
      <c r="DLA2198" s="10"/>
      <c r="DLB2198" s="10"/>
      <c r="DLC2198" s="10"/>
      <c r="DLD2198" s="10"/>
      <c r="DLE2198" s="10"/>
      <c r="DLF2198" s="10"/>
      <c r="DLG2198" s="10"/>
      <c r="DLH2198" s="10"/>
      <c r="DLI2198" s="10"/>
      <c r="DLJ2198" s="10"/>
      <c r="DLK2198" s="10"/>
      <c r="DLL2198" s="10"/>
      <c r="DLM2198" s="10"/>
      <c r="DLN2198" s="10"/>
      <c r="DLO2198" s="10"/>
      <c r="DLP2198" s="10"/>
      <c r="DLQ2198" s="10"/>
      <c r="DLR2198" s="10"/>
      <c r="DLS2198" s="10"/>
      <c r="DLT2198" s="10"/>
      <c r="DLU2198" s="10"/>
      <c r="DLV2198" s="10"/>
      <c r="DLW2198" s="10"/>
      <c r="DLX2198" s="10"/>
      <c r="DLY2198" s="10"/>
      <c r="DLZ2198" s="10"/>
      <c r="DMA2198" s="10"/>
      <c r="DMB2198" s="10"/>
      <c r="DMC2198" s="10"/>
      <c r="DMD2198" s="10"/>
      <c r="DME2198" s="10"/>
      <c r="DMF2198" s="10"/>
      <c r="DMG2198" s="10"/>
      <c r="DMH2198" s="10"/>
      <c r="DMI2198" s="10"/>
      <c r="DMJ2198" s="10"/>
      <c r="DMK2198" s="10"/>
      <c r="DML2198" s="10"/>
      <c r="DMM2198" s="10"/>
      <c r="DMN2198" s="10"/>
      <c r="DMO2198" s="10"/>
      <c r="DMP2198" s="10"/>
      <c r="DMQ2198" s="10"/>
      <c r="DMR2198" s="10"/>
      <c r="DMS2198" s="10"/>
      <c r="DMT2198" s="10"/>
      <c r="DMU2198" s="10"/>
      <c r="DMV2198" s="10"/>
      <c r="DMW2198" s="10"/>
      <c r="DMX2198" s="10"/>
      <c r="DMY2198" s="10"/>
      <c r="DMZ2198" s="10"/>
      <c r="DNA2198" s="10"/>
      <c r="DNB2198" s="10"/>
      <c r="DNC2198" s="10"/>
      <c r="DND2198" s="10"/>
      <c r="DNE2198" s="10"/>
      <c r="DNF2198" s="10"/>
      <c r="DNG2198" s="10"/>
      <c r="DNH2198" s="10"/>
      <c r="DNI2198" s="10"/>
      <c r="DNJ2198" s="10"/>
      <c r="DNK2198" s="10"/>
      <c r="DNL2198" s="10"/>
      <c r="DNM2198" s="10"/>
      <c r="DNN2198" s="10"/>
      <c r="DNO2198" s="10"/>
      <c r="DNP2198" s="10"/>
      <c r="DNQ2198" s="10"/>
      <c r="DNR2198" s="10"/>
      <c r="DNS2198" s="10"/>
      <c r="DNT2198" s="10"/>
      <c r="DNU2198" s="10"/>
      <c r="DNV2198" s="10"/>
      <c r="DNW2198" s="10"/>
      <c r="DNX2198" s="10"/>
      <c r="DNY2198" s="10"/>
      <c r="DNZ2198" s="10"/>
      <c r="DOA2198" s="10"/>
      <c r="DOB2198" s="10"/>
      <c r="DOC2198" s="10"/>
      <c r="DOD2198" s="10"/>
      <c r="DOE2198" s="10"/>
      <c r="DOF2198" s="10"/>
      <c r="DOG2198" s="10"/>
      <c r="DOH2198" s="10"/>
      <c r="DOI2198" s="10"/>
      <c r="DOJ2198" s="10"/>
      <c r="DOK2198" s="10"/>
      <c r="DOL2198" s="10"/>
      <c r="DOM2198" s="10"/>
      <c r="DON2198" s="10"/>
      <c r="DOO2198" s="10"/>
      <c r="DOP2198" s="10"/>
      <c r="DOQ2198" s="10"/>
      <c r="DOR2198" s="10"/>
      <c r="DOS2198" s="10"/>
      <c r="DOT2198" s="10"/>
      <c r="DOU2198" s="10"/>
      <c r="DOV2198" s="10"/>
      <c r="DOW2198" s="10"/>
      <c r="DOX2198" s="10"/>
      <c r="DOY2198" s="10"/>
      <c r="DOZ2198" s="10"/>
      <c r="DPA2198" s="10"/>
      <c r="DPB2198" s="10"/>
      <c r="DPC2198" s="10"/>
      <c r="DPD2198" s="10"/>
      <c r="DPE2198" s="10"/>
      <c r="DPF2198" s="10"/>
      <c r="DPG2198" s="10"/>
      <c r="DPH2198" s="10"/>
      <c r="DPI2198" s="10"/>
      <c r="DPJ2198" s="10"/>
      <c r="DPK2198" s="10"/>
      <c r="DPL2198" s="10"/>
      <c r="DPM2198" s="10"/>
      <c r="DPN2198" s="10"/>
      <c r="DPO2198" s="10"/>
      <c r="DPP2198" s="10"/>
      <c r="DPQ2198" s="10"/>
      <c r="DPR2198" s="10"/>
      <c r="DPS2198" s="10"/>
      <c r="DPT2198" s="10"/>
      <c r="DPU2198" s="10"/>
      <c r="DPV2198" s="10"/>
      <c r="DPW2198" s="10"/>
      <c r="DPX2198" s="10"/>
      <c r="DPY2198" s="10"/>
      <c r="DPZ2198" s="10"/>
      <c r="DQA2198" s="10"/>
      <c r="DQB2198" s="10"/>
      <c r="DQC2198" s="10"/>
      <c r="DQD2198" s="10"/>
      <c r="DQE2198" s="10"/>
      <c r="DQF2198" s="10"/>
      <c r="DQG2198" s="10"/>
      <c r="DQH2198" s="10"/>
      <c r="DQI2198" s="10"/>
      <c r="DQJ2198" s="10"/>
      <c r="DQK2198" s="10"/>
      <c r="DQL2198" s="10"/>
      <c r="DQM2198" s="10"/>
      <c r="DQN2198" s="10"/>
      <c r="DQO2198" s="10"/>
      <c r="DQP2198" s="10"/>
      <c r="DQQ2198" s="10"/>
      <c r="DQR2198" s="10"/>
      <c r="DQS2198" s="10"/>
      <c r="DQT2198" s="10"/>
      <c r="DQU2198" s="10"/>
      <c r="DQV2198" s="10"/>
      <c r="DQW2198" s="10"/>
      <c r="DQX2198" s="10"/>
      <c r="DQY2198" s="10"/>
      <c r="DQZ2198" s="10"/>
      <c r="DRA2198" s="10"/>
      <c r="DRB2198" s="10"/>
      <c r="DRC2198" s="10"/>
      <c r="DRD2198" s="10"/>
      <c r="DRE2198" s="10"/>
      <c r="DRF2198" s="10"/>
      <c r="DRG2198" s="10"/>
      <c r="DRH2198" s="10"/>
      <c r="DRI2198" s="10"/>
      <c r="DRJ2198" s="10"/>
      <c r="DRK2198" s="10"/>
      <c r="DRL2198" s="10"/>
      <c r="DRM2198" s="10"/>
      <c r="DRN2198" s="10"/>
      <c r="DRO2198" s="10"/>
      <c r="DRP2198" s="10"/>
      <c r="DRQ2198" s="10"/>
      <c r="DRR2198" s="10"/>
      <c r="DRS2198" s="10"/>
      <c r="DRT2198" s="10"/>
      <c r="DRU2198" s="10"/>
      <c r="DRV2198" s="10"/>
      <c r="DRW2198" s="10"/>
      <c r="DRX2198" s="10"/>
      <c r="DRY2198" s="10"/>
      <c r="DRZ2198" s="10"/>
      <c r="DSA2198" s="10"/>
      <c r="DSB2198" s="10"/>
      <c r="DSC2198" s="10"/>
      <c r="DSD2198" s="10"/>
      <c r="DSE2198" s="10"/>
      <c r="DSF2198" s="10"/>
      <c r="DSG2198" s="10"/>
      <c r="DSH2198" s="10"/>
      <c r="DSI2198" s="10"/>
      <c r="DSJ2198" s="10"/>
      <c r="DSK2198" s="10"/>
      <c r="DSL2198" s="10"/>
      <c r="DSM2198" s="10"/>
      <c r="DSN2198" s="10"/>
      <c r="DSO2198" s="10"/>
      <c r="DSP2198" s="10"/>
      <c r="DSQ2198" s="10"/>
      <c r="DSR2198" s="10"/>
      <c r="DSS2198" s="10"/>
      <c r="DST2198" s="10"/>
      <c r="DSU2198" s="10"/>
      <c r="DSV2198" s="10"/>
      <c r="DSW2198" s="10"/>
      <c r="DSX2198" s="10"/>
      <c r="DSY2198" s="10"/>
      <c r="DSZ2198" s="10"/>
      <c r="DTA2198" s="10"/>
      <c r="DTB2198" s="10"/>
      <c r="DTC2198" s="10"/>
      <c r="DTD2198" s="10"/>
      <c r="DTE2198" s="10"/>
      <c r="DTF2198" s="10"/>
      <c r="DTG2198" s="10"/>
      <c r="DTH2198" s="10"/>
      <c r="DTI2198" s="10"/>
      <c r="DTJ2198" s="10"/>
      <c r="DTK2198" s="10"/>
      <c r="DTL2198" s="10"/>
      <c r="DTM2198" s="10"/>
      <c r="DTN2198" s="10"/>
      <c r="DTO2198" s="10"/>
      <c r="DTP2198" s="10"/>
      <c r="DTQ2198" s="10"/>
      <c r="DTR2198" s="10"/>
      <c r="DTS2198" s="10"/>
      <c r="DTT2198" s="10"/>
      <c r="DTU2198" s="10"/>
      <c r="DTV2198" s="10"/>
      <c r="DTW2198" s="10"/>
      <c r="DTX2198" s="10"/>
      <c r="DTY2198" s="10"/>
      <c r="DTZ2198" s="10"/>
      <c r="DUA2198" s="10"/>
      <c r="DUB2198" s="10"/>
      <c r="DUC2198" s="10"/>
      <c r="DUD2198" s="10"/>
      <c r="DUE2198" s="10"/>
      <c r="DUF2198" s="10"/>
      <c r="DUG2198" s="10"/>
      <c r="DUH2198" s="10"/>
      <c r="DUI2198" s="10"/>
      <c r="DUJ2198" s="10"/>
      <c r="DUK2198" s="10"/>
      <c r="DUL2198" s="10"/>
      <c r="DUM2198" s="10"/>
      <c r="DUN2198" s="10"/>
      <c r="DUO2198" s="10"/>
      <c r="DUP2198" s="10"/>
      <c r="DUQ2198" s="10"/>
      <c r="DUR2198" s="10"/>
      <c r="DUS2198" s="10"/>
      <c r="DUT2198" s="10"/>
      <c r="DUU2198" s="10"/>
      <c r="DUV2198" s="10"/>
      <c r="DUW2198" s="10"/>
      <c r="DUX2198" s="10"/>
      <c r="DUY2198" s="10"/>
      <c r="DUZ2198" s="10"/>
      <c r="DVA2198" s="10"/>
      <c r="DVB2198" s="10"/>
      <c r="DVC2198" s="10"/>
      <c r="DVD2198" s="10"/>
      <c r="DVE2198" s="10"/>
      <c r="DVF2198" s="10"/>
      <c r="DVG2198" s="10"/>
      <c r="DVH2198" s="10"/>
      <c r="DVI2198" s="10"/>
      <c r="DVJ2198" s="10"/>
      <c r="DVK2198" s="10"/>
      <c r="DVL2198" s="10"/>
      <c r="DVM2198" s="10"/>
      <c r="DVN2198" s="10"/>
      <c r="DVO2198" s="10"/>
      <c r="DVP2198" s="10"/>
      <c r="DVQ2198" s="10"/>
      <c r="DVR2198" s="10"/>
      <c r="DVS2198" s="10"/>
      <c r="DVT2198" s="10"/>
      <c r="DVU2198" s="10"/>
      <c r="DVV2198" s="10"/>
      <c r="DVW2198" s="10"/>
      <c r="DVX2198" s="10"/>
      <c r="DVY2198" s="10"/>
      <c r="DVZ2198" s="10"/>
      <c r="DWA2198" s="10"/>
      <c r="DWB2198" s="10"/>
      <c r="DWC2198" s="10"/>
      <c r="DWD2198" s="10"/>
      <c r="DWE2198" s="10"/>
      <c r="DWF2198" s="10"/>
      <c r="DWG2198" s="10"/>
      <c r="DWH2198" s="10"/>
      <c r="DWI2198" s="10"/>
      <c r="DWJ2198" s="10"/>
      <c r="DWK2198" s="10"/>
      <c r="DWL2198" s="10"/>
      <c r="DWM2198" s="10"/>
      <c r="DWN2198" s="10"/>
      <c r="DWO2198" s="10"/>
      <c r="DWP2198" s="10"/>
      <c r="DWQ2198" s="10"/>
      <c r="DWR2198" s="10"/>
      <c r="DWS2198" s="10"/>
      <c r="DWT2198" s="10"/>
      <c r="DWU2198" s="10"/>
      <c r="DWV2198" s="10"/>
      <c r="DWW2198" s="10"/>
      <c r="DWX2198" s="10"/>
      <c r="DWY2198" s="10"/>
      <c r="DWZ2198" s="10"/>
      <c r="DXA2198" s="10"/>
      <c r="DXB2198" s="10"/>
      <c r="DXC2198" s="10"/>
      <c r="DXD2198" s="10"/>
      <c r="DXE2198" s="10"/>
      <c r="DXF2198" s="10"/>
      <c r="DXG2198" s="10"/>
      <c r="DXH2198" s="10"/>
      <c r="DXI2198" s="10"/>
      <c r="DXJ2198" s="10"/>
      <c r="DXK2198" s="10"/>
      <c r="DXL2198" s="10"/>
      <c r="DXM2198" s="10"/>
      <c r="DXN2198" s="10"/>
      <c r="DXO2198" s="10"/>
      <c r="DXP2198" s="10"/>
      <c r="DXQ2198" s="10"/>
      <c r="DXR2198" s="10"/>
      <c r="DXS2198" s="10"/>
      <c r="DXT2198" s="10"/>
      <c r="DXU2198" s="10"/>
      <c r="DXV2198" s="10"/>
      <c r="DXW2198" s="10"/>
      <c r="DXX2198" s="10"/>
      <c r="DXY2198" s="10"/>
      <c r="DXZ2198" s="10"/>
      <c r="DYA2198" s="10"/>
      <c r="DYB2198" s="10"/>
      <c r="DYC2198" s="10"/>
      <c r="DYD2198" s="10"/>
      <c r="DYE2198" s="10"/>
      <c r="DYF2198" s="10"/>
      <c r="DYG2198" s="10"/>
      <c r="DYH2198" s="10"/>
      <c r="DYI2198" s="10"/>
      <c r="DYJ2198" s="10"/>
      <c r="DYK2198" s="10"/>
      <c r="DYL2198" s="10"/>
      <c r="DYM2198" s="10"/>
      <c r="DYN2198" s="10"/>
      <c r="DYO2198" s="10"/>
      <c r="DYP2198" s="10"/>
      <c r="DYQ2198" s="10"/>
      <c r="DYR2198" s="10"/>
      <c r="DYS2198" s="10"/>
      <c r="DYT2198" s="10"/>
      <c r="DYU2198" s="10"/>
      <c r="DYV2198" s="10"/>
      <c r="DYW2198" s="10"/>
      <c r="DYX2198" s="10"/>
      <c r="DYY2198" s="10"/>
      <c r="DYZ2198" s="10"/>
      <c r="DZA2198" s="10"/>
      <c r="DZB2198" s="10"/>
      <c r="DZC2198" s="10"/>
      <c r="DZD2198" s="10"/>
      <c r="DZE2198" s="10"/>
      <c r="DZF2198" s="10"/>
      <c r="DZG2198" s="10"/>
      <c r="DZH2198" s="10"/>
      <c r="DZI2198" s="10"/>
      <c r="DZJ2198" s="10"/>
      <c r="DZK2198" s="10"/>
      <c r="DZL2198" s="10"/>
      <c r="DZM2198" s="10"/>
      <c r="DZN2198" s="10"/>
      <c r="DZO2198" s="10"/>
      <c r="DZP2198" s="10"/>
      <c r="DZQ2198" s="10"/>
      <c r="DZR2198" s="10"/>
      <c r="DZS2198" s="10"/>
      <c r="DZT2198" s="10"/>
      <c r="DZU2198" s="10"/>
      <c r="DZV2198" s="10"/>
      <c r="DZW2198" s="10"/>
      <c r="DZX2198" s="10"/>
      <c r="DZY2198" s="10"/>
      <c r="DZZ2198" s="10"/>
      <c r="EAA2198" s="10"/>
      <c r="EAB2198" s="10"/>
      <c r="EAC2198" s="10"/>
      <c r="EAD2198" s="10"/>
      <c r="EAE2198" s="10"/>
      <c r="EAF2198" s="10"/>
      <c r="EAG2198" s="10"/>
      <c r="EAH2198" s="10"/>
      <c r="EAI2198" s="10"/>
      <c r="EAJ2198" s="10"/>
      <c r="EAK2198" s="10"/>
      <c r="EAL2198" s="10"/>
      <c r="EAM2198" s="10"/>
      <c r="EAN2198" s="10"/>
      <c r="EAO2198" s="10"/>
      <c r="EAP2198" s="10"/>
      <c r="EAQ2198" s="10"/>
      <c r="EAR2198" s="10"/>
      <c r="EAS2198" s="10"/>
      <c r="EAT2198" s="10"/>
      <c r="EAU2198" s="10"/>
      <c r="EAV2198" s="10"/>
      <c r="EAW2198" s="10"/>
      <c r="EAX2198" s="10"/>
      <c r="EAY2198" s="10"/>
      <c r="EAZ2198" s="10"/>
      <c r="EBA2198" s="10"/>
      <c r="EBB2198" s="10"/>
      <c r="EBC2198" s="10"/>
      <c r="EBD2198" s="10"/>
      <c r="EBE2198" s="10"/>
      <c r="EBF2198" s="10"/>
      <c r="EBG2198" s="10"/>
      <c r="EBH2198" s="10"/>
      <c r="EBI2198" s="10"/>
      <c r="EBJ2198" s="10"/>
      <c r="EBK2198" s="10"/>
      <c r="EBL2198" s="10"/>
      <c r="EBM2198" s="10"/>
      <c r="EBN2198" s="10"/>
      <c r="EBO2198" s="10"/>
      <c r="EBP2198" s="10"/>
      <c r="EBQ2198" s="10"/>
      <c r="EBR2198" s="10"/>
      <c r="EBS2198" s="10"/>
      <c r="EBT2198" s="10"/>
      <c r="EBU2198" s="10"/>
      <c r="EBV2198" s="10"/>
      <c r="EBW2198" s="10"/>
      <c r="EBX2198" s="10"/>
      <c r="EBY2198" s="10"/>
      <c r="EBZ2198" s="10"/>
      <c r="ECA2198" s="10"/>
      <c r="ECB2198" s="10"/>
      <c r="ECC2198" s="10"/>
      <c r="ECD2198" s="10"/>
      <c r="ECE2198" s="10"/>
      <c r="ECF2198" s="10"/>
      <c r="ECG2198" s="10"/>
      <c r="ECH2198" s="10"/>
      <c r="ECI2198" s="10"/>
      <c r="ECJ2198" s="10"/>
      <c r="ECK2198" s="10"/>
      <c r="ECL2198" s="10"/>
      <c r="ECM2198" s="10"/>
      <c r="ECN2198" s="10"/>
      <c r="ECO2198" s="10"/>
      <c r="ECP2198" s="10"/>
      <c r="ECQ2198" s="10"/>
      <c r="ECR2198" s="10"/>
      <c r="ECS2198" s="10"/>
      <c r="ECT2198" s="10"/>
      <c r="ECU2198" s="10"/>
      <c r="ECV2198" s="10"/>
      <c r="ECW2198" s="10"/>
      <c r="ECX2198" s="10"/>
      <c r="ECY2198" s="10"/>
      <c r="ECZ2198" s="10"/>
      <c r="EDA2198" s="10"/>
      <c r="EDB2198" s="10"/>
      <c r="EDC2198" s="10"/>
      <c r="EDD2198" s="10"/>
      <c r="EDE2198" s="10"/>
      <c r="EDF2198" s="10"/>
      <c r="EDG2198" s="10"/>
      <c r="EDH2198" s="10"/>
      <c r="EDI2198" s="10"/>
      <c r="EDJ2198" s="10"/>
      <c r="EDK2198" s="10"/>
      <c r="EDL2198" s="10"/>
      <c r="EDM2198" s="10"/>
      <c r="EDN2198" s="10"/>
      <c r="EDO2198" s="10"/>
      <c r="EDP2198" s="10"/>
      <c r="EDQ2198" s="10"/>
      <c r="EDR2198" s="10"/>
      <c r="EDS2198" s="10"/>
      <c r="EDT2198" s="10"/>
      <c r="EDU2198" s="10"/>
      <c r="EDV2198" s="10"/>
      <c r="EDW2198" s="10"/>
      <c r="EDX2198" s="10"/>
      <c r="EDY2198" s="10"/>
      <c r="EDZ2198" s="10"/>
      <c r="EEA2198" s="10"/>
      <c r="EEB2198" s="10"/>
      <c r="EEC2198" s="10"/>
      <c r="EED2198" s="10"/>
      <c r="EEE2198" s="10"/>
      <c r="EEF2198" s="10"/>
      <c r="EEG2198" s="10"/>
      <c r="EEH2198" s="10"/>
      <c r="EEI2198" s="10"/>
      <c r="EEJ2198" s="10"/>
      <c r="EEK2198" s="10"/>
      <c r="EEL2198" s="10"/>
      <c r="EEM2198" s="10"/>
      <c r="EEN2198" s="10"/>
      <c r="EEO2198" s="10"/>
      <c r="EEP2198" s="10"/>
      <c r="EEQ2198" s="10"/>
      <c r="EER2198" s="10"/>
      <c r="EES2198" s="10"/>
      <c r="EET2198" s="10"/>
      <c r="EEU2198" s="10"/>
      <c r="EEV2198" s="10"/>
      <c r="EEW2198" s="10"/>
      <c r="EEX2198" s="10"/>
      <c r="EEY2198" s="10"/>
      <c r="EEZ2198" s="10"/>
      <c r="EFA2198" s="10"/>
      <c r="EFB2198" s="10"/>
      <c r="EFC2198" s="10"/>
      <c r="EFD2198" s="10"/>
      <c r="EFE2198" s="10"/>
      <c r="EFF2198" s="10"/>
      <c r="EFG2198" s="10"/>
      <c r="EFH2198" s="10"/>
      <c r="EFI2198" s="10"/>
      <c r="EFJ2198" s="10"/>
      <c r="EFK2198" s="10"/>
      <c r="EFL2198" s="10"/>
      <c r="EFM2198" s="10"/>
      <c r="EFN2198" s="10"/>
      <c r="EFO2198" s="10"/>
      <c r="EFP2198" s="10"/>
      <c r="EFQ2198" s="10"/>
      <c r="EFR2198" s="10"/>
      <c r="EFS2198" s="10"/>
      <c r="EFT2198" s="10"/>
      <c r="EFU2198" s="10"/>
      <c r="EFV2198" s="10"/>
      <c r="EFW2198" s="10"/>
      <c r="EFX2198" s="10"/>
      <c r="EFY2198" s="10"/>
      <c r="EFZ2198" s="10"/>
      <c r="EGA2198" s="10"/>
      <c r="EGB2198" s="10"/>
      <c r="EGC2198" s="10"/>
      <c r="EGD2198" s="10"/>
      <c r="EGE2198" s="10"/>
      <c r="EGF2198" s="10"/>
      <c r="EGG2198" s="10"/>
      <c r="EGH2198" s="10"/>
      <c r="EGI2198" s="10"/>
      <c r="EGJ2198" s="10"/>
      <c r="EGK2198" s="10"/>
      <c r="EGL2198" s="10"/>
      <c r="EGM2198" s="10"/>
      <c r="EGN2198" s="10"/>
      <c r="EGO2198" s="10"/>
      <c r="EGP2198" s="10"/>
      <c r="EGQ2198" s="10"/>
      <c r="EGR2198" s="10"/>
      <c r="EGS2198" s="10"/>
      <c r="EGT2198" s="10"/>
      <c r="EGU2198" s="10"/>
      <c r="EGV2198" s="10"/>
      <c r="EGW2198" s="10"/>
      <c r="EGX2198" s="10"/>
      <c r="EGY2198" s="10"/>
      <c r="EGZ2198" s="10"/>
      <c r="EHA2198" s="10"/>
      <c r="EHB2198" s="10"/>
      <c r="EHC2198" s="10"/>
      <c r="EHD2198" s="10"/>
      <c r="EHE2198" s="10"/>
      <c r="EHF2198" s="10"/>
      <c r="EHG2198" s="10"/>
      <c r="EHH2198" s="10"/>
      <c r="EHI2198" s="10"/>
      <c r="EHJ2198" s="10"/>
      <c r="EHK2198" s="10"/>
      <c r="EHL2198" s="10"/>
      <c r="EHM2198" s="10"/>
      <c r="EHN2198" s="10"/>
      <c r="EHO2198" s="10"/>
      <c r="EHP2198" s="10"/>
      <c r="EHQ2198" s="10"/>
      <c r="EHR2198" s="10"/>
      <c r="EHS2198" s="10"/>
      <c r="EHT2198" s="10"/>
      <c r="EHU2198" s="10"/>
      <c r="EHV2198" s="10"/>
      <c r="EHW2198" s="10"/>
      <c r="EHX2198" s="10"/>
      <c r="EHY2198" s="10"/>
      <c r="EHZ2198" s="10"/>
      <c r="EIA2198" s="10"/>
      <c r="EIB2198" s="10"/>
      <c r="EIC2198" s="10"/>
      <c r="EID2198" s="10"/>
      <c r="EIE2198" s="10"/>
      <c r="EIF2198" s="10"/>
      <c r="EIG2198" s="10"/>
      <c r="EIH2198" s="10"/>
      <c r="EII2198" s="10"/>
      <c r="EIJ2198" s="10"/>
      <c r="EIK2198" s="10"/>
      <c r="EIL2198" s="10"/>
      <c r="EIM2198" s="10"/>
      <c r="EIN2198" s="10"/>
      <c r="EIO2198" s="10"/>
      <c r="EIP2198" s="10"/>
      <c r="EIQ2198" s="10"/>
      <c r="EIR2198" s="10"/>
      <c r="EIS2198" s="10"/>
      <c r="EIT2198" s="10"/>
      <c r="EIU2198" s="10"/>
      <c r="EIV2198" s="10"/>
      <c r="EIW2198" s="10"/>
      <c r="EIX2198" s="10"/>
      <c r="EIY2198" s="10"/>
      <c r="EIZ2198" s="10"/>
      <c r="EJA2198" s="10"/>
      <c r="EJB2198" s="10"/>
      <c r="EJC2198" s="10"/>
      <c r="EJD2198" s="10"/>
      <c r="EJE2198" s="10"/>
      <c r="EJF2198" s="10"/>
      <c r="EJG2198" s="10"/>
      <c r="EJH2198" s="10"/>
      <c r="EJI2198" s="10"/>
      <c r="EJJ2198" s="10"/>
      <c r="EJK2198" s="10"/>
      <c r="EJL2198" s="10"/>
      <c r="EJM2198" s="10"/>
      <c r="EJN2198" s="10"/>
      <c r="EJO2198" s="10"/>
      <c r="EJP2198" s="10"/>
      <c r="EJQ2198" s="10"/>
      <c r="EJR2198" s="10"/>
      <c r="EJS2198" s="10"/>
      <c r="EJT2198" s="10"/>
      <c r="EJU2198" s="10"/>
      <c r="EJV2198" s="10"/>
      <c r="EJW2198" s="10"/>
      <c r="EJX2198" s="10"/>
      <c r="EJY2198" s="10"/>
      <c r="EJZ2198" s="10"/>
      <c r="EKA2198" s="10"/>
      <c r="EKB2198" s="10"/>
      <c r="EKC2198" s="10"/>
      <c r="EKD2198" s="10"/>
      <c r="EKE2198" s="10"/>
      <c r="EKF2198" s="10"/>
      <c r="EKG2198" s="10"/>
      <c r="EKH2198" s="10"/>
      <c r="EKI2198" s="10"/>
      <c r="EKJ2198" s="10"/>
      <c r="EKK2198" s="10"/>
      <c r="EKL2198" s="10"/>
      <c r="EKM2198" s="10"/>
      <c r="EKN2198" s="10"/>
      <c r="EKO2198" s="10"/>
      <c r="EKP2198" s="10"/>
      <c r="EKQ2198" s="10"/>
      <c r="EKR2198" s="10"/>
      <c r="EKS2198" s="10"/>
      <c r="EKT2198" s="10"/>
      <c r="EKU2198" s="10"/>
      <c r="EKV2198" s="10"/>
      <c r="EKW2198" s="10"/>
      <c r="EKX2198" s="10"/>
      <c r="EKY2198" s="10"/>
      <c r="EKZ2198" s="10"/>
      <c r="ELA2198" s="10"/>
      <c r="ELB2198" s="10"/>
      <c r="ELC2198" s="10"/>
      <c r="ELD2198" s="10"/>
      <c r="ELE2198" s="10"/>
      <c r="ELF2198" s="10"/>
      <c r="ELG2198" s="10"/>
      <c r="ELH2198" s="10"/>
      <c r="ELI2198" s="10"/>
      <c r="ELJ2198" s="10"/>
      <c r="ELK2198" s="10"/>
      <c r="ELL2198" s="10"/>
      <c r="ELM2198" s="10"/>
      <c r="ELN2198" s="10"/>
      <c r="ELO2198" s="10"/>
      <c r="ELP2198" s="10"/>
      <c r="ELQ2198" s="10"/>
      <c r="ELR2198" s="10"/>
      <c r="ELS2198" s="10"/>
      <c r="ELT2198" s="10"/>
      <c r="ELU2198" s="10"/>
      <c r="ELV2198" s="10"/>
      <c r="ELW2198" s="10"/>
      <c r="ELX2198" s="10"/>
      <c r="ELY2198" s="10"/>
      <c r="ELZ2198" s="10"/>
      <c r="EMA2198" s="10"/>
      <c r="EMB2198" s="10"/>
      <c r="EMC2198" s="10"/>
      <c r="EMD2198" s="10"/>
      <c r="EME2198" s="10"/>
      <c r="EMF2198" s="10"/>
      <c r="EMG2198" s="10"/>
      <c r="EMH2198" s="10"/>
      <c r="EMI2198" s="10"/>
      <c r="EMJ2198" s="10"/>
      <c r="EMK2198" s="10"/>
      <c r="EML2198" s="10"/>
      <c r="EMM2198" s="10"/>
      <c r="EMN2198" s="10"/>
      <c r="EMO2198" s="10"/>
      <c r="EMP2198" s="10"/>
      <c r="EMQ2198" s="10"/>
      <c r="EMR2198" s="10"/>
      <c r="EMS2198" s="10"/>
      <c r="EMT2198" s="10"/>
      <c r="EMU2198" s="10"/>
      <c r="EMV2198" s="10"/>
      <c r="EMW2198" s="10"/>
      <c r="EMX2198" s="10"/>
      <c r="EMY2198" s="10"/>
      <c r="EMZ2198" s="10"/>
      <c r="ENA2198" s="10"/>
      <c r="ENB2198" s="10"/>
      <c r="ENC2198" s="10"/>
      <c r="END2198" s="10"/>
      <c r="ENE2198" s="10"/>
      <c r="ENF2198" s="10"/>
      <c r="ENG2198" s="10"/>
      <c r="ENH2198" s="10"/>
      <c r="ENI2198" s="10"/>
      <c r="ENJ2198" s="10"/>
      <c r="ENK2198" s="10"/>
      <c r="ENL2198" s="10"/>
      <c r="ENM2198" s="10"/>
      <c r="ENN2198" s="10"/>
      <c r="ENO2198" s="10"/>
      <c r="ENP2198" s="10"/>
      <c r="ENQ2198" s="10"/>
      <c r="ENR2198" s="10"/>
      <c r="ENS2198" s="10"/>
      <c r="ENT2198" s="10"/>
      <c r="ENU2198" s="10"/>
      <c r="ENV2198" s="10"/>
      <c r="ENW2198" s="10"/>
      <c r="ENX2198" s="10"/>
      <c r="ENY2198" s="10"/>
      <c r="ENZ2198" s="10"/>
      <c r="EOA2198" s="10"/>
      <c r="EOB2198" s="10"/>
      <c r="EOC2198" s="10"/>
      <c r="EOD2198" s="10"/>
      <c r="EOE2198" s="10"/>
      <c r="EOF2198" s="10"/>
      <c r="EOG2198" s="10"/>
      <c r="EOH2198" s="10"/>
      <c r="EOI2198" s="10"/>
      <c r="EOJ2198" s="10"/>
      <c r="EOK2198" s="10"/>
      <c r="EOL2198" s="10"/>
      <c r="EOM2198" s="10"/>
      <c r="EON2198" s="10"/>
      <c r="EOO2198" s="10"/>
      <c r="EOP2198" s="10"/>
      <c r="EOQ2198" s="10"/>
      <c r="EOR2198" s="10"/>
      <c r="EOS2198" s="10"/>
      <c r="EOT2198" s="10"/>
      <c r="EOU2198" s="10"/>
      <c r="EOV2198" s="10"/>
      <c r="EOW2198" s="10"/>
      <c r="EOX2198" s="10"/>
      <c r="EOY2198" s="10"/>
      <c r="EOZ2198" s="10"/>
      <c r="EPA2198" s="10"/>
      <c r="EPB2198" s="10"/>
      <c r="EPC2198" s="10"/>
      <c r="EPD2198" s="10"/>
      <c r="EPE2198" s="10"/>
      <c r="EPF2198" s="10"/>
      <c r="EPG2198" s="10"/>
      <c r="EPH2198" s="10"/>
      <c r="EPI2198" s="10"/>
      <c r="EPJ2198" s="10"/>
      <c r="EPK2198" s="10"/>
      <c r="EPL2198" s="10"/>
      <c r="EPM2198" s="10"/>
      <c r="EPN2198" s="10"/>
      <c r="EPO2198" s="10"/>
      <c r="EPP2198" s="10"/>
      <c r="EPQ2198" s="10"/>
      <c r="EPR2198" s="10"/>
      <c r="EPS2198" s="10"/>
      <c r="EPT2198" s="10"/>
      <c r="EPU2198" s="10"/>
      <c r="EPV2198" s="10"/>
      <c r="EPW2198" s="10"/>
      <c r="EPX2198" s="10"/>
      <c r="EPY2198" s="10"/>
      <c r="EPZ2198" s="10"/>
      <c r="EQA2198" s="10"/>
      <c r="EQB2198" s="10"/>
      <c r="EQC2198" s="10"/>
      <c r="EQD2198" s="10"/>
      <c r="EQE2198" s="10"/>
      <c r="EQF2198" s="10"/>
      <c r="EQG2198" s="10"/>
      <c r="EQH2198" s="10"/>
      <c r="EQI2198" s="10"/>
      <c r="EQJ2198" s="10"/>
      <c r="EQK2198" s="10"/>
      <c r="EQL2198" s="10"/>
      <c r="EQM2198" s="10"/>
      <c r="EQN2198" s="10"/>
      <c r="EQO2198" s="10"/>
      <c r="EQP2198" s="10"/>
      <c r="EQQ2198" s="10"/>
      <c r="EQR2198" s="10"/>
      <c r="EQS2198" s="10"/>
      <c r="EQT2198" s="10"/>
      <c r="EQU2198" s="10"/>
      <c r="EQV2198" s="10"/>
      <c r="EQW2198" s="10"/>
      <c r="EQX2198" s="10"/>
      <c r="EQY2198" s="10"/>
      <c r="EQZ2198" s="10"/>
      <c r="ERA2198" s="10"/>
      <c r="ERB2198" s="10"/>
      <c r="ERC2198" s="10"/>
      <c r="ERD2198" s="10"/>
      <c r="ERE2198" s="10"/>
      <c r="ERF2198" s="10"/>
      <c r="ERG2198" s="10"/>
      <c r="ERH2198" s="10"/>
      <c r="ERI2198" s="10"/>
      <c r="ERJ2198" s="10"/>
      <c r="ERK2198" s="10"/>
      <c r="ERL2198" s="10"/>
      <c r="ERM2198" s="10"/>
      <c r="ERN2198" s="10"/>
      <c r="ERO2198" s="10"/>
      <c r="ERP2198" s="10"/>
      <c r="ERQ2198" s="10"/>
      <c r="ERR2198" s="10"/>
      <c r="ERS2198" s="10"/>
      <c r="ERT2198" s="10"/>
      <c r="ERU2198" s="10"/>
      <c r="ERV2198" s="10"/>
      <c r="ERW2198" s="10"/>
      <c r="ERX2198" s="10"/>
      <c r="ERY2198" s="10"/>
      <c r="ERZ2198" s="10"/>
      <c r="ESA2198" s="10"/>
      <c r="ESB2198" s="10"/>
      <c r="ESC2198" s="10"/>
      <c r="ESD2198" s="10"/>
      <c r="ESE2198" s="10"/>
      <c r="ESF2198" s="10"/>
      <c r="ESG2198" s="10"/>
      <c r="ESH2198" s="10"/>
      <c r="ESI2198" s="10"/>
      <c r="ESJ2198" s="10"/>
      <c r="ESK2198" s="10"/>
      <c r="ESL2198" s="10"/>
      <c r="ESM2198" s="10"/>
      <c r="ESN2198" s="10"/>
      <c r="ESO2198" s="10"/>
      <c r="ESP2198" s="10"/>
      <c r="ESQ2198" s="10"/>
      <c r="ESR2198" s="10"/>
      <c r="ESS2198" s="10"/>
      <c r="EST2198" s="10"/>
      <c r="ESU2198" s="10"/>
      <c r="ESV2198" s="10"/>
      <c r="ESW2198" s="10"/>
      <c r="ESX2198" s="10"/>
      <c r="ESY2198" s="10"/>
      <c r="ESZ2198" s="10"/>
      <c r="ETA2198" s="10"/>
      <c r="ETB2198" s="10"/>
      <c r="ETC2198" s="10"/>
      <c r="ETD2198" s="10"/>
      <c r="ETE2198" s="10"/>
      <c r="ETF2198" s="10"/>
      <c r="ETG2198" s="10"/>
      <c r="ETH2198" s="10"/>
      <c r="ETI2198" s="10"/>
      <c r="ETJ2198" s="10"/>
      <c r="ETK2198" s="10"/>
      <c r="ETL2198" s="10"/>
      <c r="ETM2198" s="10"/>
      <c r="ETN2198" s="10"/>
      <c r="ETO2198" s="10"/>
      <c r="ETP2198" s="10"/>
      <c r="ETQ2198" s="10"/>
      <c r="ETR2198" s="10"/>
      <c r="ETS2198" s="10"/>
      <c r="ETT2198" s="10"/>
      <c r="ETU2198" s="10"/>
      <c r="ETV2198" s="10"/>
      <c r="ETW2198" s="10"/>
      <c r="ETX2198" s="10"/>
      <c r="ETY2198" s="10"/>
      <c r="ETZ2198" s="10"/>
      <c r="EUA2198" s="10"/>
      <c r="EUB2198" s="10"/>
      <c r="EUC2198" s="10"/>
      <c r="EUD2198" s="10"/>
      <c r="EUE2198" s="10"/>
      <c r="EUF2198" s="10"/>
      <c r="EUG2198" s="10"/>
      <c r="EUH2198" s="10"/>
      <c r="EUI2198" s="10"/>
      <c r="EUJ2198" s="10"/>
      <c r="EUK2198" s="10"/>
      <c r="EUL2198" s="10"/>
      <c r="EUM2198" s="10"/>
      <c r="EUN2198" s="10"/>
      <c r="EUO2198" s="10"/>
      <c r="EUP2198" s="10"/>
      <c r="EUQ2198" s="10"/>
      <c r="EUR2198" s="10"/>
      <c r="EUS2198" s="10"/>
      <c r="EUT2198" s="10"/>
      <c r="EUU2198" s="10"/>
      <c r="EUV2198" s="10"/>
      <c r="EUW2198" s="10"/>
      <c r="EUX2198" s="10"/>
      <c r="EUY2198" s="10"/>
      <c r="EUZ2198" s="10"/>
      <c r="EVA2198" s="10"/>
      <c r="EVB2198" s="10"/>
      <c r="EVC2198" s="10"/>
      <c r="EVD2198" s="10"/>
      <c r="EVE2198" s="10"/>
      <c r="EVF2198" s="10"/>
      <c r="EVG2198" s="10"/>
      <c r="EVH2198" s="10"/>
      <c r="EVI2198" s="10"/>
      <c r="EVJ2198" s="10"/>
      <c r="EVK2198" s="10"/>
      <c r="EVL2198" s="10"/>
      <c r="EVM2198" s="10"/>
      <c r="EVN2198" s="10"/>
      <c r="EVO2198" s="10"/>
      <c r="EVP2198" s="10"/>
      <c r="EVQ2198" s="10"/>
      <c r="EVR2198" s="10"/>
      <c r="EVS2198" s="10"/>
      <c r="EVT2198" s="10"/>
      <c r="EVU2198" s="10"/>
      <c r="EVV2198" s="10"/>
      <c r="EVW2198" s="10"/>
      <c r="EVX2198" s="10"/>
      <c r="EVY2198" s="10"/>
      <c r="EVZ2198" s="10"/>
      <c r="EWA2198" s="10"/>
      <c r="EWB2198" s="10"/>
      <c r="EWC2198" s="10"/>
      <c r="EWD2198" s="10"/>
      <c r="EWE2198" s="10"/>
      <c r="EWF2198" s="10"/>
      <c r="EWG2198" s="10"/>
      <c r="EWH2198" s="10"/>
      <c r="EWI2198" s="10"/>
      <c r="EWJ2198" s="10"/>
      <c r="EWK2198" s="10"/>
      <c r="EWL2198" s="10"/>
      <c r="EWM2198" s="10"/>
      <c r="EWN2198" s="10"/>
      <c r="EWO2198" s="10"/>
      <c r="EWP2198" s="10"/>
      <c r="EWQ2198" s="10"/>
      <c r="EWR2198" s="10"/>
      <c r="EWS2198" s="10"/>
      <c r="EWT2198" s="10"/>
      <c r="EWU2198" s="10"/>
      <c r="EWV2198" s="10"/>
      <c r="EWW2198" s="10"/>
      <c r="EWX2198" s="10"/>
      <c r="EWY2198" s="10"/>
      <c r="EWZ2198" s="10"/>
      <c r="EXA2198" s="10"/>
      <c r="EXB2198" s="10"/>
      <c r="EXC2198" s="10"/>
      <c r="EXD2198" s="10"/>
      <c r="EXE2198" s="10"/>
      <c r="EXF2198" s="10"/>
      <c r="EXG2198" s="10"/>
      <c r="EXH2198" s="10"/>
      <c r="EXI2198" s="10"/>
      <c r="EXJ2198" s="10"/>
      <c r="EXK2198" s="10"/>
      <c r="EXL2198" s="10"/>
      <c r="EXM2198" s="10"/>
      <c r="EXN2198" s="10"/>
      <c r="EXO2198" s="10"/>
      <c r="EXP2198" s="10"/>
      <c r="EXQ2198" s="10"/>
      <c r="EXR2198" s="10"/>
      <c r="EXS2198" s="10"/>
      <c r="EXT2198" s="10"/>
      <c r="EXU2198" s="10"/>
      <c r="EXV2198" s="10"/>
      <c r="EXW2198" s="10"/>
      <c r="EXX2198" s="10"/>
      <c r="EXY2198" s="10"/>
      <c r="EXZ2198" s="10"/>
      <c r="EYA2198" s="10"/>
      <c r="EYB2198" s="10"/>
      <c r="EYC2198" s="10"/>
      <c r="EYD2198" s="10"/>
      <c r="EYE2198" s="10"/>
      <c r="EYF2198" s="10"/>
      <c r="EYG2198" s="10"/>
      <c r="EYH2198" s="10"/>
      <c r="EYI2198" s="10"/>
      <c r="EYJ2198" s="10"/>
      <c r="EYK2198" s="10"/>
      <c r="EYL2198" s="10"/>
      <c r="EYM2198" s="10"/>
      <c r="EYN2198" s="10"/>
      <c r="EYO2198" s="10"/>
      <c r="EYP2198" s="10"/>
      <c r="EYQ2198" s="10"/>
      <c r="EYR2198" s="10"/>
      <c r="EYS2198" s="10"/>
      <c r="EYT2198" s="10"/>
      <c r="EYU2198" s="10"/>
      <c r="EYV2198" s="10"/>
      <c r="EYW2198" s="10"/>
      <c r="EYX2198" s="10"/>
      <c r="EYY2198" s="10"/>
      <c r="EYZ2198" s="10"/>
      <c r="EZA2198" s="10"/>
      <c r="EZB2198" s="10"/>
      <c r="EZC2198" s="10"/>
      <c r="EZD2198" s="10"/>
      <c r="EZE2198" s="10"/>
      <c r="EZF2198" s="10"/>
      <c r="EZG2198" s="10"/>
      <c r="EZH2198" s="10"/>
      <c r="EZI2198" s="10"/>
      <c r="EZJ2198" s="10"/>
      <c r="EZK2198" s="10"/>
      <c r="EZL2198" s="10"/>
      <c r="EZM2198" s="10"/>
      <c r="EZN2198" s="10"/>
      <c r="EZO2198" s="10"/>
      <c r="EZP2198" s="10"/>
      <c r="EZQ2198" s="10"/>
      <c r="EZR2198" s="10"/>
      <c r="EZS2198" s="10"/>
      <c r="EZT2198" s="10"/>
      <c r="EZU2198" s="10"/>
      <c r="EZV2198" s="10"/>
      <c r="EZW2198" s="10"/>
      <c r="EZX2198" s="10"/>
      <c r="EZY2198" s="10"/>
      <c r="EZZ2198" s="10"/>
      <c r="FAA2198" s="10"/>
      <c r="FAB2198" s="10"/>
      <c r="FAC2198" s="10"/>
      <c r="FAD2198" s="10"/>
      <c r="FAE2198" s="10"/>
      <c r="FAF2198" s="10"/>
      <c r="FAG2198" s="10"/>
      <c r="FAH2198" s="10"/>
      <c r="FAI2198" s="10"/>
      <c r="FAJ2198" s="10"/>
      <c r="FAK2198" s="10"/>
      <c r="FAL2198" s="10"/>
      <c r="FAM2198" s="10"/>
      <c r="FAN2198" s="10"/>
      <c r="FAO2198" s="10"/>
      <c r="FAP2198" s="10"/>
      <c r="FAQ2198" s="10"/>
      <c r="FAR2198" s="10"/>
      <c r="FAS2198" s="10"/>
      <c r="FAT2198" s="10"/>
      <c r="FAU2198" s="10"/>
      <c r="FAV2198" s="10"/>
      <c r="FAW2198" s="10"/>
      <c r="FAX2198" s="10"/>
      <c r="FAY2198" s="10"/>
      <c r="FAZ2198" s="10"/>
      <c r="FBA2198" s="10"/>
      <c r="FBB2198" s="10"/>
      <c r="FBC2198" s="10"/>
      <c r="FBD2198" s="10"/>
      <c r="FBE2198" s="10"/>
      <c r="FBF2198" s="10"/>
      <c r="FBG2198" s="10"/>
      <c r="FBH2198" s="10"/>
      <c r="FBI2198" s="10"/>
      <c r="FBJ2198" s="10"/>
      <c r="FBK2198" s="10"/>
      <c r="FBL2198" s="10"/>
      <c r="FBM2198" s="10"/>
      <c r="FBN2198" s="10"/>
      <c r="FBO2198" s="10"/>
      <c r="FBP2198" s="10"/>
      <c r="FBQ2198" s="10"/>
      <c r="FBR2198" s="10"/>
      <c r="FBS2198" s="10"/>
      <c r="FBT2198" s="10"/>
      <c r="FBU2198" s="10"/>
      <c r="FBV2198" s="10"/>
      <c r="FBW2198" s="10"/>
      <c r="FBX2198" s="10"/>
      <c r="FBY2198" s="10"/>
      <c r="FBZ2198" s="10"/>
      <c r="FCA2198" s="10"/>
      <c r="FCB2198" s="10"/>
      <c r="FCC2198" s="10"/>
      <c r="FCD2198" s="10"/>
      <c r="FCE2198" s="10"/>
      <c r="FCF2198" s="10"/>
      <c r="FCG2198" s="10"/>
      <c r="FCH2198" s="10"/>
      <c r="FCI2198" s="10"/>
      <c r="FCJ2198" s="10"/>
      <c r="FCK2198" s="10"/>
      <c r="FCL2198" s="10"/>
      <c r="FCM2198" s="10"/>
      <c r="FCN2198" s="10"/>
      <c r="FCO2198" s="10"/>
      <c r="FCP2198" s="10"/>
      <c r="FCQ2198" s="10"/>
      <c r="FCR2198" s="10"/>
      <c r="FCS2198" s="10"/>
      <c r="FCT2198" s="10"/>
      <c r="FCU2198" s="10"/>
      <c r="FCV2198" s="10"/>
      <c r="FCW2198" s="10"/>
      <c r="FCX2198" s="10"/>
      <c r="FCY2198" s="10"/>
      <c r="FCZ2198" s="10"/>
      <c r="FDA2198" s="10"/>
      <c r="FDB2198" s="10"/>
      <c r="FDC2198" s="10"/>
      <c r="FDD2198" s="10"/>
      <c r="FDE2198" s="10"/>
      <c r="FDF2198" s="10"/>
      <c r="FDG2198" s="10"/>
      <c r="FDH2198" s="10"/>
      <c r="FDI2198" s="10"/>
      <c r="FDJ2198" s="10"/>
      <c r="FDK2198" s="10"/>
      <c r="FDL2198" s="10"/>
      <c r="FDM2198" s="10"/>
      <c r="FDN2198" s="10"/>
      <c r="FDO2198" s="10"/>
      <c r="FDP2198" s="10"/>
      <c r="FDQ2198" s="10"/>
      <c r="FDR2198" s="10"/>
      <c r="FDS2198" s="10"/>
      <c r="FDT2198" s="10"/>
      <c r="FDU2198" s="10"/>
      <c r="FDV2198" s="10"/>
      <c r="FDW2198" s="10"/>
      <c r="FDX2198" s="10"/>
      <c r="FDY2198" s="10"/>
      <c r="FDZ2198" s="10"/>
      <c r="FEA2198" s="10"/>
      <c r="FEB2198" s="10"/>
      <c r="FEC2198" s="10"/>
      <c r="FED2198" s="10"/>
      <c r="FEE2198" s="10"/>
      <c r="FEF2198" s="10"/>
      <c r="FEG2198" s="10"/>
      <c r="FEH2198" s="10"/>
      <c r="FEI2198" s="10"/>
      <c r="FEJ2198" s="10"/>
      <c r="FEK2198" s="10"/>
      <c r="FEL2198" s="10"/>
      <c r="FEM2198" s="10"/>
      <c r="FEN2198" s="10"/>
      <c r="FEO2198" s="10"/>
      <c r="FEP2198" s="10"/>
      <c r="FEQ2198" s="10"/>
      <c r="FER2198" s="10"/>
      <c r="FES2198" s="10"/>
      <c r="FET2198" s="10"/>
      <c r="FEU2198" s="10"/>
      <c r="FEV2198" s="10"/>
      <c r="FEW2198" s="10"/>
      <c r="FEX2198" s="10"/>
      <c r="FEY2198" s="10"/>
      <c r="FEZ2198" s="10"/>
      <c r="FFA2198" s="10"/>
      <c r="FFB2198" s="10"/>
      <c r="FFC2198" s="10"/>
      <c r="FFD2198" s="10"/>
      <c r="FFE2198" s="10"/>
      <c r="FFF2198" s="10"/>
      <c r="FFG2198" s="10"/>
      <c r="FFH2198" s="10"/>
      <c r="FFI2198" s="10"/>
      <c r="FFJ2198" s="10"/>
      <c r="FFK2198" s="10"/>
      <c r="FFL2198" s="10"/>
      <c r="FFM2198" s="10"/>
      <c r="FFN2198" s="10"/>
      <c r="FFO2198" s="10"/>
      <c r="FFP2198" s="10"/>
      <c r="FFQ2198" s="10"/>
      <c r="FFR2198" s="10"/>
      <c r="FFS2198" s="10"/>
      <c r="FFT2198" s="10"/>
      <c r="FFU2198" s="10"/>
      <c r="FFV2198" s="10"/>
      <c r="FFW2198" s="10"/>
      <c r="FFX2198" s="10"/>
      <c r="FFY2198" s="10"/>
      <c r="FFZ2198" s="10"/>
      <c r="FGA2198" s="10"/>
      <c r="FGB2198" s="10"/>
      <c r="FGC2198" s="10"/>
      <c r="FGD2198" s="10"/>
      <c r="FGE2198" s="10"/>
      <c r="FGF2198" s="10"/>
      <c r="FGG2198" s="10"/>
      <c r="FGH2198" s="10"/>
      <c r="FGI2198" s="10"/>
      <c r="FGJ2198" s="10"/>
      <c r="FGK2198" s="10"/>
      <c r="FGL2198" s="10"/>
      <c r="FGM2198" s="10"/>
      <c r="FGN2198" s="10"/>
      <c r="FGO2198" s="10"/>
      <c r="FGP2198" s="10"/>
      <c r="FGQ2198" s="10"/>
      <c r="FGR2198" s="10"/>
      <c r="FGS2198" s="10"/>
      <c r="FGT2198" s="10"/>
      <c r="FGU2198" s="10"/>
      <c r="FGV2198" s="10"/>
      <c r="FGW2198" s="10"/>
      <c r="FGX2198" s="10"/>
      <c r="FGY2198" s="10"/>
      <c r="FGZ2198" s="10"/>
      <c r="FHA2198" s="10"/>
      <c r="FHB2198" s="10"/>
      <c r="FHC2198" s="10"/>
      <c r="FHD2198" s="10"/>
      <c r="FHE2198" s="10"/>
      <c r="FHF2198" s="10"/>
      <c r="FHG2198" s="10"/>
      <c r="FHH2198" s="10"/>
      <c r="FHI2198" s="10"/>
      <c r="FHJ2198" s="10"/>
      <c r="FHK2198" s="10"/>
      <c r="FHL2198" s="10"/>
      <c r="FHM2198" s="10"/>
      <c r="FHN2198" s="10"/>
      <c r="FHO2198" s="10"/>
      <c r="FHP2198" s="10"/>
      <c r="FHQ2198" s="10"/>
      <c r="FHR2198" s="10"/>
      <c r="FHS2198" s="10"/>
      <c r="FHT2198" s="10"/>
      <c r="FHU2198" s="10"/>
      <c r="FHV2198" s="10"/>
      <c r="FHW2198" s="10"/>
      <c r="FHX2198" s="10"/>
      <c r="FHY2198" s="10"/>
      <c r="FHZ2198" s="10"/>
      <c r="FIA2198" s="10"/>
      <c r="FIB2198" s="10"/>
      <c r="FIC2198" s="10"/>
      <c r="FID2198" s="10"/>
      <c r="FIE2198" s="10"/>
      <c r="FIF2198" s="10"/>
      <c r="FIG2198" s="10"/>
      <c r="FIH2198" s="10"/>
      <c r="FII2198" s="10"/>
      <c r="FIJ2198" s="10"/>
      <c r="FIK2198" s="10"/>
      <c r="FIL2198" s="10"/>
      <c r="FIM2198" s="10"/>
      <c r="FIN2198" s="10"/>
      <c r="FIO2198" s="10"/>
      <c r="FIP2198" s="10"/>
      <c r="FIQ2198" s="10"/>
      <c r="FIR2198" s="10"/>
      <c r="FIS2198" s="10"/>
      <c r="FIT2198" s="10"/>
      <c r="FIU2198" s="10"/>
      <c r="FIV2198" s="10"/>
      <c r="FIW2198" s="10"/>
      <c r="FIX2198" s="10"/>
      <c r="FIY2198" s="10"/>
      <c r="FIZ2198" s="10"/>
      <c r="FJA2198" s="10"/>
      <c r="FJB2198" s="10"/>
      <c r="FJC2198" s="10"/>
      <c r="FJD2198" s="10"/>
      <c r="FJE2198" s="10"/>
      <c r="FJF2198" s="10"/>
      <c r="FJG2198" s="10"/>
      <c r="FJH2198" s="10"/>
      <c r="FJI2198" s="10"/>
      <c r="FJJ2198" s="10"/>
      <c r="FJK2198" s="10"/>
      <c r="FJL2198" s="10"/>
      <c r="FJM2198" s="10"/>
      <c r="FJN2198" s="10"/>
      <c r="FJO2198" s="10"/>
      <c r="FJP2198" s="10"/>
      <c r="FJQ2198" s="10"/>
      <c r="FJR2198" s="10"/>
      <c r="FJS2198" s="10"/>
      <c r="FJT2198" s="10"/>
      <c r="FJU2198" s="10"/>
      <c r="FJV2198" s="10"/>
      <c r="FJW2198" s="10"/>
      <c r="FJX2198" s="10"/>
      <c r="FJY2198" s="10"/>
      <c r="FJZ2198" s="10"/>
      <c r="FKA2198" s="10"/>
      <c r="FKB2198" s="10"/>
      <c r="FKC2198" s="10"/>
      <c r="FKD2198" s="10"/>
      <c r="FKE2198" s="10"/>
      <c r="FKF2198" s="10"/>
      <c r="FKG2198" s="10"/>
      <c r="FKH2198" s="10"/>
      <c r="FKI2198" s="10"/>
      <c r="FKJ2198" s="10"/>
      <c r="FKK2198" s="10"/>
      <c r="FKL2198" s="10"/>
      <c r="FKM2198" s="10"/>
      <c r="FKN2198" s="10"/>
      <c r="FKO2198" s="10"/>
      <c r="FKP2198" s="10"/>
      <c r="FKQ2198" s="10"/>
      <c r="FKR2198" s="10"/>
      <c r="FKS2198" s="10"/>
      <c r="FKT2198" s="10"/>
      <c r="FKU2198" s="10"/>
      <c r="FKV2198" s="10"/>
      <c r="FKW2198" s="10"/>
      <c r="FKX2198" s="10"/>
      <c r="FKY2198" s="10"/>
      <c r="FKZ2198" s="10"/>
      <c r="FLA2198" s="10"/>
      <c r="FLB2198" s="10"/>
      <c r="FLC2198" s="10"/>
      <c r="FLD2198" s="10"/>
      <c r="FLE2198" s="10"/>
      <c r="FLF2198" s="10"/>
      <c r="FLG2198" s="10"/>
      <c r="FLH2198" s="10"/>
      <c r="FLI2198" s="10"/>
      <c r="FLJ2198" s="10"/>
      <c r="FLK2198" s="10"/>
      <c r="FLL2198" s="10"/>
      <c r="FLM2198" s="10"/>
      <c r="FLN2198" s="10"/>
      <c r="FLO2198" s="10"/>
      <c r="FLP2198" s="10"/>
      <c r="FLQ2198" s="10"/>
      <c r="FLR2198" s="10"/>
      <c r="FLS2198" s="10"/>
      <c r="FLT2198" s="10"/>
      <c r="FLU2198" s="10"/>
      <c r="FLV2198" s="10"/>
      <c r="FLW2198" s="10"/>
      <c r="FLX2198" s="10"/>
      <c r="FLY2198" s="10"/>
      <c r="FLZ2198" s="10"/>
      <c r="FMA2198" s="10"/>
      <c r="FMB2198" s="10"/>
      <c r="FMC2198" s="10"/>
      <c r="FMD2198" s="10"/>
      <c r="FME2198" s="10"/>
      <c r="FMF2198" s="10"/>
      <c r="FMG2198" s="10"/>
      <c r="FMH2198" s="10"/>
      <c r="FMI2198" s="10"/>
      <c r="FMJ2198" s="10"/>
      <c r="FMK2198" s="10"/>
      <c r="FML2198" s="10"/>
      <c r="FMM2198" s="10"/>
      <c r="FMN2198" s="10"/>
      <c r="FMO2198" s="10"/>
      <c r="FMP2198" s="10"/>
      <c r="FMQ2198" s="10"/>
      <c r="FMR2198" s="10"/>
      <c r="FMS2198" s="10"/>
      <c r="FMT2198" s="10"/>
      <c r="FMU2198" s="10"/>
      <c r="FMV2198" s="10"/>
      <c r="FMW2198" s="10"/>
      <c r="FMX2198" s="10"/>
      <c r="FMY2198" s="10"/>
      <c r="FMZ2198" s="10"/>
      <c r="FNA2198" s="10"/>
      <c r="FNB2198" s="10"/>
      <c r="FNC2198" s="10"/>
      <c r="FND2198" s="10"/>
      <c r="FNE2198" s="10"/>
      <c r="FNF2198" s="10"/>
      <c r="FNG2198" s="10"/>
      <c r="FNH2198" s="10"/>
      <c r="FNI2198" s="10"/>
      <c r="FNJ2198" s="10"/>
      <c r="FNK2198" s="10"/>
      <c r="FNL2198" s="10"/>
      <c r="FNM2198" s="10"/>
      <c r="FNN2198" s="10"/>
      <c r="FNO2198" s="10"/>
      <c r="FNP2198" s="10"/>
      <c r="FNQ2198" s="10"/>
      <c r="FNR2198" s="10"/>
      <c r="FNS2198" s="10"/>
      <c r="FNT2198" s="10"/>
      <c r="FNU2198" s="10"/>
      <c r="FNV2198" s="10"/>
      <c r="FNW2198" s="10"/>
      <c r="FNX2198" s="10"/>
      <c r="FNY2198" s="10"/>
      <c r="FNZ2198" s="10"/>
      <c r="FOA2198" s="10"/>
      <c r="FOB2198" s="10"/>
      <c r="FOC2198" s="10"/>
      <c r="FOD2198" s="10"/>
      <c r="FOE2198" s="10"/>
      <c r="FOF2198" s="10"/>
      <c r="FOG2198" s="10"/>
      <c r="FOH2198" s="10"/>
      <c r="FOI2198" s="10"/>
      <c r="FOJ2198" s="10"/>
      <c r="FOK2198" s="10"/>
      <c r="FOL2198" s="10"/>
      <c r="FOM2198" s="10"/>
      <c r="FON2198" s="10"/>
      <c r="FOO2198" s="10"/>
      <c r="FOP2198" s="10"/>
      <c r="FOQ2198" s="10"/>
      <c r="FOR2198" s="10"/>
      <c r="FOS2198" s="10"/>
      <c r="FOT2198" s="10"/>
      <c r="FOU2198" s="10"/>
      <c r="FOV2198" s="10"/>
      <c r="FOW2198" s="10"/>
      <c r="FOX2198" s="10"/>
      <c r="FOY2198" s="10"/>
      <c r="FOZ2198" s="10"/>
      <c r="FPA2198" s="10"/>
      <c r="FPB2198" s="10"/>
      <c r="FPC2198" s="10"/>
      <c r="FPD2198" s="10"/>
      <c r="FPE2198" s="10"/>
      <c r="FPF2198" s="10"/>
      <c r="FPG2198" s="10"/>
      <c r="FPH2198" s="10"/>
      <c r="FPI2198" s="10"/>
      <c r="FPJ2198" s="10"/>
      <c r="FPK2198" s="10"/>
      <c r="FPL2198" s="10"/>
      <c r="FPM2198" s="10"/>
      <c r="FPN2198" s="10"/>
      <c r="FPO2198" s="10"/>
      <c r="FPP2198" s="10"/>
      <c r="FPQ2198" s="10"/>
      <c r="FPR2198" s="10"/>
      <c r="FPS2198" s="10"/>
      <c r="FPT2198" s="10"/>
      <c r="FPU2198" s="10"/>
      <c r="FPV2198" s="10"/>
      <c r="FPW2198" s="10"/>
      <c r="FPX2198" s="10"/>
      <c r="FPY2198" s="10"/>
      <c r="FPZ2198" s="10"/>
      <c r="FQA2198" s="10"/>
      <c r="FQB2198" s="10"/>
      <c r="FQC2198" s="10"/>
      <c r="FQD2198" s="10"/>
      <c r="FQE2198" s="10"/>
      <c r="FQF2198" s="10"/>
      <c r="FQG2198" s="10"/>
      <c r="FQH2198" s="10"/>
      <c r="FQI2198" s="10"/>
      <c r="FQJ2198" s="10"/>
      <c r="FQK2198" s="10"/>
      <c r="FQL2198" s="10"/>
      <c r="FQM2198" s="10"/>
      <c r="FQN2198" s="10"/>
      <c r="FQO2198" s="10"/>
      <c r="FQP2198" s="10"/>
      <c r="FQQ2198" s="10"/>
      <c r="FQR2198" s="10"/>
      <c r="FQS2198" s="10"/>
      <c r="FQT2198" s="10"/>
      <c r="FQU2198" s="10"/>
      <c r="FQV2198" s="10"/>
      <c r="FQW2198" s="10"/>
      <c r="FQX2198" s="10"/>
      <c r="FQY2198" s="10"/>
      <c r="FQZ2198" s="10"/>
      <c r="FRA2198" s="10"/>
      <c r="FRB2198" s="10"/>
      <c r="FRC2198" s="10"/>
      <c r="FRD2198" s="10"/>
      <c r="FRE2198" s="10"/>
      <c r="FRF2198" s="10"/>
      <c r="FRG2198" s="10"/>
      <c r="FRH2198" s="10"/>
      <c r="FRI2198" s="10"/>
      <c r="FRJ2198" s="10"/>
      <c r="FRK2198" s="10"/>
      <c r="FRL2198" s="10"/>
      <c r="FRM2198" s="10"/>
      <c r="FRN2198" s="10"/>
      <c r="FRO2198" s="10"/>
      <c r="FRP2198" s="10"/>
      <c r="FRQ2198" s="10"/>
      <c r="FRR2198" s="10"/>
      <c r="FRS2198" s="10"/>
      <c r="FRT2198" s="10"/>
      <c r="FRU2198" s="10"/>
      <c r="FRV2198" s="10"/>
      <c r="FRW2198" s="10"/>
      <c r="FRX2198" s="10"/>
      <c r="FRY2198" s="10"/>
      <c r="FRZ2198" s="10"/>
      <c r="FSA2198" s="10"/>
      <c r="FSB2198" s="10"/>
      <c r="FSC2198" s="10"/>
      <c r="FSD2198" s="10"/>
      <c r="FSE2198" s="10"/>
      <c r="FSF2198" s="10"/>
      <c r="FSG2198" s="10"/>
      <c r="FSH2198" s="10"/>
      <c r="FSI2198" s="10"/>
      <c r="FSJ2198" s="10"/>
      <c r="FSK2198" s="10"/>
      <c r="FSL2198" s="10"/>
      <c r="FSM2198" s="10"/>
      <c r="FSN2198" s="10"/>
      <c r="FSO2198" s="10"/>
      <c r="FSP2198" s="10"/>
      <c r="FSQ2198" s="10"/>
      <c r="FSR2198" s="10"/>
      <c r="FSS2198" s="10"/>
      <c r="FST2198" s="10"/>
      <c r="FSU2198" s="10"/>
      <c r="FSV2198" s="10"/>
      <c r="FSW2198" s="10"/>
      <c r="FSX2198" s="10"/>
      <c r="FSY2198" s="10"/>
      <c r="FSZ2198" s="10"/>
      <c r="FTA2198" s="10"/>
      <c r="FTB2198" s="10"/>
      <c r="FTC2198" s="10"/>
      <c r="FTD2198" s="10"/>
      <c r="FTE2198" s="10"/>
      <c r="FTF2198" s="10"/>
      <c r="FTG2198" s="10"/>
      <c r="FTH2198" s="10"/>
      <c r="FTI2198" s="10"/>
      <c r="FTJ2198" s="10"/>
      <c r="FTK2198" s="10"/>
      <c r="FTL2198" s="10"/>
      <c r="FTM2198" s="10"/>
      <c r="FTN2198" s="10"/>
      <c r="FTO2198" s="10"/>
      <c r="FTP2198" s="10"/>
      <c r="FTQ2198" s="10"/>
      <c r="FTR2198" s="10"/>
      <c r="FTS2198" s="10"/>
      <c r="FTT2198" s="10"/>
      <c r="FTU2198" s="10"/>
      <c r="FTV2198" s="10"/>
      <c r="FTW2198" s="10"/>
      <c r="FTX2198" s="10"/>
      <c r="FTY2198" s="10"/>
      <c r="FTZ2198" s="10"/>
      <c r="FUA2198" s="10"/>
      <c r="FUB2198" s="10"/>
      <c r="FUC2198" s="10"/>
      <c r="FUD2198" s="10"/>
      <c r="FUE2198" s="10"/>
      <c r="FUF2198" s="10"/>
      <c r="FUG2198" s="10"/>
      <c r="FUH2198" s="10"/>
      <c r="FUI2198" s="10"/>
      <c r="FUJ2198" s="10"/>
      <c r="FUK2198" s="10"/>
      <c r="FUL2198" s="10"/>
      <c r="FUM2198" s="10"/>
      <c r="FUN2198" s="10"/>
      <c r="FUO2198" s="10"/>
      <c r="FUP2198" s="10"/>
      <c r="FUQ2198" s="10"/>
      <c r="FUR2198" s="10"/>
      <c r="FUS2198" s="10"/>
      <c r="FUT2198" s="10"/>
      <c r="FUU2198" s="10"/>
      <c r="FUV2198" s="10"/>
      <c r="FUW2198" s="10"/>
      <c r="FUX2198" s="10"/>
      <c r="FUY2198" s="10"/>
      <c r="FUZ2198" s="10"/>
      <c r="FVA2198" s="10"/>
      <c r="FVB2198" s="10"/>
      <c r="FVC2198" s="10"/>
      <c r="FVD2198" s="10"/>
      <c r="FVE2198" s="10"/>
      <c r="FVF2198" s="10"/>
      <c r="FVG2198" s="10"/>
      <c r="FVH2198" s="10"/>
      <c r="FVI2198" s="10"/>
      <c r="FVJ2198" s="10"/>
      <c r="FVK2198" s="10"/>
      <c r="FVL2198" s="10"/>
      <c r="FVM2198" s="10"/>
      <c r="FVN2198" s="10"/>
      <c r="FVO2198" s="10"/>
      <c r="FVP2198" s="10"/>
      <c r="FVQ2198" s="10"/>
      <c r="FVR2198" s="10"/>
      <c r="FVS2198" s="10"/>
      <c r="FVT2198" s="10"/>
      <c r="FVU2198" s="10"/>
      <c r="FVV2198" s="10"/>
      <c r="FVW2198" s="10"/>
      <c r="FVX2198" s="10"/>
      <c r="FVY2198" s="10"/>
      <c r="FVZ2198" s="10"/>
      <c r="FWA2198" s="10"/>
      <c r="FWB2198" s="10"/>
      <c r="FWC2198" s="10"/>
      <c r="FWD2198" s="10"/>
      <c r="FWE2198" s="10"/>
      <c r="FWF2198" s="10"/>
      <c r="FWG2198" s="10"/>
      <c r="FWH2198" s="10"/>
      <c r="FWI2198" s="10"/>
      <c r="FWJ2198" s="10"/>
      <c r="FWK2198" s="10"/>
      <c r="FWL2198" s="10"/>
      <c r="FWM2198" s="10"/>
      <c r="FWN2198" s="10"/>
      <c r="FWO2198" s="10"/>
      <c r="FWP2198" s="10"/>
      <c r="FWQ2198" s="10"/>
      <c r="FWR2198" s="10"/>
      <c r="FWS2198" s="10"/>
      <c r="FWT2198" s="10"/>
      <c r="FWU2198" s="10"/>
      <c r="FWV2198" s="10"/>
      <c r="FWW2198" s="10"/>
      <c r="FWX2198" s="10"/>
      <c r="FWY2198" s="10"/>
      <c r="FWZ2198" s="10"/>
      <c r="FXA2198" s="10"/>
      <c r="FXB2198" s="10"/>
      <c r="FXC2198" s="10"/>
      <c r="FXD2198" s="10"/>
      <c r="FXE2198" s="10"/>
      <c r="FXF2198" s="10"/>
      <c r="FXG2198" s="10"/>
      <c r="FXH2198" s="10"/>
      <c r="FXI2198" s="10"/>
      <c r="FXJ2198" s="10"/>
      <c r="FXK2198" s="10"/>
      <c r="FXL2198" s="10"/>
      <c r="FXM2198" s="10"/>
      <c r="FXN2198" s="10"/>
      <c r="FXO2198" s="10"/>
      <c r="FXP2198" s="10"/>
      <c r="FXQ2198" s="10"/>
      <c r="FXR2198" s="10"/>
      <c r="FXS2198" s="10"/>
      <c r="FXT2198" s="10"/>
      <c r="FXU2198" s="10"/>
      <c r="FXV2198" s="10"/>
      <c r="FXW2198" s="10"/>
      <c r="FXX2198" s="10"/>
      <c r="FXY2198" s="10"/>
      <c r="FXZ2198" s="10"/>
      <c r="FYA2198" s="10"/>
      <c r="FYB2198" s="10"/>
      <c r="FYC2198" s="10"/>
      <c r="FYD2198" s="10"/>
      <c r="FYE2198" s="10"/>
      <c r="FYF2198" s="10"/>
      <c r="FYG2198" s="10"/>
      <c r="FYH2198" s="10"/>
      <c r="FYI2198" s="10"/>
      <c r="FYJ2198" s="10"/>
      <c r="FYK2198" s="10"/>
      <c r="FYL2198" s="10"/>
      <c r="FYM2198" s="10"/>
      <c r="FYN2198" s="10"/>
      <c r="FYO2198" s="10"/>
      <c r="FYP2198" s="10"/>
      <c r="FYQ2198" s="10"/>
      <c r="FYR2198" s="10"/>
      <c r="FYS2198" s="10"/>
      <c r="FYT2198" s="10"/>
      <c r="FYU2198" s="10"/>
      <c r="FYV2198" s="10"/>
      <c r="FYW2198" s="10"/>
      <c r="FYX2198" s="10"/>
      <c r="FYY2198" s="10"/>
      <c r="FYZ2198" s="10"/>
      <c r="FZA2198" s="10"/>
      <c r="FZB2198" s="10"/>
      <c r="FZC2198" s="10"/>
      <c r="FZD2198" s="10"/>
      <c r="FZE2198" s="10"/>
      <c r="FZF2198" s="10"/>
      <c r="FZG2198" s="10"/>
      <c r="FZH2198" s="10"/>
      <c r="FZI2198" s="10"/>
      <c r="FZJ2198" s="10"/>
      <c r="FZK2198" s="10"/>
      <c r="FZL2198" s="10"/>
      <c r="FZM2198" s="10"/>
      <c r="FZN2198" s="10"/>
      <c r="FZO2198" s="10"/>
      <c r="FZP2198" s="10"/>
      <c r="FZQ2198" s="10"/>
      <c r="FZR2198" s="10"/>
      <c r="FZS2198" s="10"/>
      <c r="FZT2198" s="10"/>
      <c r="FZU2198" s="10"/>
      <c r="FZV2198" s="10"/>
      <c r="FZW2198" s="10"/>
      <c r="FZX2198" s="10"/>
      <c r="FZY2198" s="10"/>
      <c r="FZZ2198" s="10"/>
      <c r="GAA2198" s="10"/>
      <c r="GAB2198" s="10"/>
      <c r="GAC2198" s="10"/>
      <c r="GAD2198" s="10"/>
      <c r="GAE2198" s="10"/>
      <c r="GAF2198" s="10"/>
      <c r="GAG2198" s="10"/>
      <c r="GAH2198" s="10"/>
      <c r="GAI2198" s="10"/>
      <c r="GAJ2198" s="10"/>
      <c r="GAK2198" s="10"/>
      <c r="GAL2198" s="10"/>
      <c r="GAM2198" s="10"/>
      <c r="GAN2198" s="10"/>
      <c r="GAO2198" s="10"/>
      <c r="GAP2198" s="10"/>
      <c r="GAQ2198" s="10"/>
      <c r="GAR2198" s="10"/>
      <c r="GAS2198" s="10"/>
      <c r="GAT2198" s="10"/>
      <c r="GAU2198" s="10"/>
      <c r="GAV2198" s="10"/>
      <c r="GAW2198" s="10"/>
      <c r="GAX2198" s="10"/>
      <c r="GAY2198" s="10"/>
      <c r="GAZ2198" s="10"/>
      <c r="GBA2198" s="10"/>
      <c r="GBB2198" s="10"/>
      <c r="GBC2198" s="10"/>
      <c r="GBD2198" s="10"/>
      <c r="GBE2198" s="10"/>
      <c r="GBF2198" s="10"/>
      <c r="GBG2198" s="10"/>
      <c r="GBH2198" s="10"/>
      <c r="GBI2198" s="10"/>
      <c r="GBJ2198" s="10"/>
      <c r="GBK2198" s="10"/>
      <c r="GBL2198" s="10"/>
      <c r="GBM2198" s="10"/>
      <c r="GBN2198" s="10"/>
      <c r="GBO2198" s="10"/>
      <c r="GBP2198" s="10"/>
      <c r="GBQ2198" s="10"/>
      <c r="GBR2198" s="10"/>
      <c r="GBS2198" s="10"/>
      <c r="GBT2198" s="10"/>
      <c r="GBU2198" s="10"/>
      <c r="GBV2198" s="10"/>
      <c r="GBW2198" s="10"/>
      <c r="GBX2198" s="10"/>
      <c r="GBY2198" s="10"/>
      <c r="GBZ2198" s="10"/>
      <c r="GCA2198" s="10"/>
      <c r="GCB2198" s="10"/>
      <c r="GCC2198" s="10"/>
      <c r="GCD2198" s="10"/>
      <c r="GCE2198" s="10"/>
      <c r="GCF2198" s="10"/>
      <c r="GCG2198" s="10"/>
      <c r="GCH2198" s="10"/>
      <c r="GCI2198" s="10"/>
      <c r="GCJ2198" s="10"/>
      <c r="GCK2198" s="10"/>
      <c r="GCL2198" s="10"/>
      <c r="GCM2198" s="10"/>
      <c r="GCN2198" s="10"/>
      <c r="GCO2198" s="10"/>
      <c r="GCP2198" s="10"/>
      <c r="GCQ2198" s="10"/>
      <c r="GCR2198" s="10"/>
      <c r="GCS2198" s="10"/>
      <c r="GCT2198" s="10"/>
      <c r="GCU2198" s="10"/>
      <c r="GCV2198" s="10"/>
      <c r="GCW2198" s="10"/>
      <c r="GCX2198" s="10"/>
      <c r="GCY2198" s="10"/>
      <c r="GCZ2198" s="10"/>
      <c r="GDA2198" s="10"/>
      <c r="GDB2198" s="10"/>
      <c r="GDC2198" s="10"/>
      <c r="GDD2198" s="10"/>
      <c r="GDE2198" s="10"/>
      <c r="GDF2198" s="10"/>
      <c r="GDG2198" s="10"/>
      <c r="GDH2198" s="10"/>
      <c r="GDI2198" s="10"/>
      <c r="GDJ2198" s="10"/>
      <c r="GDK2198" s="10"/>
      <c r="GDL2198" s="10"/>
      <c r="GDM2198" s="10"/>
      <c r="GDN2198" s="10"/>
      <c r="GDO2198" s="10"/>
      <c r="GDP2198" s="10"/>
      <c r="GDQ2198" s="10"/>
      <c r="GDR2198" s="10"/>
      <c r="GDS2198" s="10"/>
      <c r="GDT2198" s="10"/>
      <c r="GDU2198" s="10"/>
      <c r="GDV2198" s="10"/>
      <c r="GDW2198" s="10"/>
      <c r="GDX2198" s="10"/>
      <c r="GDY2198" s="10"/>
      <c r="GDZ2198" s="10"/>
      <c r="GEA2198" s="10"/>
      <c r="GEB2198" s="10"/>
      <c r="GEC2198" s="10"/>
      <c r="GED2198" s="10"/>
      <c r="GEE2198" s="10"/>
      <c r="GEF2198" s="10"/>
      <c r="GEG2198" s="10"/>
      <c r="GEH2198" s="10"/>
      <c r="GEI2198" s="10"/>
      <c r="GEJ2198" s="10"/>
      <c r="GEK2198" s="10"/>
      <c r="GEL2198" s="10"/>
      <c r="GEM2198" s="10"/>
      <c r="GEN2198" s="10"/>
      <c r="GEO2198" s="10"/>
      <c r="GEP2198" s="10"/>
      <c r="GEQ2198" s="10"/>
      <c r="GER2198" s="10"/>
      <c r="GES2198" s="10"/>
      <c r="GET2198" s="10"/>
      <c r="GEU2198" s="10"/>
      <c r="GEV2198" s="10"/>
      <c r="GEW2198" s="10"/>
      <c r="GEX2198" s="10"/>
      <c r="GEY2198" s="10"/>
      <c r="GEZ2198" s="10"/>
      <c r="GFA2198" s="10"/>
      <c r="GFB2198" s="10"/>
      <c r="GFC2198" s="10"/>
      <c r="GFD2198" s="10"/>
      <c r="GFE2198" s="10"/>
      <c r="GFF2198" s="10"/>
      <c r="GFG2198" s="10"/>
      <c r="GFH2198" s="10"/>
      <c r="GFI2198" s="10"/>
      <c r="GFJ2198" s="10"/>
      <c r="GFK2198" s="10"/>
      <c r="GFL2198" s="10"/>
      <c r="GFM2198" s="10"/>
      <c r="GFN2198" s="10"/>
      <c r="GFO2198" s="10"/>
      <c r="GFP2198" s="10"/>
      <c r="GFQ2198" s="10"/>
      <c r="GFR2198" s="10"/>
      <c r="GFS2198" s="10"/>
      <c r="GFT2198" s="10"/>
      <c r="GFU2198" s="10"/>
      <c r="GFV2198" s="10"/>
      <c r="GFW2198" s="10"/>
      <c r="GFX2198" s="10"/>
      <c r="GFY2198" s="10"/>
      <c r="GFZ2198" s="10"/>
      <c r="GGA2198" s="10"/>
      <c r="GGB2198" s="10"/>
      <c r="GGC2198" s="10"/>
      <c r="GGD2198" s="10"/>
      <c r="GGE2198" s="10"/>
      <c r="GGF2198" s="10"/>
      <c r="GGG2198" s="10"/>
      <c r="GGH2198" s="10"/>
      <c r="GGI2198" s="10"/>
      <c r="GGJ2198" s="10"/>
      <c r="GGK2198" s="10"/>
      <c r="GGL2198" s="10"/>
      <c r="GGM2198" s="10"/>
      <c r="GGN2198" s="10"/>
      <c r="GGO2198" s="10"/>
      <c r="GGP2198" s="10"/>
      <c r="GGQ2198" s="10"/>
      <c r="GGR2198" s="10"/>
      <c r="GGS2198" s="10"/>
      <c r="GGT2198" s="10"/>
      <c r="GGU2198" s="10"/>
      <c r="GGV2198" s="10"/>
      <c r="GGW2198" s="10"/>
      <c r="GGX2198" s="10"/>
      <c r="GGY2198" s="10"/>
      <c r="GGZ2198" s="10"/>
      <c r="GHA2198" s="10"/>
      <c r="GHB2198" s="10"/>
      <c r="GHC2198" s="10"/>
      <c r="GHD2198" s="10"/>
      <c r="GHE2198" s="10"/>
      <c r="GHF2198" s="10"/>
      <c r="GHG2198" s="10"/>
      <c r="GHH2198" s="10"/>
      <c r="GHI2198" s="10"/>
      <c r="GHJ2198" s="10"/>
      <c r="GHK2198" s="10"/>
      <c r="GHL2198" s="10"/>
      <c r="GHM2198" s="10"/>
      <c r="GHN2198" s="10"/>
      <c r="GHO2198" s="10"/>
      <c r="GHP2198" s="10"/>
      <c r="GHQ2198" s="10"/>
      <c r="GHR2198" s="10"/>
      <c r="GHS2198" s="10"/>
      <c r="GHT2198" s="10"/>
      <c r="GHU2198" s="10"/>
      <c r="GHV2198" s="10"/>
      <c r="GHW2198" s="10"/>
      <c r="GHX2198" s="10"/>
      <c r="GHY2198" s="10"/>
      <c r="GHZ2198" s="10"/>
      <c r="GIA2198" s="10"/>
      <c r="GIB2198" s="10"/>
      <c r="GIC2198" s="10"/>
      <c r="GID2198" s="10"/>
      <c r="GIE2198" s="10"/>
      <c r="GIF2198" s="10"/>
      <c r="GIG2198" s="10"/>
      <c r="GIH2198" s="10"/>
      <c r="GII2198" s="10"/>
      <c r="GIJ2198" s="10"/>
      <c r="GIK2198" s="10"/>
      <c r="GIL2198" s="10"/>
      <c r="GIM2198" s="10"/>
      <c r="GIN2198" s="10"/>
      <c r="GIO2198" s="10"/>
      <c r="GIP2198" s="10"/>
      <c r="GIQ2198" s="10"/>
      <c r="GIR2198" s="10"/>
      <c r="GIS2198" s="10"/>
      <c r="GIT2198" s="10"/>
      <c r="GIU2198" s="10"/>
      <c r="GIV2198" s="10"/>
      <c r="GIW2198" s="10"/>
      <c r="GIX2198" s="10"/>
      <c r="GIY2198" s="10"/>
      <c r="GIZ2198" s="10"/>
      <c r="GJA2198" s="10"/>
      <c r="GJB2198" s="10"/>
      <c r="GJC2198" s="10"/>
      <c r="GJD2198" s="10"/>
      <c r="GJE2198" s="10"/>
      <c r="GJF2198" s="10"/>
      <c r="GJG2198" s="10"/>
      <c r="GJH2198" s="10"/>
      <c r="GJI2198" s="10"/>
      <c r="GJJ2198" s="10"/>
      <c r="GJK2198" s="10"/>
      <c r="GJL2198" s="10"/>
      <c r="GJM2198" s="10"/>
      <c r="GJN2198" s="10"/>
      <c r="GJO2198" s="10"/>
      <c r="GJP2198" s="10"/>
      <c r="GJQ2198" s="10"/>
      <c r="GJR2198" s="10"/>
      <c r="GJS2198" s="10"/>
      <c r="GJT2198" s="10"/>
      <c r="GJU2198" s="10"/>
      <c r="GJV2198" s="10"/>
      <c r="GJW2198" s="10"/>
      <c r="GJX2198" s="10"/>
      <c r="GJY2198" s="10"/>
      <c r="GJZ2198" s="10"/>
      <c r="GKA2198" s="10"/>
      <c r="GKB2198" s="10"/>
      <c r="GKC2198" s="10"/>
      <c r="GKD2198" s="10"/>
      <c r="GKE2198" s="10"/>
      <c r="GKF2198" s="10"/>
      <c r="GKG2198" s="10"/>
      <c r="GKH2198" s="10"/>
      <c r="GKI2198" s="10"/>
      <c r="GKJ2198" s="10"/>
      <c r="GKK2198" s="10"/>
      <c r="GKL2198" s="10"/>
      <c r="GKM2198" s="10"/>
      <c r="GKN2198" s="10"/>
      <c r="GKO2198" s="10"/>
      <c r="GKP2198" s="10"/>
      <c r="GKQ2198" s="10"/>
      <c r="GKR2198" s="10"/>
      <c r="GKS2198" s="10"/>
      <c r="GKT2198" s="10"/>
      <c r="GKU2198" s="10"/>
      <c r="GKV2198" s="10"/>
      <c r="GKW2198" s="10"/>
      <c r="GKX2198" s="10"/>
      <c r="GKY2198" s="10"/>
      <c r="GKZ2198" s="10"/>
      <c r="GLA2198" s="10"/>
      <c r="GLB2198" s="10"/>
      <c r="GLC2198" s="10"/>
      <c r="GLD2198" s="10"/>
      <c r="GLE2198" s="10"/>
      <c r="GLF2198" s="10"/>
      <c r="GLG2198" s="10"/>
      <c r="GLH2198" s="10"/>
      <c r="GLI2198" s="10"/>
      <c r="GLJ2198" s="10"/>
      <c r="GLK2198" s="10"/>
      <c r="GLL2198" s="10"/>
      <c r="GLM2198" s="10"/>
      <c r="GLN2198" s="10"/>
      <c r="GLO2198" s="10"/>
      <c r="GLP2198" s="10"/>
      <c r="GLQ2198" s="10"/>
      <c r="GLR2198" s="10"/>
      <c r="GLS2198" s="10"/>
      <c r="GLT2198" s="10"/>
      <c r="GLU2198" s="10"/>
      <c r="GLV2198" s="10"/>
      <c r="GLW2198" s="10"/>
      <c r="GLX2198" s="10"/>
      <c r="GLY2198" s="10"/>
      <c r="GLZ2198" s="10"/>
      <c r="GMA2198" s="10"/>
      <c r="GMB2198" s="10"/>
      <c r="GMC2198" s="10"/>
      <c r="GMD2198" s="10"/>
      <c r="GME2198" s="10"/>
      <c r="GMF2198" s="10"/>
      <c r="GMG2198" s="10"/>
      <c r="GMH2198" s="10"/>
      <c r="GMI2198" s="10"/>
      <c r="GMJ2198" s="10"/>
      <c r="GMK2198" s="10"/>
      <c r="GML2198" s="10"/>
      <c r="GMM2198" s="10"/>
      <c r="GMN2198" s="10"/>
      <c r="GMO2198" s="10"/>
      <c r="GMP2198" s="10"/>
      <c r="GMQ2198" s="10"/>
      <c r="GMR2198" s="10"/>
      <c r="GMS2198" s="10"/>
      <c r="GMT2198" s="10"/>
      <c r="GMU2198" s="10"/>
      <c r="GMV2198" s="10"/>
      <c r="GMW2198" s="10"/>
      <c r="GMX2198" s="10"/>
      <c r="GMY2198" s="10"/>
      <c r="GMZ2198" s="10"/>
      <c r="GNA2198" s="10"/>
      <c r="GNB2198" s="10"/>
      <c r="GNC2198" s="10"/>
      <c r="GND2198" s="10"/>
      <c r="GNE2198" s="10"/>
      <c r="GNF2198" s="10"/>
      <c r="GNG2198" s="10"/>
      <c r="GNH2198" s="10"/>
      <c r="GNI2198" s="10"/>
      <c r="GNJ2198" s="10"/>
      <c r="GNK2198" s="10"/>
      <c r="GNL2198" s="10"/>
      <c r="GNM2198" s="10"/>
      <c r="GNN2198" s="10"/>
      <c r="GNO2198" s="10"/>
      <c r="GNP2198" s="10"/>
      <c r="GNQ2198" s="10"/>
      <c r="GNR2198" s="10"/>
      <c r="GNS2198" s="10"/>
      <c r="GNT2198" s="10"/>
      <c r="GNU2198" s="10"/>
      <c r="GNV2198" s="10"/>
      <c r="GNW2198" s="10"/>
      <c r="GNX2198" s="10"/>
      <c r="GNY2198" s="10"/>
      <c r="GNZ2198" s="10"/>
      <c r="GOA2198" s="10"/>
      <c r="GOB2198" s="10"/>
      <c r="GOC2198" s="10"/>
      <c r="GOD2198" s="10"/>
      <c r="GOE2198" s="10"/>
      <c r="GOF2198" s="10"/>
      <c r="GOG2198" s="10"/>
      <c r="GOH2198" s="10"/>
      <c r="GOI2198" s="10"/>
      <c r="GOJ2198" s="10"/>
      <c r="GOK2198" s="10"/>
      <c r="GOL2198" s="10"/>
      <c r="GOM2198" s="10"/>
      <c r="GON2198" s="10"/>
      <c r="GOO2198" s="10"/>
      <c r="GOP2198" s="10"/>
      <c r="GOQ2198" s="10"/>
      <c r="GOR2198" s="10"/>
      <c r="GOS2198" s="10"/>
      <c r="GOT2198" s="10"/>
      <c r="GOU2198" s="10"/>
      <c r="GOV2198" s="10"/>
      <c r="GOW2198" s="10"/>
      <c r="GOX2198" s="10"/>
      <c r="GOY2198" s="10"/>
      <c r="GOZ2198" s="10"/>
      <c r="GPA2198" s="10"/>
      <c r="GPB2198" s="10"/>
      <c r="GPC2198" s="10"/>
      <c r="GPD2198" s="10"/>
      <c r="GPE2198" s="10"/>
      <c r="GPF2198" s="10"/>
      <c r="GPG2198" s="10"/>
      <c r="GPH2198" s="10"/>
      <c r="GPI2198" s="10"/>
      <c r="GPJ2198" s="10"/>
      <c r="GPK2198" s="10"/>
      <c r="GPL2198" s="10"/>
      <c r="GPM2198" s="10"/>
      <c r="GPN2198" s="10"/>
      <c r="GPO2198" s="10"/>
      <c r="GPP2198" s="10"/>
      <c r="GPQ2198" s="10"/>
      <c r="GPR2198" s="10"/>
      <c r="GPS2198" s="10"/>
      <c r="GPT2198" s="10"/>
      <c r="GPU2198" s="10"/>
      <c r="GPV2198" s="10"/>
      <c r="GPW2198" s="10"/>
      <c r="GPX2198" s="10"/>
      <c r="GPY2198" s="10"/>
      <c r="GPZ2198" s="10"/>
      <c r="GQA2198" s="10"/>
      <c r="GQB2198" s="10"/>
      <c r="GQC2198" s="10"/>
      <c r="GQD2198" s="10"/>
      <c r="GQE2198" s="10"/>
      <c r="GQF2198" s="10"/>
      <c r="GQG2198" s="10"/>
      <c r="GQH2198" s="10"/>
      <c r="GQI2198" s="10"/>
      <c r="GQJ2198" s="10"/>
      <c r="GQK2198" s="10"/>
      <c r="GQL2198" s="10"/>
      <c r="GQM2198" s="10"/>
      <c r="GQN2198" s="10"/>
      <c r="GQO2198" s="10"/>
      <c r="GQP2198" s="10"/>
      <c r="GQQ2198" s="10"/>
      <c r="GQR2198" s="10"/>
      <c r="GQS2198" s="10"/>
      <c r="GQT2198" s="10"/>
      <c r="GQU2198" s="10"/>
      <c r="GQV2198" s="10"/>
      <c r="GQW2198" s="10"/>
      <c r="GQX2198" s="10"/>
      <c r="GQY2198" s="10"/>
      <c r="GQZ2198" s="10"/>
      <c r="GRA2198" s="10"/>
      <c r="GRB2198" s="10"/>
      <c r="GRC2198" s="10"/>
      <c r="GRD2198" s="10"/>
      <c r="GRE2198" s="10"/>
      <c r="GRF2198" s="10"/>
      <c r="GRG2198" s="10"/>
      <c r="GRH2198" s="10"/>
      <c r="GRI2198" s="10"/>
      <c r="GRJ2198" s="10"/>
      <c r="GRK2198" s="10"/>
      <c r="GRL2198" s="10"/>
      <c r="GRM2198" s="10"/>
      <c r="GRN2198" s="10"/>
      <c r="GRO2198" s="10"/>
      <c r="GRP2198" s="10"/>
      <c r="GRQ2198" s="10"/>
      <c r="GRR2198" s="10"/>
      <c r="GRS2198" s="10"/>
      <c r="GRT2198" s="10"/>
      <c r="GRU2198" s="10"/>
      <c r="GRV2198" s="10"/>
      <c r="GRW2198" s="10"/>
      <c r="GRX2198" s="10"/>
      <c r="GRY2198" s="10"/>
      <c r="GRZ2198" s="10"/>
      <c r="GSA2198" s="10"/>
      <c r="GSB2198" s="10"/>
      <c r="GSC2198" s="10"/>
      <c r="GSD2198" s="10"/>
      <c r="GSE2198" s="10"/>
      <c r="GSF2198" s="10"/>
      <c r="GSG2198" s="10"/>
      <c r="GSH2198" s="10"/>
      <c r="GSI2198" s="10"/>
      <c r="GSJ2198" s="10"/>
      <c r="GSK2198" s="10"/>
      <c r="GSL2198" s="10"/>
      <c r="GSM2198" s="10"/>
      <c r="GSN2198" s="10"/>
      <c r="GSO2198" s="10"/>
      <c r="GSP2198" s="10"/>
      <c r="GSQ2198" s="10"/>
      <c r="GSR2198" s="10"/>
      <c r="GSS2198" s="10"/>
      <c r="GST2198" s="10"/>
      <c r="GSU2198" s="10"/>
      <c r="GSV2198" s="10"/>
      <c r="GSW2198" s="10"/>
      <c r="GSX2198" s="10"/>
      <c r="GSY2198" s="10"/>
      <c r="GSZ2198" s="10"/>
      <c r="GTA2198" s="10"/>
      <c r="GTB2198" s="10"/>
      <c r="GTC2198" s="10"/>
      <c r="GTD2198" s="10"/>
      <c r="GTE2198" s="10"/>
      <c r="GTF2198" s="10"/>
      <c r="GTG2198" s="10"/>
      <c r="GTH2198" s="10"/>
      <c r="GTI2198" s="10"/>
      <c r="GTJ2198" s="10"/>
      <c r="GTK2198" s="10"/>
      <c r="GTL2198" s="10"/>
      <c r="GTM2198" s="10"/>
      <c r="GTN2198" s="10"/>
      <c r="GTO2198" s="10"/>
      <c r="GTP2198" s="10"/>
      <c r="GTQ2198" s="10"/>
      <c r="GTR2198" s="10"/>
      <c r="GTS2198" s="10"/>
      <c r="GTT2198" s="10"/>
      <c r="GTU2198" s="10"/>
      <c r="GTV2198" s="10"/>
      <c r="GTW2198" s="10"/>
      <c r="GTX2198" s="10"/>
      <c r="GTY2198" s="10"/>
      <c r="GTZ2198" s="10"/>
      <c r="GUA2198" s="10"/>
      <c r="GUB2198" s="10"/>
      <c r="GUC2198" s="10"/>
      <c r="GUD2198" s="10"/>
      <c r="GUE2198" s="10"/>
      <c r="GUF2198" s="10"/>
      <c r="GUG2198" s="10"/>
      <c r="GUH2198" s="10"/>
      <c r="GUI2198" s="10"/>
      <c r="GUJ2198" s="10"/>
      <c r="GUK2198" s="10"/>
      <c r="GUL2198" s="10"/>
      <c r="GUM2198" s="10"/>
      <c r="GUN2198" s="10"/>
      <c r="GUO2198" s="10"/>
      <c r="GUP2198" s="10"/>
      <c r="GUQ2198" s="10"/>
      <c r="GUR2198" s="10"/>
      <c r="GUS2198" s="10"/>
      <c r="GUT2198" s="10"/>
      <c r="GUU2198" s="10"/>
      <c r="GUV2198" s="10"/>
      <c r="GUW2198" s="10"/>
      <c r="GUX2198" s="10"/>
      <c r="GUY2198" s="10"/>
      <c r="GUZ2198" s="10"/>
      <c r="GVA2198" s="10"/>
      <c r="GVB2198" s="10"/>
      <c r="GVC2198" s="10"/>
      <c r="GVD2198" s="10"/>
      <c r="GVE2198" s="10"/>
      <c r="GVF2198" s="10"/>
      <c r="GVG2198" s="10"/>
      <c r="GVH2198" s="10"/>
      <c r="GVI2198" s="10"/>
      <c r="GVJ2198" s="10"/>
      <c r="GVK2198" s="10"/>
      <c r="GVL2198" s="10"/>
      <c r="GVM2198" s="10"/>
      <c r="GVN2198" s="10"/>
      <c r="GVO2198" s="10"/>
      <c r="GVP2198" s="10"/>
      <c r="GVQ2198" s="10"/>
      <c r="GVR2198" s="10"/>
      <c r="GVS2198" s="10"/>
      <c r="GVT2198" s="10"/>
      <c r="GVU2198" s="10"/>
      <c r="GVV2198" s="10"/>
      <c r="GVW2198" s="10"/>
      <c r="GVX2198" s="10"/>
      <c r="GVY2198" s="10"/>
      <c r="GVZ2198" s="10"/>
      <c r="GWA2198" s="10"/>
      <c r="GWB2198" s="10"/>
      <c r="GWC2198" s="10"/>
      <c r="GWD2198" s="10"/>
      <c r="GWE2198" s="10"/>
      <c r="GWF2198" s="10"/>
      <c r="GWG2198" s="10"/>
      <c r="GWH2198" s="10"/>
      <c r="GWI2198" s="10"/>
      <c r="GWJ2198" s="10"/>
      <c r="GWK2198" s="10"/>
      <c r="GWL2198" s="10"/>
      <c r="GWM2198" s="10"/>
      <c r="GWN2198" s="10"/>
      <c r="GWO2198" s="10"/>
      <c r="GWP2198" s="10"/>
      <c r="GWQ2198" s="10"/>
      <c r="GWR2198" s="10"/>
      <c r="GWS2198" s="10"/>
      <c r="GWT2198" s="10"/>
      <c r="GWU2198" s="10"/>
      <c r="GWV2198" s="10"/>
      <c r="GWW2198" s="10"/>
      <c r="GWX2198" s="10"/>
      <c r="GWY2198" s="10"/>
      <c r="GWZ2198" s="10"/>
      <c r="GXA2198" s="10"/>
      <c r="GXB2198" s="10"/>
      <c r="GXC2198" s="10"/>
      <c r="GXD2198" s="10"/>
      <c r="GXE2198" s="10"/>
      <c r="GXF2198" s="10"/>
      <c r="GXG2198" s="10"/>
      <c r="GXH2198" s="10"/>
      <c r="GXI2198" s="10"/>
      <c r="GXJ2198" s="10"/>
      <c r="GXK2198" s="10"/>
      <c r="GXL2198" s="10"/>
      <c r="GXM2198" s="10"/>
      <c r="GXN2198" s="10"/>
      <c r="GXO2198" s="10"/>
      <c r="GXP2198" s="10"/>
      <c r="GXQ2198" s="10"/>
      <c r="GXR2198" s="10"/>
      <c r="GXS2198" s="10"/>
      <c r="GXT2198" s="10"/>
      <c r="GXU2198" s="10"/>
      <c r="GXV2198" s="10"/>
      <c r="GXW2198" s="10"/>
      <c r="GXX2198" s="10"/>
      <c r="GXY2198" s="10"/>
      <c r="GXZ2198" s="10"/>
      <c r="GYA2198" s="10"/>
      <c r="GYB2198" s="10"/>
      <c r="GYC2198" s="10"/>
      <c r="GYD2198" s="10"/>
      <c r="GYE2198" s="10"/>
      <c r="GYF2198" s="10"/>
      <c r="GYG2198" s="10"/>
      <c r="GYH2198" s="10"/>
      <c r="GYI2198" s="10"/>
      <c r="GYJ2198" s="10"/>
      <c r="GYK2198" s="10"/>
      <c r="GYL2198" s="10"/>
      <c r="GYM2198" s="10"/>
      <c r="GYN2198" s="10"/>
      <c r="GYO2198" s="10"/>
      <c r="GYP2198" s="10"/>
      <c r="GYQ2198" s="10"/>
      <c r="GYR2198" s="10"/>
      <c r="GYS2198" s="10"/>
      <c r="GYT2198" s="10"/>
      <c r="GYU2198" s="10"/>
      <c r="GYV2198" s="10"/>
      <c r="GYW2198" s="10"/>
      <c r="GYX2198" s="10"/>
      <c r="GYY2198" s="10"/>
      <c r="GYZ2198" s="10"/>
      <c r="GZA2198" s="10"/>
      <c r="GZB2198" s="10"/>
      <c r="GZC2198" s="10"/>
      <c r="GZD2198" s="10"/>
      <c r="GZE2198" s="10"/>
      <c r="GZF2198" s="10"/>
      <c r="GZG2198" s="10"/>
      <c r="GZH2198" s="10"/>
      <c r="GZI2198" s="10"/>
      <c r="GZJ2198" s="10"/>
      <c r="GZK2198" s="10"/>
      <c r="GZL2198" s="10"/>
      <c r="GZM2198" s="10"/>
      <c r="GZN2198" s="10"/>
      <c r="GZO2198" s="10"/>
      <c r="GZP2198" s="10"/>
      <c r="GZQ2198" s="10"/>
      <c r="GZR2198" s="10"/>
      <c r="GZS2198" s="10"/>
      <c r="GZT2198" s="10"/>
      <c r="GZU2198" s="10"/>
      <c r="GZV2198" s="10"/>
      <c r="GZW2198" s="10"/>
      <c r="GZX2198" s="10"/>
      <c r="GZY2198" s="10"/>
      <c r="GZZ2198" s="10"/>
      <c r="HAA2198" s="10"/>
      <c r="HAB2198" s="10"/>
      <c r="HAC2198" s="10"/>
      <c r="HAD2198" s="10"/>
      <c r="HAE2198" s="10"/>
      <c r="HAF2198" s="10"/>
      <c r="HAG2198" s="10"/>
      <c r="HAH2198" s="10"/>
      <c r="HAI2198" s="10"/>
      <c r="HAJ2198" s="10"/>
      <c r="HAK2198" s="10"/>
      <c r="HAL2198" s="10"/>
      <c r="HAM2198" s="10"/>
      <c r="HAN2198" s="10"/>
      <c r="HAO2198" s="10"/>
      <c r="HAP2198" s="10"/>
      <c r="HAQ2198" s="10"/>
      <c r="HAR2198" s="10"/>
      <c r="HAS2198" s="10"/>
      <c r="HAT2198" s="10"/>
      <c r="HAU2198" s="10"/>
      <c r="HAV2198" s="10"/>
      <c r="HAW2198" s="10"/>
      <c r="HAX2198" s="10"/>
      <c r="HAY2198" s="10"/>
      <c r="HAZ2198" s="10"/>
      <c r="HBA2198" s="10"/>
      <c r="HBB2198" s="10"/>
      <c r="HBC2198" s="10"/>
      <c r="HBD2198" s="10"/>
      <c r="HBE2198" s="10"/>
      <c r="HBF2198" s="10"/>
      <c r="HBG2198" s="10"/>
      <c r="HBH2198" s="10"/>
      <c r="HBI2198" s="10"/>
      <c r="HBJ2198" s="10"/>
      <c r="HBK2198" s="10"/>
      <c r="HBL2198" s="10"/>
      <c r="HBM2198" s="10"/>
      <c r="HBN2198" s="10"/>
      <c r="HBO2198" s="10"/>
      <c r="HBP2198" s="10"/>
      <c r="HBQ2198" s="10"/>
      <c r="HBR2198" s="10"/>
      <c r="HBS2198" s="10"/>
      <c r="HBT2198" s="10"/>
      <c r="HBU2198" s="10"/>
      <c r="HBV2198" s="10"/>
      <c r="HBW2198" s="10"/>
      <c r="HBX2198" s="10"/>
      <c r="HBY2198" s="10"/>
      <c r="HBZ2198" s="10"/>
      <c r="HCA2198" s="10"/>
      <c r="HCB2198" s="10"/>
      <c r="HCC2198" s="10"/>
      <c r="HCD2198" s="10"/>
      <c r="HCE2198" s="10"/>
      <c r="HCF2198" s="10"/>
      <c r="HCG2198" s="10"/>
      <c r="HCH2198" s="10"/>
      <c r="HCI2198" s="10"/>
      <c r="HCJ2198" s="10"/>
      <c r="HCK2198" s="10"/>
      <c r="HCL2198" s="10"/>
      <c r="HCM2198" s="10"/>
      <c r="HCN2198" s="10"/>
      <c r="HCO2198" s="10"/>
      <c r="HCP2198" s="10"/>
      <c r="HCQ2198" s="10"/>
      <c r="HCR2198" s="10"/>
      <c r="HCS2198" s="10"/>
      <c r="HCT2198" s="10"/>
      <c r="HCU2198" s="10"/>
      <c r="HCV2198" s="10"/>
      <c r="HCW2198" s="10"/>
      <c r="HCX2198" s="10"/>
      <c r="HCY2198" s="10"/>
      <c r="HCZ2198" s="10"/>
      <c r="HDA2198" s="10"/>
      <c r="HDB2198" s="10"/>
      <c r="HDC2198" s="10"/>
      <c r="HDD2198" s="10"/>
      <c r="HDE2198" s="10"/>
      <c r="HDF2198" s="10"/>
      <c r="HDG2198" s="10"/>
      <c r="HDH2198" s="10"/>
      <c r="HDI2198" s="10"/>
      <c r="HDJ2198" s="10"/>
      <c r="HDK2198" s="10"/>
      <c r="HDL2198" s="10"/>
      <c r="HDM2198" s="10"/>
      <c r="HDN2198" s="10"/>
      <c r="HDO2198" s="10"/>
      <c r="HDP2198" s="10"/>
      <c r="HDQ2198" s="10"/>
      <c r="HDR2198" s="10"/>
      <c r="HDS2198" s="10"/>
      <c r="HDT2198" s="10"/>
      <c r="HDU2198" s="10"/>
      <c r="HDV2198" s="10"/>
      <c r="HDW2198" s="10"/>
      <c r="HDX2198" s="10"/>
      <c r="HDY2198" s="10"/>
      <c r="HDZ2198" s="10"/>
      <c r="HEA2198" s="10"/>
      <c r="HEB2198" s="10"/>
      <c r="HEC2198" s="10"/>
      <c r="HED2198" s="10"/>
      <c r="HEE2198" s="10"/>
      <c r="HEF2198" s="10"/>
      <c r="HEG2198" s="10"/>
      <c r="HEH2198" s="10"/>
      <c r="HEI2198" s="10"/>
      <c r="HEJ2198" s="10"/>
      <c r="HEK2198" s="10"/>
      <c r="HEL2198" s="10"/>
      <c r="HEM2198" s="10"/>
      <c r="HEN2198" s="10"/>
      <c r="HEO2198" s="10"/>
      <c r="HEP2198" s="10"/>
      <c r="HEQ2198" s="10"/>
      <c r="HER2198" s="10"/>
      <c r="HES2198" s="10"/>
      <c r="HET2198" s="10"/>
      <c r="HEU2198" s="10"/>
      <c r="HEV2198" s="10"/>
      <c r="HEW2198" s="10"/>
      <c r="HEX2198" s="10"/>
      <c r="HEY2198" s="10"/>
      <c r="HEZ2198" s="10"/>
      <c r="HFA2198" s="10"/>
      <c r="HFB2198" s="10"/>
      <c r="HFC2198" s="10"/>
      <c r="HFD2198" s="10"/>
      <c r="HFE2198" s="10"/>
      <c r="HFF2198" s="10"/>
      <c r="HFG2198" s="10"/>
      <c r="HFH2198" s="10"/>
      <c r="HFI2198" s="10"/>
      <c r="HFJ2198" s="10"/>
      <c r="HFK2198" s="10"/>
      <c r="HFL2198" s="10"/>
      <c r="HFM2198" s="10"/>
      <c r="HFN2198" s="10"/>
      <c r="HFO2198" s="10"/>
      <c r="HFP2198" s="10"/>
      <c r="HFQ2198" s="10"/>
      <c r="HFR2198" s="10"/>
      <c r="HFS2198" s="10"/>
      <c r="HFT2198" s="10"/>
      <c r="HFU2198" s="10"/>
      <c r="HFV2198" s="10"/>
      <c r="HFW2198" s="10"/>
      <c r="HFX2198" s="10"/>
      <c r="HFY2198" s="10"/>
      <c r="HFZ2198" s="10"/>
      <c r="HGA2198" s="10"/>
      <c r="HGB2198" s="10"/>
      <c r="HGC2198" s="10"/>
      <c r="HGD2198" s="10"/>
      <c r="HGE2198" s="10"/>
      <c r="HGF2198" s="10"/>
      <c r="HGG2198" s="10"/>
      <c r="HGH2198" s="10"/>
      <c r="HGI2198" s="10"/>
      <c r="HGJ2198" s="10"/>
      <c r="HGK2198" s="10"/>
      <c r="HGL2198" s="10"/>
      <c r="HGM2198" s="10"/>
      <c r="HGN2198" s="10"/>
      <c r="HGO2198" s="10"/>
      <c r="HGP2198" s="10"/>
      <c r="HGQ2198" s="10"/>
      <c r="HGR2198" s="10"/>
      <c r="HGS2198" s="10"/>
      <c r="HGT2198" s="10"/>
      <c r="HGU2198" s="10"/>
      <c r="HGV2198" s="10"/>
      <c r="HGW2198" s="10"/>
      <c r="HGX2198" s="10"/>
      <c r="HGY2198" s="10"/>
      <c r="HGZ2198" s="10"/>
      <c r="HHA2198" s="10"/>
      <c r="HHB2198" s="10"/>
      <c r="HHC2198" s="10"/>
      <c r="HHD2198" s="10"/>
      <c r="HHE2198" s="10"/>
      <c r="HHF2198" s="10"/>
      <c r="HHG2198" s="10"/>
      <c r="HHH2198" s="10"/>
      <c r="HHI2198" s="10"/>
      <c r="HHJ2198" s="10"/>
      <c r="HHK2198" s="10"/>
      <c r="HHL2198" s="10"/>
      <c r="HHM2198" s="10"/>
      <c r="HHN2198" s="10"/>
      <c r="HHO2198" s="10"/>
      <c r="HHP2198" s="10"/>
      <c r="HHQ2198" s="10"/>
      <c r="HHR2198" s="10"/>
      <c r="HHS2198" s="10"/>
      <c r="HHT2198" s="10"/>
      <c r="HHU2198" s="10"/>
      <c r="HHV2198" s="10"/>
      <c r="HHW2198" s="10"/>
      <c r="HHX2198" s="10"/>
      <c r="HHY2198" s="10"/>
      <c r="HHZ2198" s="10"/>
      <c r="HIA2198" s="10"/>
      <c r="HIB2198" s="10"/>
      <c r="HIC2198" s="10"/>
      <c r="HID2198" s="10"/>
      <c r="HIE2198" s="10"/>
      <c r="HIF2198" s="10"/>
      <c r="HIG2198" s="10"/>
      <c r="HIH2198" s="10"/>
      <c r="HII2198" s="10"/>
      <c r="HIJ2198" s="10"/>
      <c r="HIK2198" s="10"/>
      <c r="HIL2198" s="10"/>
      <c r="HIM2198" s="10"/>
      <c r="HIN2198" s="10"/>
      <c r="HIO2198" s="10"/>
      <c r="HIP2198" s="10"/>
      <c r="HIQ2198" s="10"/>
      <c r="HIR2198" s="10"/>
      <c r="HIS2198" s="10"/>
      <c r="HIT2198" s="10"/>
      <c r="HIU2198" s="10"/>
      <c r="HIV2198" s="10"/>
      <c r="HIW2198" s="10"/>
      <c r="HIX2198" s="10"/>
      <c r="HIY2198" s="10"/>
      <c r="HIZ2198" s="10"/>
      <c r="HJA2198" s="10"/>
      <c r="HJB2198" s="10"/>
      <c r="HJC2198" s="10"/>
      <c r="HJD2198" s="10"/>
      <c r="HJE2198" s="10"/>
      <c r="HJF2198" s="10"/>
      <c r="HJG2198" s="10"/>
      <c r="HJH2198" s="10"/>
      <c r="HJI2198" s="10"/>
      <c r="HJJ2198" s="10"/>
      <c r="HJK2198" s="10"/>
      <c r="HJL2198" s="10"/>
      <c r="HJM2198" s="10"/>
      <c r="HJN2198" s="10"/>
      <c r="HJO2198" s="10"/>
      <c r="HJP2198" s="10"/>
      <c r="HJQ2198" s="10"/>
      <c r="HJR2198" s="10"/>
      <c r="HJS2198" s="10"/>
      <c r="HJT2198" s="10"/>
      <c r="HJU2198" s="10"/>
      <c r="HJV2198" s="10"/>
      <c r="HJW2198" s="10"/>
      <c r="HJX2198" s="10"/>
      <c r="HJY2198" s="10"/>
      <c r="HJZ2198" s="10"/>
      <c r="HKA2198" s="10"/>
      <c r="HKB2198" s="10"/>
      <c r="HKC2198" s="10"/>
      <c r="HKD2198" s="10"/>
      <c r="HKE2198" s="10"/>
      <c r="HKF2198" s="10"/>
      <c r="HKG2198" s="10"/>
      <c r="HKH2198" s="10"/>
      <c r="HKI2198" s="10"/>
      <c r="HKJ2198" s="10"/>
      <c r="HKK2198" s="10"/>
      <c r="HKL2198" s="10"/>
      <c r="HKM2198" s="10"/>
      <c r="HKN2198" s="10"/>
      <c r="HKO2198" s="10"/>
      <c r="HKP2198" s="10"/>
      <c r="HKQ2198" s="10"/>
      <c r="HKR2198" s="10"/>
      <c r="HKS2198" s="10"/>
      <c r="HKT2198" s="10"/>
      <c r="HKU2198" s="10"/>
      <c r="HKV2198" s="10"/>
      <c r="HKW2198" s="10"/>
      <c r="HKX2198" s="10"/>
      <c r="HKY2198" s="10"/>
      <c r="HKZ2198" s="10"/>
      <c r="HLA2198" s="10"/>
      <c r="HLB2198" s="10"/>
      <c r="HLC2198" s="10"/>
      <c r="HLD2198" s="10"/>
      <c r="HLE2198" s="10"/>
      <c r="HLF2198" s="10"/>
      <c r="HLG2198" s="10"/>
      <c r="HLH2198" s="10"/>
      <c r="HLI2198" s="10"/>
      <c r="HLJ2198" s="10"/>
      <c r="HLK2198" s="10"/>
      <c r="HLL2198" s="10"/>
      <c r="HLM2198" s="10"/>
      <c r="HLN2198" s="10"/>
      <c r="HLO2198" s="10"/>
      <c r="HLP2198" s="10"/>
      <c r="HLQ2198" s="10"/>
      <c r="HLR2198" s="10"/>
      <c r="HLS2198" s="10"/>
      <c r="HLT2198" s="10"/>
      <c r="HLU2198" s="10"/>
      <c r="HLV2198" s="10"/>
      <c r="HLW2198" s="10"/>
      <c r="HLX2198" s="10"/>
      <c r="HLY2198" s="10"/>
      <c r="HLZ2198" s="10"/>
      <c r="HMA2198" s="10"/>
      <c r="HMB2198" s="10"/>
      <c r="HMC2198" s="10"/>
      <c r="HMD2198" s="10"/>
      <c r="HME2198" s="10"/>
      <c r="HMF2198" s="10"/>
      <c r="HMG2198" s="10"/>
      <c r="HMH2198" s="10"/>
      <c r="HMI2198" s="10"/>
      <c r="HMJ2198" s="10"/>
      <c r="HMK2198" s="10"/>
      <c r="HML2198" s="10"/>
      <c r="HMM2198" s="10"/>
      <c r="HMN2198" s="10"/>
      <c r="HMO2198" s="10"/>
      <c r="HMP2198" s="10"/>
      <c r="HMQ2198" s="10"/>
      <c r="HMR2198" s="10"/>
      <c r="HMS2198" s="10"/>
      <c r="HMT2198" s="10"/>
      <c r="HMU2198" s="10"/>
      <c r="HMV2198" s="10"/>
      <c r="HMW2198" s="10"/>
      <c r="HMX2198" s="10"/>
      <c r="HMY2198" s="10"/>
      <c r="HMZ2198" s="10"/>
      <c r="HNA2198" s="10"/>
      <c r="HNB2198" s="10"/>
      <c r="HNC2198" s="10"/>
      <c r="HND2198" s="10"/>
      <c r="HNE2198" s="10"/>
      <c r="HNF2198" s="10"/>
      <c r="HNG2198" s="10"/>
      <c r="HNH2198" s="10"/>
      <c r="HNI2198" s="10"/>
      <c r="HNJ2198" s="10"/>
      <c r="HNK2198" s="10"/>
      <c r="HNL2198" s="10"/>
      <c r="HNM2198" s="10"/>
      <c r="HNN2198" s="10"/>
      <c r="HNO2198" s="10"/>
      <c r="HNP2198" s="10"/>
      <c r="HNQ2198" s="10"/>
      <c r="HNR2198" s="10"/>
      <c r="HNS2198" s="10"/>
      <c r="HNT2198" s="10"/>
      <c r="HNU2198" s="10"/>
      <c r="HNV2198" s="10"/>
      <c r="HNW2198" s="10"/>
      <c r="HNX2198" s="10"/>
      <c r="HNY2198" s="10"/>
      <c r="HNZ2198" s="10"/>
      <c r="HOA2198" s="10"/>
      <c r="HOB2198" s="10"/>
      <c r="HOC2198" s="10"/>
      <c r="HOD2198" s="10"/>
      <c r="HOE2198" s="10"/>
      <c r="HOF2198" s="10"/>
      <c r="HOG2198" s="10"/>
      <c r="HOH2198" s="10"/>
      <c r="HOI2198" s="10"/>
      <c r="HOJ2198" s="10"/>
      <c r="HOK2198" s="10"/>
      <c r="HOL2198" s="10"/>
      <c r="HOM2198" s="10"/>
      <c r="HON2198" s="10"/>
      <c r="HOO2198" s="10"/>
      <c r="HOP2198" s="10"/>
      <c r="HOQ2198" s="10"/>
      <c r="HOR2198" s="10"/>
      <c r="HOS2198" s="10"/>
      <c r="HOT2198" s="10"/>
      <c r="HOU2198" s="10"/>
      <c r="HOV2198" s="10"/>
      <c r="HOW2198" s="10"/>
      <c r="HOX2198" s="10"/>
      <c r="HOY2198" s="10"/>
      <c r="HOZ2198" s="10"/>
      <c r="HPA2198" s="10"/>
      <c r="HPB2198" s="10"/>
      <c r="HPC2198" s="10"/>
      <c r="HPD2198" s="10"/>
      <c r="HPE2198" s="10"/>
      <c r="HPF2198" s="10"/>
      <c r="HPG2198" s="10"/>
      <c r="HPH2198" s="10"/>
      <c r="HPI2198" s="10"/>
      <c r="HPJ2198" s="10"/>
      <c r="HPK2198" s="10"/>
      <c r="HPL2198" s="10"/>
      <c r="HPM2198" s="10"/>
      <c r="HPN2198" s="10"/>
      <c r="HPO2198" s="10"/>
      <c r="HPP2198" s="10"/>
      <c r="HPQ2198" s="10"/>
      <c r="HPR2198" s="10"/>
      <c r="HPS2198" s="10"/>
      <c r="HPT2198" s="10"/>
      <c r="HPU2198" s="10"/>
      <c r="HPV2198" s="10"/>
      <c r="HPW2198" s="10"/>
      <c r="HPX2198" s="10"/>
      <c r="HPY2198" s="10"/>
      <c r="HPZ2198" s="10"/>
      <c r="HQA2198" s="10"/>
      <c r="HQB2198" s="10"/>
      <c r="HQC2198" s="10"/>
      <c r="HQD2198" s="10"/>
      <c r="HQE2198" s="10"/>
      <c r="HQF2198" s="10"/>
      <c r="HQG2198" s="10"/>
      <c r="HQH2198" s="10"/>
      <c r="HQI2198" s="10"/>
      <c r="HQJ2198" s="10"/>
      <c r="HQK2198" s="10"/>
      <c r="HQL2198" s="10"/>
      <c r="HQM2198" s="10"/>
      <c r="HQN2198" s="10"/>
      <c r="HQO2198" s="10"/>
      <c r="HQP2198" s="10"/>
      <c r="HQQ2198" s="10"/>
      <c r="HQR2198" s="10"/>
      <c r="HQS2198" s="10"/>
      <c r="HQT2198" s="10"/>
      <c r="HQU2198" s="10"/>
      <c r="HQV2198" s="10"/>
      <c r="HQW2198" s="10"/>
      <c r="HQX2198" s="10"/>
      <c r="HQY2198" s="10"/>
      <c r="HQZ2198" s="10"/>
      <c r="HRA2198" s="10"/>
      <c r="HRB2198" s="10"/>
      <c r="HRC2198" s="10"/>
      <c r="HRD2198" s="10"/>
      <c r="HRE2198" s="10"/>
      <c r="HRF2198" s="10"/>
      <c r="HRG2198" s="10"/>
      <c r="HRH2198" s="10"/>
      <c r="HRI2198" s="10"/>
      <c r="HRJ2198" s="10"/>
      <c r="HRK2198" s="10"/>
      <c r="HRL2198" s="10"/>
      <c r="HRM2198" s="10"/>
      <c r="HRN2198" s="10"/>
      <c r="HRO2198" s="10"/>
      <c r="HRP2198" s="10"/>
      <c r="HRQ2198" s="10"/>
      <c r="HRR2198" s="10"/>
      <c r="HRS2198" s="10"/>
      <c r="HRT2198" s="10"/>
      <c r="HRU2198" s="10"/>
      <c r="HRV2198" s="10"/>
      <c r="HRW2198" s="10"/>
      <c r="HRX2198" s="10"/>
      <c r="HRY2198" s="10"/>
      <c r="HRZ2198" s="10"/>
      <c r="HSA2198" s="10"/>
      <c r="HSB2198" s="10"/>
      <c r="HSC2198" s="10"/>
      <c r="HSD2198" s="10"/>
      <c r="HSE2198" s="10"/>
      <c r="HSF2198" s="10"/>
      <c r="HSG2198" s="10"/>
      <c r="HSH2198" s="10"/>
      <c r="HSI2198" s="10"/>
      <c r="HSJ2198" s="10"/>
      <c r="HSK2198" s="10"/>
      <c r="HSL2198" s="10"/>
      <c r="HSM2198" s="10"/>
      <c r="HSN2198" s="10"/>
      <c r="HSO2198" s="10"/>
      <c r="HSP2198" s="10"/>
      <c r="HSQ2198" s="10"/>
      <c r="HSR2198" s="10"/>
      <c r="HSS2198" s="10"/>
      <c r="HST2198" s="10"/>
      <c r="HSU2198" s="10"/>
      <c r="HSV2198" s="10"/>
      <c r="HSW2198" s="10"/>
      <c r="HSX2198" s="10"/>
      <c r="HSY2198" s="10"/>
      <c r="HSZ2198" s="10"/>
      <c r="HTA2198" s="10"/>
      <c r="HTB2198" s="10"/>
      <c r="HTC2198" s="10"/>
      <c r="HTD2198" s="10"/>
      <c r="HTE2198" s="10"/>
      <c r="HTF2198" s="10"/>
      <c r="HTG2198" s="10"/>
      <c r="HTH2198" s="10"/>
      <c r="HTI2198" s="10"/>
      <c r="HTJ2198" s="10"/>
      <c r="HTK2198" s="10"/>
      <c r="HTL2198" s="10"/>
      <c r="HTM2198" s="10"/>
      <c r="HTN2198" s="10"/>
      <c r="HTO2198" s="10"/>
      <c r="HTP2198" s="10"/>
      <c r="HTQ2198" s="10"/>
      <c r="HTR2198" s="10"/>
      <c r="HTS2198" s="10"/>
      <c r="HTT2198" s="10"/>
      <c r="HTU2198" s="10"/>
      <c r="HTV2198" s="10"/>
      <c r="HTW2198" s="10"/>
      <c r="HTX2198" s="10"/>
      <c r="HTY2198" s="10"/>
      <c r="HTZ2198" s="10"/>
      <c r="HUA2198" s="10"/>
      <c r="HUB2198" s="10"/>
      <c r="HUC2198" s="10"/>
      <c r="HUD2198" s="10"/>
      <c r="HUE2198" s="10"/>
      <c r="HUF2198" s="10"/>
      <c r="HUG2198" s="10"/>
      <c r="HUH2198" s="10"/>
      <c r="HUI2198" s="10"/>
      <c r="HUJ2198" s="10"/>
      <c r="HUK2198" s="10"/>
      <c r="HUL2198" s="10"/>
      <c r="HUM2198" s="10"/>
      <c r="HUN2198" s="10"/>
      <c r="HUO2198" s="10"/>
      <c r="HUP2198" s="10"/>
      <c r="HUQ2198" s="10"/>
      <c r="HUR2198" s="10"/>
      <c r="HUS2198" s="10"/>
      <c r="HUT2198" s="10"/>
      <c r="HUU2198" s="10"/>
      <c r="HUV2198" s="10"/>
      <c r="HUW2198" s="10"/>
      <c r="HUX2198" s="10"/>
      <c r="HUY2198" s="10"/>
      <c r="HUZ2198" s="10"/>
      <c r="HVA2198" s="10"/>
      <c r="HVB2198" s="10"/>
      <c r="HVC2198" s="10"/>
      <c r="HVD2198" s="10"/>
      <c r="HVE2198" s="10"/>
      <c r="HVF2198" s="10"/>
      <c r="HVG2198" s="10"/>
      <c r="HVH2198" s="10"/>
      <c r="HVI2198" s="10"/>
      <c r="HVJ2198" s="10"/>
      <c r="HVK2198" s="10"/>
      <c r="HVL2198" s="10"/>
      <c r="HVM2198" s="10"/>
      <c r="HVN2198" s="10"/>
      <c r="HVO2198" s="10"/>
      <c r="HVP2198" s="10"/>
      <c r="HVQ2198" s="10"/>
      <c r="HVR2198" s="10"/>
      <c r="HVS2198" s="10"/>
      <c r="HVT2198" s="10"/>
      <c r="HVU2198" s="10"/>
      <c r="HVV2198" s="10"/>
      <c r="HVW2198" s="10"/>
      <c r="HVX2198" s="10"/>
      <c r="HVY2198" s="10"/>
      <c r="HVZ2198" s="10"/>
      <c r="HWA2198" s="10"/>
      <c r="HWB2198" s="10"/>
      <c r="HWC2198" s="10"/>
      <c r="HWD2198" s="10"/>
      <c r="HWE2198" s="10"/>
      <c r="HWF2198" s="10"/>
      <c r="HWG2198" s="10"/>
      <c r="HWH2198" s="10"/>
      <c r="HWI2198" s="10"/>
      <c r="HWJ2198" s="10"/>
      <c r="HWK2198" s="10"/>
      <c r="HWL2198" s="10"/>
      <c r="HWM2198" s="10"/>
      <c r="HWN2198" s="10"/>
      <c r="HWO2198" s="10"/>
      <c r="HWP2198" s="10"/>
      <c r="HWQ2198" s="10"/>
      <c r="HWR2198" s="10"/>
      <c r="HWS2198" s="10"/>
      <c r="HWT2198" s="10"/>
      <c r="HWU2198" s="10"/>
      <c r="HWV2198" s="10"/>
      <c r="HWW2198" s="10"/>
      <c r="HWX2198" s="10"/>
      <c r="HWY2198" s="10"/>
      <c r="HWZ2198" s="10"/>
      <c r="HXA2198" s="10"/>
      <c r="HXB2198" s="10"/>
      <c r="HXC2198" s="10"/>
      <c r="HXD2198" s="10"/>
      <c r="HXE2198" s="10"/>
      <c r="HXF2198" s="10"/>
      <c r="HXG2198" s="10"/>
      <c r="HXH2198" s="10"/>
      <c r="HXI2198" s="10"/>
      <c r="HXJ2198" s="10"/>
      <c r="HXK2198" s="10"/>
      <c r="HXL2198" s="10"/>
      <c r="HXM2198" s="10"/>
      <c r="HXN2198" s="10"/>
      <c r="HXO2198" s="10"/>
      <c r="HXP2198" s="10"/>
      <c r="HXQ2198" s="10"/>
      <c r="HXR2198" s="10"/>
      <c r="HXS2198" s="10"/>
      <c r="HXT2198" s="10"/>
      <c r="HXU2198" s="10"/>
      <c r="HXV2198" s="10"/>
      <c r="HXW2198" s="10"/>
      <c r="HXX2198" s="10"/>
      <c r="HXY2198" s="10"/>
      <c r="HXZ2198" s="10"/>
      <c r="HYA2198" s="10"/>
      <c r="HYB2198" s="10"/>
      <c r="HYC2198" s="10"/>
      <c r="HYD2198" s="10"/>
      <c r="HYE2198" s="10"/>
      <c r="HYF2198" s="10"/>
      <c r="HYG2198" s="10"/>
      <c r="HYH2198" s="10"/>
      <c r="HYI2198" s="10"/>
      <c r="HYJ2198" s="10"/>
      <c r="HYK2198" s="10"/>
      <c r="HYL2198" s="10"/>
      <c r="HYM2198" s="10"/>
      <c r="HYN2198" s="10"/>
      <c r="HYO2198" s="10"/>
      <c r="HYP2198" s="10"/>
      <c r="HYQ2198" s="10"/>
      <c r="HYR2198" s="10"/>
      <c r="HYS2198" s="10"/>
      <c r="HYT2198" s="10"/>
      <c r="HYU2198" s="10"/>
      <c r="HYV2198" s="10"/>
      <c r="HYW2198" s="10"/>
      <c r="HYX2198" s="10"/>
      <c r="HYY2198" s="10"/>
      <c r="HYZ2198" s="10"/>
      <c r="HZA2198" s="10"/>
      <c r="HZB2198" s="10"/>
      <c r="HZC2198" s="10"/>
      <c r="HZD2198" s="10"/>
      <c r="HZE2198" s="10"/>
      <c r="HZF2198" s="10"/>
      <c r="HZG2198" s="10"/>
      <c r="HZH2198" s="10"/>
      <c r="HZI2198" s="10"/>
      <c r="HZJ2198" s="10"/>
      <c r="HZK2198" s="10"/>
      <c r="HZL2198" s="10"/>
      <c r="HZM2198" s="10"/>
      <c r="HZN2198" s="10"/>
      <c r="HZO2198" s="10"/>
      <c r="HZP2198" s="10"/>
      <c r="HZQ2198" s="10"/>
      <c r="HZR2198" s="10"/>
      <c r="HZS2198" s="10"/>
      <c r="HZT2198" s="10"/>
      <c r="HZU2198" s="10"/>
      <c r="HZV2198" s="10"/>
      <c r="HZW2198" s="10"/>
      <c r="HZX2198" s="10"/>
      <c r="HZY2198" s="10"/>
      <c r="HZZ2198" s="10"/>
      <c r="IAA2198" s="10"/>
      <c r="IAB2198" s="10"/>
      <c r="IAC2198" s="10"/>
      <c r="IAD2198" s="10"/>
      <c r="IAE2198" s="10"/>
      <c r="IAF2198" s="10"/>
      <c r="IAG2198" s="10"/>
      <c r="IAH2198" s="10"/>
      <c r="IAI2198" s="10"/>
      <c r="IAJ2198" s="10"/>
      <c r="IAK2198" s="10"/>
      <c r="IAL2198" s="10"/>
      <c r="IAM2198" s="10"/>
      <c r="IAN2198" s="10"/>
      <c r="IAO2198" s="10"/>
      <c r="IAP2198" s="10"/>
      <c r="IAQ2198" s="10"/>
      <c r="IAR2198" s="10"/>
      <c r="IAS2198" s="10"/>
      <c r="IAT2198" s="10"/>
      <c r="IAU2198" s="10"/>
      <c r="IAV2198" s="10"/>
      <c r="IAW2198" s="10"/>
      <c r="IAX2198" s="10"/>
      <c r="IAY2198" s="10"/>
      <c r="IAZ2198" s="10"/>
      <c r="IBA2198" s="10"/>
      <c r="IBB2198" s="10"/>
      <c r="IBC2198" s="10"/>
      <c r="IBD2198" s="10"/>
      <c r="IBE2198" s="10"/>
      <c r="IBF2198" s="10"/>
      <c r="IBG2198" s="10"/>
      <c r="IBH2198" s="10"/>
      <c r="IBI2198" s="10"/>
      <c r="IBJ2198" s="10"/>
      <c r="IBK2198" s="10"/>
      <c r="IBL2198" s="10"/>
      <c r="IBM2198" s="10"/>
      <c r="IBN2198" s="10"/>
      <c r="IBO2198" s="10"/>
      <c r="IBP2198" s="10"/>
      <c r="IBQ2198" s="10"/>
      <c r="IBR2198" s="10"/>
      <c r="IBS2198" s="10"/>
      <c r="IBT2198" s="10"/>
      <c r="IBU2198" s="10"/>
      <c r="IBV2198" s="10"/>
      <c r="IBW2198" s="10"/>
      <c r="IBX2198" s="10"/>
      <c r="IBY2198" s="10"/>
      <c r="IBZ2198" s="10"/>
      <c r="ICA2198" s="10"/>
      <c r="ICB2198" s="10"/>
      <c r="ICC2198" s="10"/>
      <c r="ICD2198" s="10"/>
      <c r="ICE2198" s="10"/>
      <c r="ICF2198" s="10"/>
      <c r="ICG2198" s="10"/>
      <c r="ICH2198" s="10"/>
      <c r="ICI2198" s="10"/>
      <c r="ICJ2198" s="10"/>
      <c r="ICK2198" s="10"/>
      <c r="ICL2198" s="10"/>
      <c r="ICM2198" s="10"/>
      <c r="ICN2198" s="10"/>
      <c r="ICO2198" s="10"/>
      <c r="ICP2198" s="10"/>
      <c r="ICQ2198" s="10"/>
      <c r="ICR2198" s="10"/>
      <c r="ICS2198" s="10"/>
      <c r="ICT2198" s="10"/>
      <c r="ICU2198" s="10"/>
      <c r="ICV2198" s="10"/>
      <c r="ICW2198" s="10"/>
      <c r="ICX2198" s="10"/>
      <c r="ICY2198" s="10"/>
      <c r="ICZ2198" s="10"/>
      <c r="IDA2198" s="10"/>
      <c r="IDB2198" s="10"/>
      <c r="IDC2198" s="10"/>
      <c r="IDD2198" s="10"/>
      <c r="IDE2198" s="10"/>
      <c r="IDF2198" s="10"/>
      <c r="IDG2198" s="10"/>
      <c r="IDH2198" s="10"/>
      <c r="IDI2198" s="10"/>
      <c r="IDJ2198" s="10"/>
      <c r="IDK2198" s="10"/>
      <c r="IDL2198" s="10"/>
      <c r="IDM2198" s="10"/>
      <c r="IDN2198" s="10"/>
      <c r="IDO2198" s="10"/>
      <c r="IDP2198" s="10"/>
      <c r="IDQ2198" s="10"/>
      <c r="IDR2198" s="10"/>
      <c r="IDS2198" s="10"/>
      <c r="IDT2198" s="10"/>
      <c r="IDU2198" s="10"/>
      <c r="IDV2198" s="10"/>
      <c r="IDW2198" s="10"/>
      <c r="IDX2198" s="10"/>
      <c r="IDY2198" s="10"/>
      <c r="IDZ2198" s="10"/>
      <c r="IEA2198" s="10"/>
      <c r="IEB2198" s="10"/>
      <c r="IEC2198" s="10"/>
      <c r="IED2198" s="10"/>
      <c r="IEE2198" s="10"/>
      <c r="IEF2198" s="10"/>
      <c r="IEG2198" s="10"/>
      <c r="IEH2198" s="10"/>
      <c r="IEI2198" s="10"/>
      <c r="IEJ2198" s="10"/>
      <c r="IEK2198" s="10"/>
      <c r="IEL2198" s="10"/>
      <c r="IEM2198" s="10"/>
      <c r="IEN2198" s="10"/>
      <c r="IEO2198" s="10"/>
      <c r="IEP2198" s="10"/>
      <c r="IEQ2198" s="10"/>
      <c r="IER2198" s="10"/>
      <c r="IES2198" s="10"/>
      <c r="IET2198" s="10"/>
      <c r="IEU2198" s="10"/>
      <c r="IEV2198" s="10"/>
      <c r="IEW2198" s="10"/>
      <c r="IEX2198" s="10"/>
      <c r="IEY2198" s="10"/>
      <c r="IEZ2198" s="10"/>
      <c r="IFA2198" s="10"/>
      <c r="IFB2198" s="10"/>
      <c r="IFC2198" s="10"/>
      <c r="IFD2198" s="10"/>
      <c r="IFE2198" s="10"/>
      <c r="IFF2198" s="10"/>
      <c r="IFG2198" s="10"/>
      <c r="IFH2198" s="10"/>
      <c r="IFI2198" s="10"/>
      <c r="IFJ2198" s="10"/>
      <c r="IFK2198" s="10"/>
      <c r="IFL2198" s="10"/>
      <c r="IFM2198" s="10"/>
      <c r="IFN2198" s="10"/>
      <c r="IFO2198" s="10"/>
      <c r="IFP2198" s="10"/>
      <c r="IFQ2198" s="10"/>
      <c r="IFR2198" s="10"/>
      <c r="IFS2198" s="10"/>
      <c r="IFT2198" s="10"/>
      <c r="IFU2198" s="10"/>
      <c r="IFV2198" s="10"/>
      <c r="IFW2198" s="10"/>
      <c r="IFX2198" s="10"/>
      <c r="IFY2198" s="10"/>
      <c r="IFZ2198" s="10"/>
      <c r="IGA2198" s="10"/>
      <c r="IGB2198" s="10"/>
      <c r="IGC2198" s="10"/>
      <c r="IGD2198" s="10"/>
      <c r="IGE2198" s="10"/>
      <c r="IGF2198" s="10"/>
      <c r="IGG2198" s="10"/>
      <c r="IGH2198" s="10"/>
      <c r="IGI2198" s="10"/>
      <c r="IGJ2198" s="10"/>
      <c r="IGK2198" s="10"/>
      <c r="IGL2198" s="10"/>
      <c r="IGM2198" s="10"/>
      <c r="IGN2198" s="10"/>
      <c r="IGO2198" s="10"/>
      <c r="IGP2198" s="10"/>
      <c r="IGQ2198" s="10"/>
      <c r="IGR2198" s="10"/>
      <c r="IGS2198" s="10"/>
      <c r="IGT2198" s="10"/>
      <c r="IGU2198" s="10"/>
      <c r="IGV2198" s="10"/>
      <c r="IGW2198" s="10"/>
      <c r="IGX2198" s="10"/>
      <c r="IGY2198" s="10"/>
      <c r="IGZ2198" s="10"/>
      <c r="IHA2198" s="10"/>
      <c r="IHB2198" s="10"/>
      <c r="IHC2198" s="10"/>
      <c r="IHD2198" s="10"/>
      <c r="IHE2198" s="10"/>
      <c r="IHF2198" s="10"/>
      <c r="IHG2198" s="10"/>
      <c r="IHH2198" s="10"/>
      <c r="IHI2198" s="10"/>
      <c r="IHJ2198" s="10"/>
      <c r="IHK2198" s="10"/>
      <c r="IHL2198" s="10"/>
      <c r="IHM2198" s="10"/>
      <c r="IHN2198" s="10"/>
      <c r="IHO2198" s="10"/>
      <c r="IHP2198" s="10"/>
      <c r="IHQ2198" s="10"/>
      <c r="IHR2198" s="10"/>
      <c r="IHS2198" s="10"/>
      <c r="IHT2198" s="10"/>
      <c r="IHU2198" s="10"/>
      <c r="IHV2198" s="10"/>
      <c r="IHW2198" s="10"/>
      <c r="IHX2198" s="10"/>
      <c r="IHY2198" s="10"/>
      <c r="IHZ2198" s="10"/>
      <c r="IIA2198" s="10"/>
      <c r="IIB2198" s="10"/>
      <c r="IIC2198" s="10"/>
      <c r="IID2198" s="10"/>
      <c r="IIE2198" s="10"/>
      <c r="IIF2198" s="10"/>
      <c r="IIG2198" s="10"/>
      <c r="IIH2198" s="10"/>
      <c r="III2198" s="10"/>
      <c r="IIJ2198" s="10"/>
      <c r="IIK2198" s="10"/>
      <c r="IIL2198" s="10"/>
      <c r="IIM2198" s="10"/>
      <c r="IIN2198" s="10"/>
      <c r="IIO2198" s="10"/>
      <c r="IIP2198" s="10"/>
      <c r="IIQ2198" s="10"/>
      <c r="IIR2198" s="10"/>
      <c r="IIS2198" s="10"/>
      <c r="IIT2198" s="10"/>
      <c r="IIU2198" s="10"/>
      <c r="IIV2198" s="10"/>
      <c r="IIW2198" s="10"/>
      <c r="IIX2198" s="10"/>
      <c r="IIY2198" s="10"/>
      <c r="IIZ2198" s="10"/>
      <c r="IJA2198" s="10"/>
      <c r="IJB2198" s="10"/>
      <c r="IJC2198" s="10"/>
      <c r="IJD2198" s="10"/>
      <c r="IJE2198" s="10"/>
      <c r="IJF2198" s="10"/>
      <c r="IJG2198" s="10"/>
      <c r="IJH2198" s="10"/>
      <c r="IJI2198" s="10"/>
      <c r="IJJ2198" s="10"/>
      <c r="IJK2198" s="10"/>
      <c r="IJL2198" s="10"/>
      <c r="IJM2198" s="10"/>
      <c r="IJN2198" s="10"/>
      <c r="IJO2198" s="10"/>
      <c r="IJP2198" s="10"/>
      <c r="IJQ2198" s="10"/>
      <c r="IJR2198" s="10"/>
      <c r="IJS2198" s="10"/>
      <c r="IJT2198" s="10"/>
      <c r="IJU2198" s="10"/>
      <c r="IJV2198" s="10"/>
      <c r="IJW2198" s="10"/>
      <c r="IJX2198" s="10"/>
      <c r="IJY2198" s="10"/>
      <c r="IJZ2198" s="10"/>
      <c r="IKA2198" s="10"/>
      <c r="IKB2198" s="10"/>
      <c r="IKC2198" s="10"/>
      <c r="IKD2198" s="10"/>
      <c r="IKE2198" s="10"/>
      <c r="IKF2198" s="10"/>
      <c r="IKG2198" s="10"/>
      <c r="IKH2198" s="10"/>
      <c r="IKI2198" s="10"/>
      <c r="IKJ2198" s="10"/>
      <c r="IKK2198" s="10"/>
      <c r="IKL2198" s="10"/>
      <c r="IKM2198" s="10"/>
      <c r="IKN2198" s="10"/>
      <c r="IKO2198" s="10"/>
      <c r="IKP2198" s="10"/>
      <c r="IKQ2198" s="10"/>
      <c r="IKR2198" s="10"/>
      <c r="IKS2198" s="10"/>
      <c r="IKT2198" s="10"/>
      <c r="IKU2198" s="10"/>
      <c r="IKV2198" s="10"/>
      <c r="IKW2198" s="10"/>
      <c r="IKX2198" s="10"/>
      <c r="IKY2198" s="10"/>
      <c r="IKZ2198" s="10"/>
      <c r="ILA2198" s="10"/>
      <c r="ILB2198" s="10"/>
      <c r="ILC2198" s="10"/>
      <c r="ILD2198" s="10"/>
      <c r="ILE2198" s="10"/>
      <c r="ILF2198" s="10"/>
      <c r="ILG2198" s="10"/>
      <c r="ILH2198" s="10"/>
      <c r="ILI2198" s="10"/>
      <c r="ILJ2198" s="10"/>
      <c r="ILK2198" s="10"/>
      <c r="ILL2198" s="10"/>
      <c r="ILM2198" s="10"/>
      <c r="ILN2198" s="10"/>
      <c r="ILO2198" s="10"/>
      <c r="ILP2198" s="10"/>
      <c r="ILQ2198" s="10"/>
      <c r="ILR2198" s="10"/>
      <c r="ILS2198" s="10"/>
      <c r="ILT2198" s="10"/>
      <c r="ILU2198" s="10"/>
      <c r="ILV2198" s="10"/>
      <c r="ILW2198" s="10"/>
      <c r="ILX2198" s="10"/>
      <c r="ILY2198" s="10"/>
      <c r="ILZ2198" s="10"/>
      <c r="IMA2198" s="10"/>
      <c r="IMB2198" s="10"/>
      <c r="IMC2198" s="10"/>
      <c r="IMD2198" s="10"/>
      <c r="IME2198" s="10"/>
      <c r="IMF2198" s="10"/>
      <c r="IMG2198" s="10"/>
      <c r="IMH2198" s="10"/>
      <c r="IMI2198" s="10"/>
      <c r="IMJ2198" s="10"/>
      <c r="IMK2198" s="10"/>
      <c r="IML2198" s="10"/>
      <c r="IMM2198" s="10"/>
      <c r="IMN2198" s="10"/>
      <c r="IMO2198" s="10"/>
      <c r="IMP2198" s="10"/>
      <c r="IMQ2198" s="10"/>
      <c r="IMR2198" s="10"/>
      <c r="IMS2198" s="10"/>
      <c r="IMT2198" s="10"/>
      <c r="IMU2198" s="10"/>
      <c r="IMV2198" s="10"/>
      <c r="IMW2198" s="10"/>
      <c r="IMX2198" s="10"/>
      <c r="IMY2198" s="10"/>
      <c r="IMZ2198" s="10"/>
      <c r="INA2198" s="10"/>
      <c r="INB2198" s="10"/>
      <c r="INC2198" s="10"/>
      <c r="IND2198" s="10"/>
      <c r="INE2198" s="10"/>
      <c r="INF2198" s="10"/>
      <c r="ING2198" s="10"/>
      <c r="INH2198" s="10"/>
      <c r="INI2198" s="10"/>
      <c r="INJ2198" s="10"/>
      <c r="INK2198" s="10"/>
      <c r="INL2198" s="10"/>
      <c r="INM2198" s="10"/>
      <c r="INN2198" s="10"/>
      <c r="INO2198" s="10"/>
      <c r="INP2198" s="10"/>
      <c r="INQ2198" s="10"/>
      <c r="INR2198" s="10"/>
      <c r="INS2198" s="10"/>
      <c r="INT2198" s="10"/>
      <c r="INU2198" s="10"/>
      <c r="INV2198" s="10"/>
      <c r="INW2198" s="10"/>
      <c r="INX2198" s="10"/>
      <c r="INY2198" s="10"/>
      <c r="INZ2198" s="10"/>
      <c r="IOA2198" s="10"/>
      <c r="IOB2198" s="10"/>
      <c r="IOC2198" s="10"/>
      <c r="IOD2198" s="10"/>
      <c r="IOE2198" s="10"/>
      <c r="IOF2198" s="10"/>
      <c r="IOG2198" s="10"/>
      <c r="IOH2198" s="10"/>
      <c r="IOI2198" s="10"/>
      <c r="IOJ2198" s="10"/>
      <c r="IOK2198" s="10"/>
      <c r="IOL2198" s="10"/>
      <c r="IOM2198" s="10"/>
      <c r="ION2198" s="10"/>
      <c r="IOO2198" s="10"/>
      <c r="IOP2198" s="10"/>
      <c r="IOQ2198" s="10"/>
      <c r="IOR2198" s="10"/>
      <c r="IOS2198" s="10"/>
      <c r="IOT2198" s="10"/>
      <c r="IOU2198" s="10"/>
      <c r="IOV2198" s="10"/>
      <c r="IOW2198" s="10"/>
      <c r="IOX2198" s="10"/>
      <c r="IOY2198" s="10"/>
      <c r="IOZ2198" s="10"/>
      <c r="IPA2198" s="10"/>
      <c r="IPB2198" s="10"/>
      <c r="IPC2198" s="10"/>
      <c r="IPD2198" s="10"/>
      <c r="IPE2198" s="10"/>
      <c r="IPF2198" s="10"/>
      <c r="IPG2198" s="10"/>
      <c r="IPH2198" s="10"/>
      <c r="IPI2198" s="10"/>
      <c r="IPJ2198" s="10"/>
      <c r="IPK2198" s="10"/>
      <c r="IPL2198" s="10"/>
      <c r="IPM2198" s="10"/>
      <c r="IPN2198" s="10"/>
      <c r="IPO2198" s="10"/>
      <c r="IPP2198" s="10"/>
      <c r="IPQ2198" s="10"/>
      <c r="IPR2198" s="10"/>
      <c r="IPS2198" s="10"/>
      <c r="IPT2198" s="10"/>
      <c r="IPU2198" s="10"/>
      <c r="IPV2198" s="10"/>
      <c r="IPW2198" s="10"/>
      <c r="IPX2198" s="10"/>
      <c r="IPY2198" s="10"/>
      <c r="IPZ2198" s="10"/>
      <c r="IQA2198" s="10"/>
      <c r="IQB2198" s="10"/>
      <c r="IQC2198" s="10"/>
      <c r="IQD2198" s="10"/>
      <c r="IQE2198" s="10"/>
      <c r="IQF2198" s="10"/>
      <c r="IQG2198" s="10"/>
      <c r="IQH2198" s="10"/>
      <c r="IQI2198" s="10"/>
      <c r="IQJ2198" s="10"/>
      <c r="IQK2198" s="10"/>
      <c r="IQL2198" s="10"/>
      <c r="IQM2198" s="10"/>
      <c r="IQN2198" s="10"/>
      <c r="IQO2198" s="10"/>
      <c r="IQP2198" s="10"/>
      <c r="IQQ2198" s="10"/>
      <c r="IQR2198" s="10"/>
      <c r="IQS2198" s="10"/>
      <c r="IQT2198" s="10"/>
      <c r="IQU2198" s="10"/>
      <c r="IQV2198" s="10"/>
      <c r="IQW2198" s="10"/>
      <c r="IQX2198" s="10"/>
      <c r="IQY2198" s="10"/>
      <c r="IQZ2198" s="10"/>
      <c r="IRA2198" s="10"/>
      <c r="IRB2198" s="10"/>
      <c r="IRC2198" s="10"/>
      <c r="IRD2198" s="10"/>
      <c r="IRE2198" s="10"/>
      <c r="IRF2198" s="10"/>
      <c r="IRG2198" s="10"/>
      <c r="IRH2198" s="10"/>
      <c r="IRI2198" s="10"/>
      <c r="IRJ2198" s="10"/>
      <c r="IRK2198" s="10"/>
      <c r="IRL2198" s="10"/>
      <c r="IRM2198" s="10"/>
      <c r="IRN2198" s="10"/>
      <c r="IRO2198" s="10"/>
      <c r="IRP2198" s="10"/>
      <c r="IRQ2198" s="10"/>
      <c r="IRR2198" s="10"/>
      <c r="IRS2198" s="10"/>
      <c r="IRT2198" s="10"/>
      <c r="IRU2198" s="10"/>
      <c r="IRV2198" s="10"/>
      <c r="IRW2198" s="10"/>
      <c r="IRX2198" s="10"/>
      <c r="IRY2198" s="10"/>
      <c r="IRZ2198" s="10"/>
      <c r="ISA2198" s="10"/>
      <c r="ISB2198" s="10"/>
      <c r="ISC2198" s="10"/>
      <c r="ISD2198" s="10"/>
      <c r="ISE2198" s="10"/>
      <c r="ISF2198" s="10"/>
      <c r="ISG2198" s="10"/>
      <c r="ISH2198" s="10"/>
      <c r="ISI2198" s="10"/>
      <c r="ISJ2198" s="10"/>
      <c r="ISK2198" s="10"/>
      <c r="ISL2198" s="10"/>
      <c r="ISM2198" s="10"/>
      <c r="ISN2198" s="10"/>
      <c r="ISO2198" s="10"/>
      <c r="ISP2198" s="10"/>
      <c r="ISQ2198" s="10"/>
      <c r="ISR2198" s="10"/>
      <c r="ISS2198" s="10"/>
      <c r="IST2198" s="10"/>
      <c r="ISU2198" s="10"/>
      <c r="ISV2198" s="10"/>
      <c r="ISW2198" s="10"/>
      <c r="ISX2198" s="10"/>
      <c r="ISY2198" s="10"/>
      <c r="ISZ2198" s="10"/>
      <c r="ITA2198" s="10"/>
      <c r="ITB2198" s="10"/>
      <c r="ITC2198" s="10"/>
      <c r="ITD2198" s="10"/>
      <c r="ITE2198" s="10"/>
      <c r="ITF2198" s="10"/>
      <c r="ITG2198" s="10"/>
      <c r="ITH2198" s="10"/>
      <c r="ITI2198" s="10"/>
      <c r="ITJ2198" s="10"/>
      <c r="ITK2198" s="10"/>
      <c r="ITL2198" s="10"/>
      <c r="ITM2198" s="10"/>
      <c r="ITN2198" s="10"/>
      <c r="ITO2198" s="10"/>
      <c r="ITP2198" s="10"/>
      <c r="ITQ2198" s="10"/>
      <c r="ITR2198" s="10"/>
      <c r="ITS2198" s="10"/>
      <c r="ITT2198" s="10"/>
      <c r="ITU2198" s="10"/>
      <c r="ITV2198" s="10"/>
      <c r="ITW2198" s="10"/>
      <c r="ITX2198" s="10"/>
      <c r="ITY2198" s="10"/>
      <c r="ITZ2198" s="10"/>
      <c r="IUA2198" s="10"/>
      <c r="IUB2198" s="10"/>
      <c r="IUC2198" s="10"/>
      <c r="IUD2198" s="10"/>
      <c r="IUE2198" s="10"/>
      <c r="IUF2198" s="10"/>
      <c r="IUG2198" s="10"/>
      <c r="IUH2198" s="10"/>
      <c r="IUI2198" s="10"/>
      <c r="IUJ2198" s="10"/>
      <c r="IUK2198" s="10"/>
      <c r="IUL2198" s="10"/>
      <c r="IUM2198" s="10"/>
      <c r="IUN2198" s="10"/>
      <c r="IUO2198" s="10"/>
      <c r="IUP2198" s="10"/>
      <c r="IUQ2198" s="10"/>
      <c r="IUR2198" s="10"/>
      <c r="IUS2198" s="10"/>
      <c r="IUT2198" s="10"/>
      <c r="IUU2198" s="10"/>
      <c r="IUV2198" s="10"/>
      <c r="IUW2198" s="10"/>
      <c r="IUX2198" s="10"/>
      <c r="IUY2198" s="10"/>
      <c r="IUZ2198" s="10"/>
      <c r="IVA2198" s="10"/>
      <c r="IVB2198" s="10"/>
      <c r="IVC2198" s="10"/>
      <c r="IVD2198" s="10"/>
      <c r="IVE2198" s="10"/>
      <c r="IVF2198" s="10"/>
      <c r="IVG2198" s="10"/>
      <c r="IVH2198" s="10"/>
      <c r="IVI2198" s="10"/>
      <c r="IVJ2198" s="10"/>
      <c r="IVK2198" s="10"/>
      <c r="IVL2198" s="10"/>
      <c r="IVM2198" s="10"/>
      <c r="IVN2198" s="10"/>
      <c r="IVO2198" s="10"/>
      <c r="IVP2198" s="10"/>
      <c r="IVQ2198" s="10"/>
      <c r="IVR2198" s="10"/>
      <c r="IVS2198" s="10"/>
      <c r="IVT2198" s="10"/>
      <c r="IVU2198" s="10"/>
      <c r="IVV2198" s="10"/>
      <c r="IVW2198" s="10"/>
      <c r="IVX2198" s="10"/>
      <c r="IVY2198" s="10"/>
      <c r="IVZ2198" s="10"/>
      <c r="IWA2198" s="10"/>
      <c r="IWB2198" s="10"/>
      <c r="IWC2198" s="10"/>
      <c r="IWD2198" s="10"/>
      <c r="IWE2198" s="10"/>
      <c r="IWF2198" s="10"/>
      <c r="IWG2198" s="10"/>
      <c r="IWH2198" s="10"/>
      <c r="IWI2198" s="10"/>
      <c r="IWJ2198" s="10"/>
      <c r="IWK2198" s="10"/>
      <c r="IWL2198" s="10"/>
      <c r="IWM2198" s="10"/>
      <c r="IWN2198" s="10"/>
      <c r="IWO2198" s="10"/>
      <c r="IWP2198" s="10"/>
      <c r="IWQ2198" s="10"/>
      <c r="IWR2198" s="10"/>
      <c r="IWS2198" s="10"/>
      <c r="IWT2198" s="10"/>
      <c r="IWU2198" s="10"/>
      <c r="IWV2198" s="10"/>
      <c r="IWW2198" s="10"/>
      <c r="IWX2198" s="10"/>
      <c r="IWY2198" s="10"/>
      <c r="IWZ2198" s="10"/>
      <c r="IXA2198" s="10"/>
      <c r="IXB2198" s="10"/>
      <c r="IXC2198" s="10"/>
      <c r="IXD2198" s="10"/>
      <c r="IXE2198" s="10"/>
      <c r="IXF2198" s="10"/>
      <c r="IXG2198" s="10"/>
      <c r="IXH2198" s="10"/>
      <c r="IXI2198" s="10"/>
      <c r="IXJ2198" s="10"/>
      <c r="IXK2198" s="10"/>
      <c r="IXL2198" s="10"/>
      <c r="IXM2198" s="10"/>
      <c r="IXN2198" s="10"/>
      <c r="IXO2198" s="10"/>
      <c r="IXP2198" s="10"/>
      <c r="IXQ2198" s="10"/>
      <c r="IXR2198" s="10"/>
      <c r="IXS2198" s="10"/>
      <c r="IXT2198" s="10"/>
      <c r="IXU2198" s="10"/>
      <c r="IXV2198" s="10"/>
      <c r="IXW2198" s="10"/>
      <c r="IXX2198" s="10"/>
      <c r="IXY2198" s="10"/>
      <c r="IXZ2198" s="10"/>
      <c r="IYA2198" s="10"/>
      <c r="IYB2198" s="10"/>
      <c r="IYC2198" s="10"/>
      <c r="IYD2198" s="10"/>
      <c r="IYE2198" s="10"/>
      <c r="IYF2198" s="10"/>
      <c r="IYG2198" s="10"/>
      <c r="IYH2198" s="10"/>
      <c r="IYI2198" s="10"/>
      <c r="IYJ2198" s="10"/>
      <c r="IYK2198" s="10"/>
      <c r="IYL2198" s="10"/>
      <c r="IYM2198" s="10"/>
      <c r="IYN2198" s="10"/>
      <c r="IYO2198" s="10"/>
      <c r="IYP2198" s="10"/>
      <c r="IYQ2198" s="10"/>
      <c r="IYR2198" s="10"/>
      <c r="IYS2198" s="10"/>
      <c r="IYT2198" s="10"/>
      <c r="IYU2198" s="10"/>
      <c r="IYV2198" s="10"/>
      <c r="IYW2198" s="10"/>
      <c r="IYX2198" s="10"/>
      <c r="IYY2198" s="10"/>
      <c r="IYZ2198" s="10"/>
      <c r="IZA2198" s="10"/>
      <c r="IZB2198" s="10"/>
      <c r="IZC2198" s="10"/>
      <c r="IZD2198" s="10"/>
      <c r="IZE2198" s="10"/>
      <c r="IZF2198" s="10"/>
      <c r="IZG2198" s="10"/>
      <c r="IZH2198" s="10"/>
      <c r="IZI2198" s="10"/>
      <c r="IZJ2198" s="10"/>
      <c r="IZK2198" s="10"/>
      <c r="IZL2198" s="10"/>
      <c r="IZM2198" s="10"/>
      <c r="IZN2198" s="10"/>
      <c r="IZO2198" s="10"/>
      <c r="IZP2198" s="10"/>
      <c r="IZQ2198" s="10"/>
      <c r="IZR2198" s="10"/>
      <c r="IZS2198" s="10"/>
      <c r="IZT2198" s="10"/>
      <c r="IZU2198" s="10"/>
      <c r="IZV2198" s="10"/>
      <c r="IZW2198" s="10"/>
      <c r="IZX2198" s="10"/>
      <c r="IZY2198" s="10"/>
      <c r="IZZ2198" s="10"/>
      <c r="JAA2198" s="10"/>
      <c r="JAB2198" s="10"/>
      <c r="JAC2198" s="10"/>
      <c r="JAD2198" s="10"/>
      <c r="JAE2198" s="10"/>
      <c r="JAF2198" s="10"/>
      <c r="JAG2198" s="10"/>
      <c r="JAH2198" s="10"/>
      <c r="JAI2198" s="10"/>
      <c r="JAJ2198" s="10"/>
      <c r="JAK2198" s="10"/>
      <c r="JAL2198" s="10"/>
      <c r="JAM2198" s="10"/>
      <c r="JAN2198" s="10"/>
      <c r="JAO2198" s="10"/>
      <c r="JAP2198" s="10"/>
      <c r="JAQ2198" s="10"/>
      <c r="JAR2198" s="10"/>
      <c r="JAS2198" s="10"/>
      <c r="JAT2198" s="10"/>
      <c r="JAU2198" s="10"/>
      <c r="JAV2198" s="10"/>
      <c r="JAW2198" s="10"/>
      <c r="JAX2198" s="10"/>
      <c r="JAY2198" s="10"/>
      <c r="JAZ2198" s="10"/>
      <c r="JBA2198" s="10"/>
      <c r="JBB2198" s="10"/>
      <c r="JBC2198" s="10"/>
      <c r="JBD2198" s="10"/>
      <c r="JBE2198" s="10"/>
      <c r="JBF2198" s="10"/>
      <c r="JBG2198" s="10"/>
      <c r="JBH2198" s="10"/>
      <c r="JBI2198" s="10"/>
      <c r="JBJ2198" s="10"/>
      <c r="JBK2198" s="10"/>
      <c r="JBL2198" s="10"/>
      <c r="JBM2198" s="10"/>
      <c r="JBN2198" s="10"/>
      <c r="JBO2198" s="10"/>
      <c r="JBP2198" s="10"/>
      <c r="JBQ2198" s="10"/>
      <c r="JBR2198" s="10"/>
      <c r="JBS2198" s="10"/>
      <c r="JBT2198" s="10"/>
      <c r="JBU2198" s="10"/>
      <c r="JBV2198" s="10"/>
      <c r="JBW2198" s="10"/>
      <c r="JBX2198" s="10"/>
      <c r="JBY2198" s="10"/>
      <c r="JBZ2198" s="10"/>
      <c r="JCA2198" s="10"/>
      <c r="JCB2198" s="10"/>
      <c r="JCC2198" s="10"/>
      <c r="JCD2198" s="10"/>
      <c r="JCE2198" s="10"/>
      <c r="JCF2198" s="10"/>
      <c r="JCG2198" s="10"/>
      <c r="JCH2198" s="10"/>
      <c r="JCI2198" s="10"/>
      <c r="JCJ2198" s="10"/>
      <c r="JCK2198" s="10"/>
      <c r="JCL2198" s="10"/>
      <c r="JCM2198" s="10"/>
      <c r="JCN2198" s="10"/>
      <c r="JCO2198" s="10"/>
      <c r="JCP2198" s="10"/>
      <c r="JCQ2198" s="10"/>
      <c r="JCR2198" s="10"/>
      <c r="JCS2198" s="10"/>
      <c r="JCT2198" s="10"/>
      <c r="JCU2198" s="10"/>
      <c r="JCV2198" s="10"/>
      <c r="JCW2198" s="10"/>
      <c r="JCX2198" s="10"/>
      <c r="JCY2198" s="10"/>
      <c r="JCZ2198" s="10"/>
      <c r="JDA2198" s="10"/>
      <c r="JDB2198" s="10"/>
      <c r="JDC2198" s="10"/>
      <c r="JDD2198" s="10"/>
      <c r="JDE2198" s="10"/>
      <c r="JDF2198" s="10"/>
      <c r="JDG2198" s="10"/>
      <c r="JDH2198" s="10"/>
      <c r="JDI2198" s="10"/>
      <c r="JDJ2198" s="10"/>
      <c r="JDK2198" s="10"/>
      <c r="JDL2198" s="10"/>
      <c r="JDM2198" s="10"/>
      <c r="JDN2198" s="10"/>
      <c r="JDO2198" s="10"/>
      <c r="JDP2198" s="10"/>
      <c r="JDQ2198" s="10"/>
      <c r="JDR2198" s="10"/>
      <c r="JDS2198" s="10"/>
      <c r="JDT2198" s="10"/>
      <c r="JDU2198" s="10"/>
      <c r="JDV2198" s="10"/>
      <c r="JDW2198" s="10"/>
      <c r="JDX2198" s="10"/>
      <c r="JDY2198" s="10"/>
      <c r="JDZ2198" s="10"/>
      <c r="JEA2198" s="10"/>
      <c r="JEB2198" s="10"/>
      <c r="JEC2198" s="10"/>
      <c r="JED2198" s="10"/>
      <c r="JEE2198" s="10"/>
      <c r="JEF2198" s="10"/>
      <c r="JEG2198" s="10"/>
      <c r="JEH2198" s="10"/>
      <c r="JEI2198" s="10"/>
      <c r="JEJ2198" s="10"/>
      <c r="JEK2198" s="10"/>
      <c r="JEL2198" s="10"/>
      <c r="JEM2198" s="10"/>
      <c r="JEN2198" s="10"/>
      <c r="JEO2198" s="10"/>
      <c r="JEP2198" s="10"/>
      <c r="JEQ2198" s="10"/>
      <c r="JER2198" s="10"/>
      <c r="JES2198" s="10"/>
      <c r="JET2198" s="10"/>
      <c r="JEU2198" s="10"/>
      <c r="JEV2198" s="10"/>
      <c r="JEW2198" s="10"/>
      <c r="JEX2198" s="10"/>
      <c r="JEY2198" s="10"/>
      <c r="JEZ2198" s="10"/>
      <c r="JFA2198" s="10"/>
      <c r="JFB2198" s="10"/>
      <c r="JFC2198" s="10"/>
      <c r="JFD2198" s="10"/>
      <c r="JFE2198" s="10"/>
      <c r="JFF2198" s="10"/>
      <c r="JFG2198" s="10"/>
      <c r="JFH2198" s="10"/>
      <c r="JFI2198" s="10"/>
      <c r="JFJ2198" s="10"/>
      <c r="JFK2198" s="10"/>
      <c r="JFL2198" s="10"/>
      <c r="JFM2198" s="10"/>
      <c r="JFN2198" s="10"/>
      <c r="JFO2198" s="10"/>
      <c r="JFP2198" s="10"/>
      <c r="JFQ2198" s="10"/>
      <c r="JFR2198" s="10"/>
      <c r="JFS2198" s="10"/>
      <c r="JFT2198" s="10"/>
      <c r="JFU2198" s="10"/>
      <c r="JFV2198" s="10"/>
      <c r="JFW2198" s="10"/>
      <c r="JFX2198" s="10"/>
      <c r="JFY2198" s="10"/>
      <c r="JFZ2198" s="10"/>
      <c r="JGA2198" s="10"/>
      <c r="JGB2198" s="10"/>
      <c r="JGC2198" s="10"/>
      <c r="JGD2198" s="10"/>
      <c r="JGE2198" s="10"/>
      <c r="JGF2198" s="10"/>
      <c r="JGG2198" s="10"/>
      <c r="JGH2198" s="10"/>
      <c r="JGI2198" s="10"/>
      <c r="JGJ2198" s="10"/>
      <c r="JGK2198" s="10"/>
      <c r="JGL2198" s="10"/>
      <c r="JGM2198" s="10"/>
      <c r="JGN2198" s="10"/>
      <c r="JGO2198" s="10"/>
      <c r="JGP2198" s="10"/>
      <c r="JGQ2198" s="10"/>
      <c r="JGR2198" s="10"/>
      <c r="JGS2198" s="10"/>
      <c r="JGT2198" s="10"/>
      <c r="JGU2198" s="10"/>
      <c r="JGV2198" s="10"/>
      <c r="JGW2198" s="10"/>
      <c r="JGX2198" s="10"/>
      <c r="JGY2198" s="10"/>
      <c r="JGZ2198" s="10"/>
      <c r="JHA2198" s="10"/>
      <c r="JHB2198" s="10"/>
      <c r="JHC2198" s="10"/>
      <c r="JHD2198" s="10"/>
      <c r="JHE2198" s="10"/>
      <c r="JHF2198" s="10"/>
      <c r="JHG2198" s="10"/>
      <c r="JHH2198" s="10"/>
      <c r="JHI2198" s="10"/>
      <c r="JHJ2198" s="10"/>
      <c r="JHK2198" s="10"/>
      <c r="JHL2198" s="10"/>
      <c r="JHM2198" s="10"/>
      <c r="JHN2198" s="10"/>
      <c r="JHO2198" s="10"/>
      <c r="JHP2198" s="10"/>
      <c r="JHQ2198" s="10"/>
      <c r="JHR2198" s="10"/>
      <c r="JHS2198" s="10"/>
      <c r="JHT2198" s="10"/>
      <c r="JHU2198" s="10"/>
      <c r="JHV2198" s="10"/>
      <c r="JHW2198" s="10"/>
      <c r="JHX2198" s="10"/>
      <c r="JHY2198" s="10"/>
      <c r="JHZ2198" s="10"/>
      <c r="JIA2198" s="10"/>
      <c r="JIB2198" s="10"/>
      <c r="JIC2198" s="10"/>
      <c r="JID2198" s="10"/>
      <c r="JIE2198" s="10"/>
      <c r="JIF2198" s="10"/>
      <c r="JIG2198" s="10"/>
      <c r="JIH2198" s="10"/>
      <c r="JII2198" s="10"/>
      <c r="JIJ2198" s="10"/>
      <c r="JIK2198" s="10"/>
      <c r="JIL2198" s="10"/>
      <c r="JIM2198" s="10"/>
      <c r="JIN2198" s="10"/>
      <c r="JIO2198" s="10"/>
      <c r="JIP2198" s="10"/>
      <c r="JIQ2198" s="10"/>
      <c r="JIR2198" s="10"/>
      <c r="JIS2198" s="10"/>
      <c r="JIT2198" s="10"/>
      <c r="JIU2198" s="10"/>
      <c r="JIV2198" s="10"/>
      <c r="JIW2198" s="10"/>
      <c r="JIX2198" s="10"/>
      <c r="JIY2198" s="10"/>
      <c r="JIZ2198" s="10"/>
      <c r="JJA2198" s="10"/>
      <c r="JJB2198" s="10"/>
      <c r="JJC2198" s="10"/>
      <c r="JJD2198" s="10"/>
      <c r="JJE2198" s="10"/>
      <c r="JJF2198" s="10"/>
      <c r="JJG2198" s="10"/>
      <c r="JJH2198" s="10"/>
      <c r="JJI2198" s="10"/>
      <c r="JJJ2198" s="10"/>
      <c r="JJK2198" s="10"/>
      <c r="JJL2198" s="10"/>
      <c r="JJM2198" s="10"/>
      <c r="JJN2198" s="10"/>
      <c r="JJO2198" s="10"/>
      <c r="JJP2198" s="10"/>
      <c r="JJQ2198" s="10"/>
      <c r="JJR2198" s="10"/>
      <c r="JJS2198" s="10"/>
      <c r="JJT2198" s="10"/>
      <c r="JJU2198" s="10"/>
      <c r="JJV2198" s="10"/>
      <c r="JJW2198" s="10"/>
      <c r="JJX2198" s="10"/>
      <c r="JJY2198" s="10"/>
      <c r="JJZ2198" s="10"/>
      <c r="JKA2198" s="10"/>
      <c r="JKB2198" s="10"/>
      <c r="JKC2198" s="10"/>
      <c r="JKD2198" s="10"/>
      <c r="JKE2198" s="10"/>
      <c r="JKF2198" s="10"/>
      <c r="JKG2198" s="10"/>
      <c r="JKH2198" s="10"/>
      <c r="JKI2198" s="10"/>
      <c r="JKJ2198" s="10"/>
      <c r="JKK2198" s="10"/>
      <c r="JKL2198" s="10"/>
      <c r="JKM2198" s="10"/>
      <c r="JKN2198" s="10"/>
      <c r="JKO2198" s="10"/>
      <c r="JKP2198" s="10"/>
      <c r="JKQ2198" s="10"/>
      <c r="JKR2198" s="10"/>
      <c r="JKS2198" s="10"/>
      <c r="JKT2198" s="10"/>
      <c r="JKU2198" s="10"/>
      <c r="JKV2198" s="10"/>
      <c r="JKW2198" s="10"/>
      <c r="JKX2198" s="10"/>
      <c r="JKY2198" s="10"/>
      <c r="JKZ2198" s="10"/>
      <c r="JLA2198" s="10"/>
      <c r="JLB2198" s="10"/>
      <c r="JLC2198" s="10"/>
      <c r="JLD2198" s="10"/>
      <c r="JLE2198" s="10"/>
      <c r="JLF2198" s="10"/>
      <c r="JLG2198" s="10"/>
      <c r="JLH2198" s="10"/>
      <c r="JLI2198" s="10"/>
      <c r="JLJ2198" s="10"/>
      <c r="JLK2198" s="10"/>
      <c r="JLL2198" s="10"/>
      <c r="JLM2198" s="10"/>
      <c r="JLN2198" s="10"/>
      <c r="JLO2198" s="10"/>
      <c r="JLP2198" s="10"/>
      <c r="JLQ2198" s="10"/>
      <c r="JLR2198" s="10"/>
      <c r="JLS2198" s="10"/>
      <c r="JLT2198" s="10"/>
      <c r="JLU2198" s="10"/>
      <c r="JLV2198" s="10"/>
      <c r="JLW2198" s="10"/>
      <c r="JLX2198" s="10"/>
      <c r="JLY2198" s="10"/>
      <c r="JLZ2198" s="10"/>
      <c r="JMA2198" s="10"/>
      <c r="JMB2198" s="10"/>
      <c r="JMC2198" s="10"/>
      <c r="JMD2198" s="10"/>
      <c r="JME2198" s="10"/>
      <c r="JMF2198" s="10"/>
      <c r="JMG2198" s="10"/>
      <c r="JMH2198" s="10"/>
      <c r="JMI2198" s="10"/>
      <c r="JMJ2198" s="10"/>
      <c r="JMK2198" s="10"/>
      <c r="JML2198" s="10"/>
      <c r="JMM2198" s="10"/>
      <c r="JMN2198" s="10"/>
      <c r="JMO2198" s="10"/>
      <c r="JMP2198" s="10"/>
      <c r="JMQ2198" s="10"/>
      <c r="JMR2198" s="10"/>
      <c r="JMS2198" s="10"/>
      <c r="JMT2198" s="10"/>
      <c r="JMU2198" s="10"/>
      <c r="JMV2198" s="10"/>
      <c r="JMW2198" s="10"/>
      <c r="JMX2198" s="10"/>
      <c r="JMY2198" s="10"/>
      <c r="JMZ2198" s="10"/>
      <c r="JNA2198" s="10"/>
      <c r="JNB2198" s="10"/>
      <c r="JNC2198" s="10"/>
      <c r="JND2198" s="10"/>
      <c r="JNE2198" s="10"/>
      <c r="JNF2198" s="10"/>
      <c r="JNG2198" s="10"/>
      <c r="JNH2198" s="10"/>
      <c r="JNI2198" s="10"/>
      <c r="JNJ2198" s="10"/>
      <c r="JNK2198" s="10"/>
      <c r="JNL2198" s="10"/>
      <c r="JNM2198" s="10"/>
      <c r="JNN2198" s="10"/>
      <c r="JNO2198" s="10"/>
      <c r="JNP2198" s="10"/>
      <c r="JNQ2198" s="10"/>
      <c r="JNR2198" s="10"/>
      <c r="JNS2198" s="10"/>
      <c r="JNT2198" s="10"/>
      <c r="JNU2198" s="10"/>
      <c r="JNV2198" s="10"/>
      <c r="JNW2198" s="10"/>
      <c r="JNX2198" s="10"/>
      <c r="JNY2198" s="10"/>
      <c r="JNZ2198" s="10"/>
      <c r="JOA2198" s="10"/>
      <c r="JOB2198" s="10"/>
      <c r="JOC2198" s="10"/>
      <c r="JOD2198" s="10"/>
      <c r="JOE2198" s="10"/>
      <c r="JOF2198" s="10"/>
      <c r="JOG2198" s="10"/>
      <c r="JOH2198" s="10"/>
      <c r="JOI2198" s="10"/>
      <c r="JOJ2198" s="10"/>
      <c r="JOK2198" s="10"/>
      <c r="JOL2198" s="10"/>
      <c r="JOM2198" s="10"/>
      <c r="JON2198" s="10"/>
      <c r="JOO2198" s="10"/>
      <c r="JOP2198" s="10"/>
      <c r="JOQ2198" s="10"/>
      <c r="JOR2198" s="10"/>
      <c r="JOS2198" s="10"/>
      <c r="JOT2198" s="10"/>
      <c r="JOU2198" s="10"/>
      <c r="JOV2198" s="10"/>
      <c r="JOW2198" s="10"/>
      <c r="JOX2198" s="10"/>
      <c r="JOY2198" s="10"/>
      <c r="JOZ2198" s="10"/>
      <c r="JPA2198" s="10"/>
      <c r="JPB2198" s="10"/>
      <c r="JPC2198" s="10"/>
      <c r="JPD2198" s="10"/>
      <c r="JPE2198" s="10"/>
      <c r="JPF2198" s="10"/>
      <c r="JPG2198" s="10"/>
      <c r="JPH2198" s="10"/>
      <c r="JPI2198" s="10"/>
      <c r="JPJ2198" s="10"/>
      <c r="JPK2198" s="10"/>
      <c r="JPL2198" s="10"/>
      <c r="JPM2198" s="10"/>
      <c r="JPN2198" s="10"/>
      <c r="JPO2198" s="10"/>
      <c r="JPP2198" s="10"/>
      <c r="JPQ2198" s="10"/>
      <c r="JPR2198" s="10"/>
      <c r="JPS2198" s="10"/>
      <c r="JPT2198" s="10"/>
      <c r="JPU2198" s="10"/>
      <c r="JPV2198" s="10"/>
      <c r="JPW2198" s="10"/>
      <c r="JPX2198" s="10"/>
      <c r="JPY2198" s="10"/>
      <c r="JPZ2198" s="10"/>
      <c r="JQA2198" s="10"/>
      <c r="JQB2198" s="10"/>
      <c r="JQC2198" s="10"/>
      <c r="JQD2198" s="10"/>
      <c r="JQE2198" s="10"/>
      <c r="JQF2198" s="10"/>
      <c r="JQG2198" s="10"/>
      <c r="JQH2198" s="10"/>
      <c r="JQI2198" s="10"/>
      <c r="JQJ2198" s="10"/>
      <c r="JQK2198" s="10"/>
      <c r="JQL2198" s="10"/>
      <c r="JQM2198" s="10"/>
      <c r="JQN2198" s="10"/>
      <c r="JQO2198" s="10"/>
      <c r="JQP2198" s="10"/>
      <c r="JQQ2198" s="10"/>
      <c r="JQR2198" s="10"/>
      <c r="JQS2198" s="10"/>
      <c r="JQT2198" s="10"/>
      <c r="JQU2198" s="10"/>
      <c r="JQV2198" s="10"/>
      <c r="JQW2198" s="10"/>
      <c r="JQX2198" s="10"/>
      <c r="JQY2198" s="10"/>
      <c r="JQZ2198" s="10"/>
      <c r="JRA2198" s="10"/>
      <c r="JRB2198" s="10"/>
      <c r="JRC2198" s="10"/>
      <c r="JRD2198" s="10"/>
      <c r="JRE2198" s="10"/>
      <c r="JRF2198" s="10"/>
      <c r="JRG2198" s="10"/>
      <c r="JRH2198" s="10"/>
      <c r="JRI2198" s="10"/>
      <c r="JRJ2198" s="10"/>
      <c r="JRK2198" s="10"/>
      <c r="JRL2198" s="10"/>
      <c r="JRM2198" s="10"/>
      <c r="JRN2198" s="10"/>
      <c r="JRO2198" s="10"/>
      <c r="JRP2198" s="10"/>
      <c r="JRQ2198" s="10"/>
      <c r="JRR2198" s="10"/>
      <c r="JRS2198" s="10"/>
      <c r="JRT2198" s="10"/>
      <c r="JRU2198" s="10"/>
      <c r="JRV2198" s="10"/>
      <c r="JRW2198" s="10"/>
      <c r="JRX2198" s="10"/>
      <c r="JRY2198" s="10"/>
      <c r="JRZ2198" s="10"/>
      <c r="JSA2198" s="10"/>
      <c r="JSB2198" s="10"/>
      <c r="JSC2198" s="10"/>
      <c r="JSD2198" s="10"/>
      <c r="JSE2198" s="10"/>
      <c r="JSF2198" s="10"/>
      <c r="JSG2198" s="10"/>
      <c r="JSH2198" s="10"/>
      <c r="JSI2198" s="10"/>
      <c r="JSJ2198" s="10"/>
      <c r="JSK2198" s="10"/>
      <c r="JSL2198" s="10"/>
      <c r="JSM2198" s="10"/>
      <c r="JSN2198" s="10"/>
      <c r="JSO2198" s="10"/>
      <c r="JSP2198" s="10"/>
      <c r="JSQ2198" s="10"/>
      <c r="JSR2198" s="10"/>
      <c r="JSS2198" s="10"/>
      <c r="JST2198" s="10"/>
      <c r="JSU2198" s="10"/>
      <c r="JSV2198" s="10"/>
      <c r="JSW2198" s="10"/>
      <c r="JSX2198" s="10"/>
      <c r="JSY2198" s="10"/>
      <c r="JSZ2198" s="10"/>
      <c r="JTA2198" s="10"/>
      <c r="JTB2198" s="10"/>
      <c r="JTC2198" s="10"/>
      <c r="JTD2198" s="10"/>
      <c r="JTE2198" s="10"/>
      <c r="JTF2198" s="10"/>
      <c r="JTG2198" s="10"/>
      <c r="JTH2198" s="10"/>
      <c r="JTI2198" s="10"/>
      <c r="JTJ2198" s="10"/>
      <c r="JTK2198" s="10"/>
      <c r="JTL2198" s="10"/>
      <c r="JTM2198" s="10"/>
      <c r="JTN2198" s="10"/>
      <c r="JTO2198" s="10"/>
      <c r="JTP2198" s="10"/>
      <c r="JTQ2198" s="10"/>
      <c r="JTR2198" s="10"/>
      <c r="JTS2198" s="10"/>
      <c r="JTT2198" s="10"/>
      <c r="JTU2198" s="10"/>
      <c r="JTV2198" s="10"/>
      <c r="JTW2198" s="10"/>
      <c r="JTX2198" s="10"/>
      <c r="JTY2198" s="10"/>
      <c r="JTZ2198" s="10"/>
      <c r="JUA2198" s="10"/>
      <c r="JUB2198" s="10"/>
      <c r="JUC2198" s="10"/>
      <c r="JUD2198" s="10"/>
      <c r="JUE2198" s="10"/>
      <c r="JUF2198" s="10"/>
      <c r="JUG2198" s="10"/>
      <c r="JUH2198" s="10"/>
      <c r="JUI2198" s="10"/>
      <c r="JUJ2198" s="10"/>
      <c r="JUK2198" s="10"/>
      <c r="JUL2198" s="10"/>
      <c r="JUM2198" s="10"/>
      <c r="JUN2198" s="10"/>
      <c r="JUO2198" s="10"/>
      <c r="JUP2198" s="10"/>
      <c r="JUQ2198" s="10"/>
      <c r="JUR2198" s="10"/>
      <c r="JUS2198" s="10"/>
      <c r="JUT2198" s="10"/>
      <c r="JUU2198" s="10"/>
      <c r="JUV2198" s="10"/>
      <c r="JUW2198" s="10"/>
      <c r="JUX2198" s="10"/>
      <c r="JUY2198" s="10"/>
      <c r="JUZ2198" s="10"/>
      <c r="JVA2198" s="10"/>
      <c r="JVB2198" s="10"/>
      <c r="JVC2198" s="10"/>
      <c r="JVD2198" s="10"/>
      <c r="JVE2198" s="10"/>
      <c r="JVF2198" s="10"/>
      <c r="JVG2198" s="10"/>
      <c r="JVH2198" s="10"/>
      <c r="JVI2198" s="10"/>
      <c r="JVJ2198" s="10"/>
      <c r="JVK2198" s="10"/>
      <c r="JVL2198" s="10"/>
      <c r="JVM2198" s="10"/>
      <c r="JVN2198" s="10"/>
      <c r="JVO2198" s="10"/>
      <c r="JVP2198" s="10"/>
      <c r="JVQ2198" s="10"/>
      <c r="JVR2198" s="10"/>
      <c r="JVS2198" s="10"/>
      <c r="JVT2198" s="10"/>
      <c r="JVU2198" s="10"/>
      <c r="JVV2198" s="10"/>
      <c r="JVW2198" s="10"/>
      <c r="JVX2198" s="10"/>
      <c r="JVY2198" s="10"/>
      <c r="JVZ2198" s="10"/>
      <c r="JWA2198" s="10"/>
      <c r="JWB2198" s="10"/>
      <c r="JWC2198" s="10"/>
      <c r="JWD2198" s="10"/>
      <c r="JWE2198" s="10"/>
      <c r="JWF2198" s="10"/>
      <c r="JWG2198" s="10"/>
      <c r="JWH2198" s="10"/>
      <c r="JWI2198" s="10"/>
      <c r="JWJ2198" s="10"/>
      <c r="JWK2198" s="10"/>
      <c r="JWL2198" s="10"/>
      <c r="JWM2198" s="10"/>
      <c r="JWN2198" s="10"/>
      <c r="JWO2198" s="10"/>
      <c r="JWP2198" s="10"/>
      <c r="JWQ2198" s="10"/>
      <c r="JWR2198" s="10"/>
      <c r="JWS2198" s="10"/>
      <c r="JWT2198" s="10"/>
      <c r="JWU2198" s="10"/>
      <c r="JWV2198" s="10"/>
      <c r="JWW2198" s="10"/>
      <c r="JWX2198" s="10"/>
      <c r="JWY2198" s="10"/>
      <c r="JWZ2198" s="10"/>
      <c r="JXA2198" s="10"/>
      <c r="JXB2198" s="10"/>
      <c r="JXC2198" s="10"/>
      <c r="JXD2198" s="10"/>
      <c r="JXE2198" s="10"/>
      <c r="JXF2198" s="10"/>
      <c r="JXG2198" s="10"/>
      <c r="JXH2198" s="10"/>
      <c r="JXI2198" s="10"/>
      <c r="JXJ2198" s="10"/>
      <c r="JXK2198" s="10"/>
      <c r="JXL2198" s="10"/>
      <c r="JXM2198" s="10"/>
      <c r="JXN2198" s="10"/>
      <c r="JXO2198" s="10"/>
      <c r="JXP2198" s="10"/>
      <c r="JXQ2198" s="10"/>
      <c r="JXR2198" s="10"/>
      <c r="JXS2198" s="10"/>
      <c r="JXT2198" s="10"/>
      <c r="JXU2198" s="10"/>
      <c r="JXV2198" s="10"/>
      <c r="JXW2198" s="10"/>
      <c r="JXX2198" s="10"/>
      <c r="JXY2198" s="10"/>
      <c r="JXZ2198" s="10"/>
      <c r="JYA2198" s="10"/>
      <c r="JYB2198" s="10"/>
      <c r="JYC2198" s="10"/>
      <c r="JYD2198" s="10"/>
      <c r="JYE2198" s="10"/>
      <c r="JYF2198" s="10"/>
      <c r="JYG2198" s="10"/>
      <c r="JYH2198" s="10"/>
      <c r="JYI2198" s="10"/>
      <c r="JYJ2198" s="10"/>
      <c r="JYK2198" s="10"/>
      <c r="JYL2198" s="10"/>
      <c r="JYM2198" s="10"/>
      <c r="JYN2198" s="10"/>
      <c r="JYO2198" s="10"/>
      <c r="JYP2198" s="10"/>
      <c r="JYQ2198" s="10"/>
      <c r="JYR2198" s="10"/>
      <c r="JYS2198" s="10"/>
      <c r="JYT2198" s="10"/>
      <c r="JYU2198" s="10"/>
      <c r="JYV2198" s="10"/>
      <c r="JYW2198" s="10"/>
      <c r="JYX2198" s="10"/>
      <c r="JYY2198" s="10"/>
      <c r="JYZ2198" s="10"/>
      <c r="JZA2198" s="10"/>
      <c r="JZB2198" s="10"/>
      <c r="JZC2198" s="10"/>
      <c r="JZD2198" s="10"/>
      <c r="JZE2198" s="10"/>
      <c r="JZF2198" s="10"/>
      <c r="JZG2198" s="10"/>
      <c r="JZH2198" s="10"/>
      <c r="JZI2198" s="10"/>
      <c r="JZJ2198" s="10"/>
      <c r="JZK2198" s="10"/>
      <c r="JZL2198" s="10"/>
      <c r="JZM2198" s="10"/>
      <c r="JZN2198" s="10"/>
      <c r="JZO2198" s="10"/>
      <c r="JZP2198" s="10"/>
      <c r="JZQ2198" s="10"/>
      <c r="JZR2198" s="10"/>
      <c r="JZS2198" s="10"/>
      <c r="JZT2198" s="10"/>
      <c r="JZU2198" s="10"/>
      <c r="JZV2198" s="10"/>
      <c r="JZW2198" s="10"/>
      <c r="JZX2198" s="10"/>
      <c r="JZY2198" s="10"/>
      <c r="JZZ2198" s="10"/>
      <c r="KAA2198" s="10"/>
      <c r="KAB2198" s="10"/>
      <c r="KAC2198" s="10"/>
      <c r="KAD2198" s="10"/>
      <c r="KAE2198" s="10"/>
      <c r="KAF2198" s="10"/>
      <c r="KAG2198" s="10"/>
      <c r="KAH2198" s="10"/>
      <c r="KAI2198" s="10"/>
      <c r="KAJ2198" s="10"/>
      <c r="KAK2198" s="10"/>
      <c r="KAL2198" s="10"/>
      <c r="KAM2198" s="10"/>
      <c r="KAN2198" s="10"/>
      <c r="KAO2198" s="10"/>
      <c r="KAP2198" s="10"/>
      <c r="KAQ2198" s="10"/>
      <c r="KAR2198" s="10"/>
      <c r="KAS2198" s="10"/>
      <c r="KAT2198" s="10"/>
      <c r="KAU2198" s="10"/>
      <c r="KAV2198" s="10"/>
      <c r="KAW2198" s="10"/>
      <c r="KAX2198" s="10"/>
      <c r="KAY2198" s="10"/>
      <c r="KAZ2198" s="10"/>
      <c r="KBA2198" s="10"/>
      <c r="KBB2198" s="10"/>
      <c r="KBC2198" s="10"/>
      <c r="KBD2198" s="10"/>
      <c r="KBE2198" s="10"/>
      <c r="KBF2198" s="10"/>
      <c r="KBG2198" s="10"/>
      <c r="KBH2198" s="10"/>
      <c r="KBI2198" s="10"/>
      <c r="KBJ2198" s="10"/>
      <c r="KBK2198" s="10"/>
      <c r="KBL2198" s="10"/>
      <c r="KBM2198" s="10"/>
      <c r="KBN2198" s="10"/>
      <c r="KBO2198" s="10"/>
      <c r="KBP2198" s="10"/>
      <c r="KBQ2198" s="10"/>
      <c r="KBR2198" s="10"/>
      <c r="KBS2198" s="10"/>
      <c r="KBT2198" s="10"/>
      <c r="KBU2198" s="10"/>
      <c r="KBV2198" s="10"/>
      <c r="KBW2198" s="10"/>
      <c r="KBX2198" s="10"/>
      <c r="KBY2198" s="10"/>
      <c r="KBZ2198" s="10"/>
      <c r="KCA2198" s="10"/>
      <c r="KCB2198" s="10"/>
      <c r="KCC2198" s="10"/>
      <c r="KCD2198" s="10"/>
      <c r="KCE2198" s="10"/>
      <c r="KCF2198" s="10"/>
      <c r="KCG2198" s="10"/>
      <c r="KCH2198" s="10"/>
      <c r="KCI2198" s="10"/>
      <c r="KCJ2198" s="10"/>
      <c r="KCK2198" s="10"/>
      <c r="KCL2198" s="10"/>
      <c r="KCM2198" s="10"/>
      <c r="KCN2198" s="10"/>
      <c r="KCO2198" s="10"/>
      <c r="KCP2198" s="10"/>
      <c r="KCQ2198" s="10"/>
      <c r="KCR2198" s="10"/>
      <c r="KCS2198" s="10"/>
      <c r="KCT2198" s="10"/>
      <c r="KCU2198" s="10"/>
      <c r="KCV2198" s="10"/>
      <c r="KCW2198" s="10"/>
      <c r="KCX2198" s="10"/>
      <c r="KCY2198" s="10"/>
      <c r="KCZ2198" s="10"/>
      <c r="KDA2198" s="10"/>
      <c r="KDB2198" s="10"/>
      <c r="KDC2198" s="10"/>
      <c r="KDD2198" s="10"/>
      <c r="KDE2198" s="10"/>
      <c r="KDF2198" s="10"/>
      <c r="KDG2198" s="10"/>
      <c r="KDH2198" s="10"/>
      <c r="KDI2198" s="10"/>
      <c r="KDJ2198" s="10"/>
      <c r="KDK2198" s="10"/>
      <c r="KDL2198" s="10"/>
      <c r="KDM2198" s="10"/>
      <c r="KDN2198" s="10"/>
      <c r="KDO2198" s="10"/>
      <c r="KDP2198" s="10"/>
      <c r="KDQ2198" s="10"/>
      <c r="KDR2198" s="10"/>
      <c r="KDS2198" s="10"/>
      <c r="KDT2198" s="10"/>
      <c r="KDU2198" s="10"/>
      <c r="KDV2198" s="10"/>
      <c r="KDW2198" s="10"/>
      <c r="KDX2198" s="10"/>
      <c r="KDY2198" s="10"/>
      <c r="KDZ2198" s="10"/>
      <c r="KEA2198" s="10"/>
      <c r="KEB2198" s="10"/>
      <c r="KEC2198" s="10"/>
      <c r="KED2198" s="10"/>
      <c r="KEE2198" s="10"/>
      <c r="KEF2198" s="10"/>
      <c r="KEG2198" s="10"/>
      <c r="KEH2198" s="10"/>
      <c r="KEI2198" s="10"/>
      <c r="KEJ2198" s="10"/>
      <c r="KEK2198" s="10"/>
      <c r="KEL2198" s="10"/>
      <c r="KEM2198" s="10"/>
      <c r="KEN2198" s="10"/>
      <c r="KEO2198" s="10"/>
      <c r="KEP2198" s="10"/>
      <c r="KEQ2198" s="10"/>
      <c r="KER2198" s="10"/>
      <c r="KES2198" s="10"/>
      <c r="KET2198" s="10"/>
      <c r="KEU2198" s="10"/>
      <c r="KEV2198" s="10"/>
      <c r="KEW2198" s="10"/>
      <c r="KEX2198" s="10"/>
      <c r="KEY2198" s="10"/>
      <c r="KEZ2198" s="10"/>
      <c r="KFA2198" s="10"/>
      <c r="KFB2198" s="10"/>
      <c r="KFC2198" s="10"/>
      <c r="KFD2198" s="10"/>
      <c r="KFE2198" s="10"/>
      <c r="KFF2198" s="10"/>
      <c r="KFG2198" s="10"/>
      <c r="KFH2198" s="10"/>
      <c r="KFI2198" s="10"/>
      <c r="KFJ2198" s="10"/>
      <c r="KFK2198" s="10"/>
      <c r="KFL2198" s="10"/>
      <c r="KFM2198" s="10"/>
      <c r="KFN2198" s="10"/>
      <c r="KFO2198" s="10"/>
      <c r="KFP2198" s="10"/>
      <c r="KFQ2198" s="10"/>
      <c r="KFR2198" s="10"/>
      <c r="KFS2198" s="10"/>
      <c r="KFT2198" s="10"/>
      <c r="KFU2198" s="10"/>
      <c r="KFV2198" s="10"/>
      <c r="KFW2198" s="10"/>
      <c r="KFX2198" s="10"/>
      <c r="KFY2198" s="10"/>
      <c r="KFZ2198" s="10"/>
      <c r="KGA2198" s="10"/>
      <c r="KGB2198" s="10"/>
      <c r="KGC2198" s="10"/>
      <c r="KGD2198" s="10"/>
      <c r="KGE2198" s="10"/>
      <c r="KGF2198" s="10"/>
      <c r="KGG2198" s="10"/>
      <c r="KGH2198" s="10"/>
      <c r="KGI2198" s="10"/>
      <c r="KGJ2198" s="10"/>
      <c r="KGK2198" s="10"/>
      <c r="KGL2198" s="10"/>
      <c r="KGM2198" s="10"/>
      <c r="KGN2198" s="10"/>
      <c r="KGO2198" s="10"/>
      <c r="KGP2198" s="10"/>
      <c r="KGQ2198" s="10"/>
      <c r="KGR2198" s="10"/>
      <c r="KGS2198" s="10"/>
      <c r="KGT2198" s="10"/>
      <c r="KGU2198" s="10"/>
      <c r="KGV2198" s="10"/>
      <c r="KGW2198" s="10"/>
      <c r="KGX2198" s="10"/>
      <c r="KGY2198" s="10"/>
      <c r="KGZ2198" s="10"/>
      <c r="KHA2198" s="10"/>
      <c r="KHB2198" s="10"/>
      <c r="KHC2198" s="10"/>
      <c r="KHD2198" s="10"/>
      <c r="KHE2198" s="10"/>
      <c r="KHF2198" s="10"/>
      <c r="KHG2198" s="10"/>
      <c r="KHH2198" s="10"/>
      <c r="KHI2198" s="10"/>
      <c r="KHJ2198" s="10"/>
      <c r="KHK2198" s="10"/>
      <c r="KHL2198" s="10"/>
      <c r="KHM2198" s="10"/>
      <c r="KHN2198" s="10"/>
      <c r="KHO2198" s="10"/>
      <c r="KHP2198" s="10"/>
      <c r="KHQ2198" s="10"/>
      <c r="KHR2198" s="10"/>
      <c r="KHS2198" s="10"/>
      <c r="KHT2198" s="10"/>
      <c r="KHU2198" s="10"/>
      <c r="KHV2198" s="10"/>
      <c r="KHW2198" s="10"/>
      <c r="KHX2198" s="10"/>
      <c r="KHY2198" s="10"/>
      <c r="KHZ2198" s="10"/>
      <c r="KIA2198" s="10"/>
      <c r="KIB2198" s="10"/>
      <c r="KIC2198" s="10"/>
      <c r="KID2198" s="10"/>
      <c r="KIE2198" s="10"/>
      <c r="KIF2198" s="10"/>
      <c r="KIG2198" s="10"/>
      <c r="KIH2198" s="10"/>
      <c r="KII2198" s="10"/>
      <c r="KIJ2198" s="10"/>
      <c r="KIK2198" s="10"/>
      <c r="KIL2198" s="10"/>
      <c r="KIM2198" s="10"/>
      <c r="KIN2198" s="10"/>
      <c r="KIO2198" s="10"/>
      <c r="KIP2198" s="10"/>
      <c r="KIQ2198" s="10"/>
      <c r="KIR2198" s="10"/>
      <c r="KIS2198" s="10"/>
      <c r="KIT2198" s="10"/>
      <c r="KIU2198" s="10"/>
      <c r="KIV2198" s="10"/>
      <c r="KIW2198" s="10"/>
      <c r="KIX2198" s="10"/>
      <c r="KIY2198" s="10"/>
      <c r="KIZ2198" s="10"/>
      <c r="KJA2198" s="10"/>
      <c r="KJB2198" s="10"/>
      <c r="KJC2198" s="10"/>
      <c r="KJD2198" s="10"/>
      <c r="KJE2198" s="10"/>
      <c r="KJF2198" s="10"/>
      <c r="KJG2198" s="10"/>
      <c r="KJH2198" s="10"/>
      <c r="KJI2198" s="10"/>
      <c r="KJJ2198" s="10"/>
      <c r="KJK2198" s="10"/>
      <c r="KJL2198" s="10"/>
      <c r="KJM2198" s="10"/>
      <c r="KJN2198" s="10"/>
      <c r="KJO2198" s="10"/>
      <c r="KJP2198" s="10"/>
      <c r="KJQ2198" s="10"/>
      <c r="KJR2198" s="10"/>
      <c r="KJS2198" s="10"/>
      <c r="KJT2198" s="10"/>
      <c r="KJU2198" s="10"/>
      <c r="KJV2198" s="10"/>
      <c r="KJW2198" s="10"/>
      <c r="KJX2198" s="10"/>
      <c r="KJY2198" s="10"/>
      <c r="KJZ2198" s="10"/>
      <c r="KKA2198" s="10"/>
      <c r="KKB2198" s="10"/>
      <c r="KKC2198" s="10"/>
      <c r="KKD2198" s="10"/>
      <c r="KKE2198" s="10"/>
      <c r="KKF2198" s="10"/>
      <c r="KKG2198" s="10"/>
      <c r="KKH2198" s="10"/>
      <c r="KKI2198" s="10"/>
      <c r="KKJ2198" s="10"/>
      <c r="KKK2198" s="10"/>
      <c r="KKL2198" s="10"/>
      <c r="KKM2198" s="10"/>
      <c r="KKN2198" s="10"/>
      <c r="KKO2198" s="10"/>
      <c r="KKP2198" s="10"/>
      <c r="KKQ2198" s="10"/>
      <c r="KKR2198" s="10"/>
      <c r="KKS2198" s="10"/>
      <c r="KKT2198" s="10"/>
      <c r="KKU2198" s="10"/>
      <c r="KKV2198" s="10"/>
      <c r="KKW2198" s="10"/>
      <c r="KKX2198" s="10"/>
      <c r="KKY2198" s="10"/>
      <c r="KKZ2198" s="10"/>
      <c r="KLA2198" s="10"/>
      <c r="KLB2198" s="10"/>
      <c r="KLC2198" s="10"/>
      <c r="KLD2198" s="10"/>
      <c r="KLE2198" s="10"/>
      <c r="KLF2198" s="10"/>
      <c r="KLG2198" s="10"/>
      <c r="KLH2198" s="10"/>
      <c r="KLI2198" s="10"/>
      <c r="KLJ2198" s="10"/>
      <c r="KLK2198" s="10"/>
      <c r="KLL2198" s="10"/>
      <c r="KLM2198" s="10"/>
      <c r="KLN2198" s="10"/>
      <c r="KLO2198" s="10"/>
      <c r="KLP2198" s="10"/>
      <c r="KLQ2198" s="10"/>
      <c r="KLR2198" s="10"/>
      <c r="KLS2198" s="10"/>
      <c r="KLT2198" s="10"/>
      <c r="KLU2198" s="10"/>
      <c r="KLV2198" s="10"/>
      <c r="KLW2198" s="10"/>
      <c r="KLX2198" s="10"/>
      <c r="KLY2198" s="10"/>
      <c r="KLZ2198" s="10"/>
      <c r="KMA2198" s="10"/>
      <c r="KMB2198" s="10"/>
      <c r="KMC2198" s="10"/>
      <c r="KMD2198" s="10"/>
      <c r="KME2198" s="10"/>
      <c r="KMF2198" s="10"/>
      <c r="KMG2198" s="10"/>
      <c r="KMH2198" s="10"/>
      <c r="KMI2198" s="10"/>
      <c r="KMJ2198" s="10"/>
      <c r="KMK2198" s="10"/>
      <c r="KML2198" s="10"/>
      <c r="KMM2198" s="10"/>
      <c r="KMN2198" s="10"/>
      <c r="KMO2198" s="10"/>
      <c r="KMP2198" s="10"/>
      <c r="KMQ2198" s="10"/>
      <c r="KMR2198" s="10"/>
      <c r="KMS2198" s="10"/>
      <c r="KMT2198" s="10"/>
      <c r="KMU2198" s="10"/>
      <c r="KMV2198" s="10"/>
      <c r="KMW2198" s="10"/>
      <c r="KMX2198" s="10"/>
      <c r="KMY2198" s="10"/>
      <c r="KMZ2198" s="10"/>
      <c r="KNA2198" s="10"/>
      <c r="KNB2198" s="10"/>
      <c r="KNC2198" s="10"/>
      <c r="KND2198" s="10"/>
      <c r="KNE2198" s="10"/>
      <c r="KNF2198" s="10"/>
      <c r="KNG2198" s="10"/>
      <c r="KNH2198" s="10"/>
      <c r="KNI2198" s="10"/>
      <c r="KNJ2198" s="10"/>
      <c r="KNK2198" s="10"/>
      <c r="KNL2198" s="10"/>
      <c r="KNM2198" s="10"/>
      <c r="KNN2198" s="10"/>
      <c r="KNO2198" s="10"/>
      <c r="KNP2198" s="10"/>
      <c r="KNQ2198" s="10"/>
      <c r="KNR2198" s="10"/>
      <c r="KNS2198" s="10"/>
      <c r="KNT2198" s="10"/>
      <c r="KNU2198" s="10"/>
      <c r="KNV2198" s="10"/>
      <c r="KNW2198" s="10"/>
      <c r="KNX2198" s="10"/>
      <c r="KNY2198" s="10"/>
      <c r="KNZ2198" s="10"/>
      <c r="KOA2198" s="10"/>
      <c r="KOB2198" s="10"/>
      <c r="KOC2198" s="10"/>
      <c r="KOD2198" s="10"/>
      <c r="KOE2198" s="10"/>
      <c r="KOF2198" s="10"/>
      <c r="KOG2198" s="10"/>
      <c r="KOH2198" s="10"/>
      <c r="KOI2198" s="10"/>
      <c r="KOJ2198" s="10"/>
      <c r="KOK2198" s="10"/>
      <c r="KOL2198" s="10"/>
      <c r="KOM2198" s="10"/>
      <c r="KON2198" s="10"/>
      <c r="KOO2198" s="10"/>
      <c r="KOP2198" s="10"/>
      <c r="KOQ2198" s="10"/>
      <c r="KOR2198" s="10"/>
      <c r="KOS2198" s="10"/>
      <c r="KOT2198" s="10"/>
      <c r="KOU2198" s="10"/>
      <c r="KOV2198" s="10"/>
      <c r="KOW2198" s="10"/>
      <c r="KOX2198" s="10"/>
      <c r="KOY2198" s="10"/>
      <c r="KOZ2198" s="10"/>
      <c r="KPA2198" s="10"/>
      <c r="KPB2198" s="10"/>
      <c r="KPC2198" s="10"/>
      <c r="KPD2198" s="10"/>
      <c r="KPE2198" s="10"/>
      <c r="KPF2198" s="10"/>
      <c r="KPG2198" s="10"/>
      <c r="KPH2198" s="10"/>
      <c r="KPI2198" s="10"/>
      <c r="KPJ2198" s="10"/>
      <c r="KPK2198" s="10"/>
      <c r="KPL2198" s="10"/>
      <c r="KPM2198" s="10"/>
      <c r="KPN2198" s="10"/>
      <c r="KPO2198" s="10"/>
      <c r="KPP2198" s="10"/>
      <c r="KPQ2198" s="10"/>
      <c r="KPR2198" s="10"/>
      <c r="KPS2198" s="10"/>
      <c r="KPT2198" s="10"/>
      <c r="KPU2198" s="10"/>
      <c r="KPV2198" s="10"/>
      <c r="KPW2198" s="10"/>
      <c r="KPX2198" s="10"/>
      <c r="KPY2198" s="10"/>
      <c r="KPZ2198" s="10"/>
      <c r="KQA2198" s="10"/>
      <c r="KQB2198" s="10"/>
      <c r="KQC2198" s="10"/>
      <c r="KQD2198" s="10"/>
      <c r="KQE2198" s="10"/>
      <c r="KQF2198" s="10"/>
      <c r="KQG2198" s="10"/>
      <c r="KQH2198" s="10"/>
      <c r="KQI2198" s="10"/>
      <c r="KQJ2198" s="10"/>
      <c r="KQK2198" s="10"/>
      <c r="KQL2198" s="10"/>
      <c r="KQM2198" s="10"/>
      <c r="KQN2198" s="10"/>
      <c r="KQO2198" s="10"/>
      <c r="KQP2198" s="10"/>
      <c r="KQQ2198" s="10"/>
      <c r="KQR2198" s="10"/>
      <c r="KQS2198" s="10"/>
      <c r="KQT2198" s="10"/>
      <c r="KQU2198" s="10"/>
      <c r="KQV2198" s="10"/>
      <c r="KQW2198" s="10"/>
      <c r="KQX2198" s="10"/>
      <c r="KQY2198" s="10"/>
      <c r="KQZ2198" s="10"/>
      <c r="KRA2198" s="10"/>
      <c r="KRB2198" s="10"/>
      <c r="KRC2198" s="10"/>
      <c r="KRD2198" s="10"/>
      <c r="KRE2198" s="10"/>
      <c r="KRF2198" s="10"/>
      <c r="KRG2198" s="10"/>
      <c r="KRH2198" s="10"/>
      <c r="KRI2198" s="10"/>
      <c r="KRJ2198" s="10"/>
      <c r="KRK2198" s="10"/>
      <c r="KRL2198" s="10"/>
      <c r="KRM2198" s="10"/>
      <c r="KRN2198" s="10"/>
      <c r="KRO2198" s="10"/>
      <c r="KRP2198" s="10"/>
      <c r="KRQ2198" s="10"/>
      <c r="KRR2198" s="10"/>
      <c r="KRS2198" s="10"/>
      <c r="KRT2198" s="10"/>
      <c r="KRU2198" s="10"/>
      <c r="KRV2198" s="10"/>
      <c r="KRW2198" s="10"/>
      <c r="KRX2198" s="10"/>
      <c r="KRY2198" s="10"/>
      <c r="KRZ2198" s="10"/>
      <c r="KSA2198" s="10"/>
      <c r="KSB2198" s="10"/>
      <c r="KSC2198" s="10"/>
      <c r="KSD2198" s="10"/>
      <c r="KSE2198" s="10"/>
      <c r="KSF2198" s="10"/>
      <c r="KSG2198" s="10"/>
      <c r="KSH2198" s="10"/>
      <c r="KSI2198" s="10"/>
      <c r="KSJ2198" s="10"/>
      <c r="KSK2198" s="10"/>
      <c r="KSL2198" s="10"/>
      <c r="KSM2198" s="10"/>
      <c r="KSN2198" s="10"/>
      <c r="KSO2198" s="10"/>
      <c r="KSP2198" s="10"/>
      <c r="KSQ2198" s="10"/>
      <c r="KSR2198" s="10"/>
      <c r="KSS2198" s="10"/>
      <c r="KST2198" s="10"/>
      <c r="KSU2198" s="10"/>
      <c r="KSV2198" s="10"/>
      <c r="KSW2198" s="10"/>
      <c r="KSX2198" s="10"/>
      <c r="KSY2198" s="10"/>
      <c r="KSZ2198" s="10"/>
      <c r="KTA2198" s="10"/>
      <c r="KTB2198" s="10"/>
      <c r="KTC2198" s="10"/>
      <c r="KTD2198" s="10"/>
      <c r="KTE2198" s="10"/>
      <c r="KTF2198" s="10"/>
      <c r="KTG2198" s="10"/>
      <c r="KTH2198" s="10"/>
      <c r="KTI2198" s="10"/>
      <c r="KTJ2198" s="10"/>
      <c r="KTK2198" s="10"/>
      <c r="KTL2198" s="10"/>
      <c r="KTM2198" s="10"/>
      <c r="KTN2198" s="10"/>
      <c r="KTO2198" s="10"/>
      <c r="KTP2198" s="10"/>
      <c r="KTQ2198" s="10"/>
      <c r="KTR2198" s="10"/>
      <c r="KTS2198" s="10"/>
      <c r="KTT2198" s="10"/>
      <c r="KTU2198" s="10"/>
      <c r="KTV2198" s="10"/>
      <c r="KTW2198" s="10"/>
      <c r="KTX2198" s="10"/>
      <c r="KTY2198" s="10"/>
      <c r="KTZ2198" s="10"/>
      <c r="KUA2198" s="10"/>
      <c r="KUB2198" s="10"/>
      <c r="KUC2198" s="10"/>
      <c r="KUD2198" s="10"/>
      <c r="KUE2198" s="10"/>
      <c r="KUF2198" s="10"/>
      <c r="KUG2198" s="10"/>
      <c r="KUH2198" s="10"/>
      <c r="KUI2198" s="10"/>
      <c r="KUJ2198" s="10"/>
      <c r="KUK2198" s="10"/>
      <c r="KUL2198" s="10"/>
      <c r="KUM2198" s="10"/>
      <c r="KUN2198" s="10"/>
      <c r="KUO2198" s="10"/>
      <c r="KUP2198" s="10"/>
      <c r="KUQ2198" s="10"/>
      <c r="KUR2198" s="10"/>
      <c r="KUS2198" s="10"/>
      <c r="KUT2198" s="10"/>
      <c r="KUU2198" s="10"/>
      <c r="KUV2198" s="10"/>
      <c r="KUW2198" s="10"/>
      <c r="KUX2198" s="10"/>
      <c r="KUY2198" s="10"/>
      <c r="KUZ2198" s="10"/>
      <c r="KVA2198" s="10"/>
      <c r="KVB2198" s="10"/>
      <c r="KVC2198" s="10"/>
      <c r="KVD2198" s="10"/>
      <c r="KVE2198" s="10"/>
      <c r="KVF2198" s="10"/>
      <c r="KVG2198" s="10"/>
      <c r="KVH2198" s="10"/>
      <c r="KVI2198" s="10"/>
      <c r="KVJ2198" s="10"/>
      <c r="KVK2198" s="10"/>
      <c r="KVL2198" s="10"/>
      <c r="KVM2198" s="10"/>
      <c r="KVN2198" s="10"/>
      <c r="KVO2198" s="10"/>
      <c r="KVP2198" s="10"/>
      <c r="KVQ2198" s="10"/>
      <c r="KVR2198" s="10"/>
      <c r="KVS2198" s="10"/>
      <c r="KVT2198" s="10"/>
      <c r="KVU2198" s="10"/>
      <c r="KVV2198" s="10"/>
      <c r="KVW2198" s="10"/>
      <c r="KVX2198" s="10"/>
      <c r="KVY2198" s="10"/>
      <c r="KVZ2198" s="10"/>
      <c r="KWA2198" s="10"/>
      <c r="KWB2198" s="10"/>
      <c r="KWC2198" s="10"/>
      <c r="KWD2198" s="10"/>
      <c r="KWE2198" s="10"/>
      <c r="KWF2198" s="10"/>
      <c r="KWG2198" s="10"/>
      <c r="KWH2198" s="10"/>
      <c r="KWI2198" s="10"/>
      <c r="KWJ2198" s="10"/>
      <c r="KWK2198" s="10"/>
      <c r="KWL2198" s="10"/>
      <c r="KWM2198" s="10"/>
      <c r="KWN2198" s="10"/>
      <c r="KWO2198" s="10"/>
      <c r="KWP2198" s="10"/>
      <c r="KWQ2198" s="10"/>
      <c r="KWR2198" s="10"/>
      <c r="KWS2198" s="10"/>
      <c r="KWT2198" s="10"/>
      <c r="KWU2198" s="10"/>
      <c r="KWV2198" s="10"/>
      <c r="KWW2198" s="10"/>
      <c r="KWX2198" s="10"/>
      <c r="KWY2198" s="10"/>
      <c r="KWZ2198" s="10"/>
      <c r="KXA2198" s="10"/>
      <c r="KXB2198" s="10"/>
      <c r="KXC2198" s="10"/>
      <c r="KXD2198" s="10"/>
      <c r="KXE2198" s="10"/>
      <c r="KXF2198" s="10"/>
      <c r="KXG2198" s="10"/>
      <c r="KXH2198" s="10"/>
      <c r="KXI2198" s="10"/>
      <c r="KXJ2198" s="10"/>
      <c r="KXK2198" s="10"/>
      <c r="KXL2198" s="10"/>
      <c r="KXM2198" s="10"/>
      <c r="KXN2198" s="10"/>
      <c r="KXO2198" s="10"/>
      <c r="KXP2198" s="10"/>
      <c r="KXQ2198" s="10"/>
      <c r="KXR2198" s="10"/>
      <c r="KXS2198" s="10"/>
      <c r="KXT2198" s="10"/>
      <c r="KXU2198" s="10"/>
      <c r="KXV2198" s="10"/>
      <c r="KXW2198" s="10"/>
      <c r="KXX2198" s="10"/>
      <c r="KXY2198" s="10"/>
      <c r="KXZ2198" s="10"/>
      <c r="KYA2198" s="10"/>
      <c r="KYB2198" s="10"/>
      <c r="KYC2198" s="10"/>
      <c r="KYD2198" s="10"/>
      <c r="KYE2198" s="10"/>
      <c r="KYF2198" s="10"/>
      <c r="KYG2198" s="10"/>
      <c r="KYH2198" s="10"/>
      <c r="KYI2198" s="10"/>
      <c r="KYJ2198" s="10"/>
      <c r="KYK2198" s="10"/>
      <c r="KYL2198" s="10"/>
      <c r="KYM2198" s="10"/>
      <c r="KYN2198" s="10"/>
      <c r="KYO2198" s="10"/>
      <c r="KYP2198" s="10"/>
      <c r="KYQ2198" s="10"/>
      <c r="KYR2198" s="10"/>
      <c r="KYS2198" s="10"/>
      <c r="KYT2198" s="10"/>
      <c r="KYU2198" s="10"/>
      <c r="KYV2198" s="10"/>
      <c r="KYW2198" s="10"/>
      <c r="KYX2198" s="10"/>
      <c r="KYY2198" s="10"/>
      <c r="KYZ2198" s="10"/>
      <c r="KZA2198" s="10"/>
      <c r="KZB2198" s="10"/>
      <c r="KZC2198" s="10"/>
      <c r="KZD2198" s="10"/>
      <c r="KZE2198" s="10"/>
      <c r="KZF2198" s="10"/>
      <c r="KZG2198" s="10"/>
      <c r="KZH2198" s="10"/>
      <c r="KZI2198" s="10"/>
      <c r="KZJ2198" s="10"/>
      <c r="KZK2198" s="10"/>
      <c r="KZL2198" s="10"/>
      <c r="KZM2198" s="10"/>
      <c r="KZN2198" s="10"/>
      <c r="KZO2198" s="10"/>
      <c r="KZP2198" s="10"/>
      <c r="KZQ2198" s="10"/>
      <c r="KZR2198" s="10"/>
      <c r="KZS2198" s="10"/>
      <c r="KZT2198" s="10"/>
      <c r="KZU2198" s="10"/>
      <c r="KZV2198" s="10"/>
      <c r="KZW2198" s="10"/>
      <c r="KZX2198" s="10"/>
      <c r="KZY2198" s="10"/>
      <c r="KZZ2198" s="10"/>
      <c r="LAA2198" s="10"/>
      <c r="LAB2198" s="10"/>
      <c r="LAC2198" s="10"/>
      <c r="LAD2198" s="10"/>
      <c r="LAE2198" s="10"/>
      <c r="LAF2198" s="10"/>
      <c r="LAG2198" s="10"/>
      <c r="LAH2198" s="10"/>
      <c r="LAI2198" s="10"/>
      <c r="LAJ2198" s="10"/>
      <c r="LAK2198" s="10"/>
      <c r="LAL2198" s="10"/>
      <c r="LAM2198" s="10"/>
      <c r="LAN2198" s="10"/>
      <c r="LAO2198" s="10"/>
      <c r="LAP2198" s="10"/>
      <c r="LAQ2198" s="10"/>
      <c r="LAR2198" s="10"/>
      <c r="LAS2198" s="10"/>
      <c r="LAT2198" s="10"/>
      <c r="LAU2198" s="10"/>
      <c r="LAV2198" s="10"/>
      <c r="LAW2198" s="10"/>
      <c r="LAX2198" s="10"/>
      <c r="LAY2198" s="10"/>
      <c r="LAZ2198" s="10"/>
      <c r="LBA2198" s="10"/>
      <c r="LBB2198" s="10"/>
      <c r="LBC2198" s="10"/>
      <c r="LBD2198" s="10"/>
      <c r="LBE2198" s="10"/>
      <c r="LBF2198" s="10"/>
      <c r="LBG2198" s="10"/>
      <c r="LBH2198" s="10"/>
      <c r="LBI2198" s="10"/>
      <c r="LBJ2198" s="10"/>
      <c r="LBK2198" s="10"/>
      <c r="LBL2198" s="10"/>
      <c r="LBM2198" s="10"/>
      <c r="LBN2198" s="10"/>
      <c r="LBO2198" s="10"/>
      <c r="LBP2198" s="10"/>
      <c r="LBQ2198" s="10"/>
      <c r="LBR2198" s="10"/>
      <c r="LBS2198" s="10"/>
      <c r="LBT2198" s="10"/>
      <c r="LBU2198" s="10"/>
      <c r="LBV2198" s="10"/>
      <c r="LBW2198" s="10"/>
      <c r="LBX2198" s="10"/>
      <c r="LBY2198" s="10"/>
      <c r="LBZ2198" s="10"/>
      <c r="LCA2198" s="10"/>
      <c r="LCB2198" s="10"/>
      <c r="LCC2198" s="10"/>
      <c r="LCD2198" s="10"/>
      <c r="LCE2198" s="10"/>
      <c r="LCF2198" s="10"/>
      <c r="LCG2198" s="10"/>
      <c r="LCH2198" s="10"/>
      <c r="LCI2198" s="10"/>
      <c r="LCJ2198" s="10"/>
      <c r="LCK2198" s="10"/>
      <c r="LCL2198" s="10"/>
      <c r="LCM2198" s="10"/>
      <c r="LCN2198" s="10"/>
      <c r="LCO2198" s="10"/>
      <c r="LCP2198" s="10"/>
      <c r="LCQ2198" s="10"/>
      <c r="LCR2198" s="10"/>
      <c r="LCS2198" s="10"/>
      <c r="LCT2198" s="10"/>
      <c r="LCU2198" s="10"/>
      <c r="LCV2198" s="10"/>
      <c r="LCW2198" s="10"/>
      <c r="LCX2198" s="10"/>
      <c r="LCY2198" s="10"/>
      <c r="LCZ2198" s="10"/>
      <c r="LDA2198" s="10"/>
      <c r="LDB2198" s="10"/>
      <c r="LDC2198" s="10"/>
      <c r="LDD2198" s="10"/>
      <c r="LDE2198" s="10"/>
      <c r="LDF2198" s="10"/>
      <c r="LDG2198" s="10"/>
      <c r="LDH2198" s="10"/>
      <c r="LDI2198" s="10"/>
      <c r="LDJ2198" s="10"/>
      <c r="LDK2198" s="10"/>
      <c r="LDL2198" s="10"/>
      <c r="LDM2198" s="10"/>
      <c r="LDN2198" s="10"/>
      <c r="LDO2198" s="10"/>
      <c r="LDP2198" s="10"/>
      <c r="LDQ2198" s="10"/>
      <c r="LDR2198" s="10"/>
      <c r="LDS2198" s="10"/>
      <c r="LDT2198" s="10"/>
      <c r="LDU2198" s="10"/>
      <c r="LDV2198" s="10"/>
      <c r="LDW2198" s="10"/>
      <c r="LDX2198" s="10"/>
      <c r="LDY2198" s="10"/>
      <c r="LDZ2198" s="10"/>
      <c r="LEA2198" s="10"/>
      <c r="LEB2198" s="10"/>
      <c r="LEC2198" s="10"/>
      <c r="LED2198" s="10"/>
      <c r="LEE2198" s="10"/>
      <c r="LEF2198" s="10"/>
      <c r="LEG2198" s="10"/>
      <c r="LEH2198" s="10"/>
      <c r="LEI2198" s="10"/>
      <c r="LEJ2198" s="10"/>
      <c r="LEK2198" s="10"/>
      <c r="LEL2198" s="10"/>
      <c r="LEM2198" s="10"/>
      <c r="LEN2198" s="10"/>
      <c r="LEO2198" s="10"/>
      <c r="LEP2198" s="10"/>
      <c r="LEQ2198" s="10"/>
      <c r="LER2198" s="10"/>
      <c r="LES2198" s="10"/>
      <c r="LET2198" s="10"/>
      <c r="LEU2198" s="10"/>
      <c r="LEV2198" s="10"/>
      <c r="LEW2198" s="10"/>
      <c r="LEX2198" s="10"/>
      <c r="LEY2198" s="10"/>
      <c r="LEZ2198" s="10"/>
      <c r="LFA2198" s="10"/>
      <c r="LFB2198" s="10"/>
      <c r="LFC2198" s="10"/>
      <c r="LFD2198" s="10"/>
      <c r="LFE2198" s="10"/>
      <c r="LFF2198" s="10"/>
      <c r="LFG2198" s="10"/>
      <c r="LFH2198" s="10"/>
      <c r="LFI2198" s="10"/>
      <c r="LFJ2198" s="10"/>
      <c r="LFK2198" s="10"/>
      <c r="LFL2198" s="10"/>
      <c r="LFM2198" s="10"/>
      <c r="LFN2198" s="10"/>
      <c r="LFO2198" s="10"/>
      <c r="LFP2198" s="10"/>
      <c r="LFQ2198" s="10"/>
      <c r="LFR2198" s="10"/>
      <c r="LFS2198" s="10"/>
      <c r="LFT2198" s="10"/>
      <c r="LFU2198" s="10"/>
      <c r="LFV2198" s="10"/>
      <c r="LFW2198" s="10"/>
      <c r="LFX2198" s="10"/>
      <c r="LFY2198" s="10"/>
      <c r="LFZ2198" s="10"/>
      <c r="LGA2198" s="10"/>
      <c r="LGB2198" s="10"/>
      <c r="LGC2198" s="10"/>
      <c r="LGD2198" s="10"/>
      <c r="LGE2198" s="10"/>
      <c r="LGF2198" s="10"/>
      <c r="LGG2198" s="10"/>
      <c r="LGH2198" s="10"/>
      <c r="LGI2198" s="10"/>
      <c r="LGJ2198" s="10"/>
      <c r="LGK2198" s="10"/>
      <c r="LGL2198" s="10"/>
      <c r="LGM2198" s="10"/>
      <c r="LGN2198" s="10"/>
      <c r="LGO2198" s="10"/>
      <c r="LGP2198" s="10"/>
      <c r="LGQ2198" s="10"/>
      <c r="LGR2198" s="10"/>
      <c r="LGS2198" s="10"/>
      <c r="LGT2198" s="10"/>
      <c r="LGU2198" s="10"/>
      <c r="LGV2198" s="10"/>
      <c r="LGW2198" s="10"/>
      <c r="LGX2198" s="10"/>
      <c r="LGY2198" s="10"/>
      <c r="LGZ2198" s="10"/>
      <c r="LHA2198" s="10"/>
      <c r="LHB2198" s="10"/>
      <c r="LHC2198" s="10"/>
      <c r="LHD2198" s="10"/>
      <c r="LHE2198" s="10"/>
      <c r="LHF2198" s="10"/>
      <c r="LHG2198" s="10"/>
      <c r="LHH2198" s="10"/>
      <c r="LHI2198" s="10"/>
      <c r="LHJ2198" s="10"/>
      <c r="LHK2198" s="10"/>
      <c r="LHL2198" s="10"/>
      <c r="LHM2198" s="10"/>
      <c r="LHN2198" s="10"/>
      <c r="LHO2198" s="10"/>
      <c r="LHP2198" s="10"/>
      <c r="LHQ2198" s="10"/>
      <c r="LHR2198" s="10"/>
      <c r="LHS2198" s="10"/>
      <c r="LHT2198" s="10"/>
      <c r="LHU2198" s="10"/>
      <c r="LHV2198" s="10"/>
      <c r="LHW2198" s="10"/>
      <c r="LHX2198" s="10"/>
      <c r="LHY2198" s="10"/>
      <c r="LHZ2198" s="10"/>
      <c r="LIA2198" s="10"/>
      <c r="LIB2198" s="10"/>
      <c r="LIC2198" s="10"/>
      <c r="LID2198" s="10"/>
      <c r="LIE2198" s="10"/>
      <c r="LIF2198" s="10"/>
      <c r="LIG2198" s="10"/>
      <c r="LIH2198" s="10"/>
      <c r="LII2198" s="10"/>
      <c r="LIJ2198" s="10"/>
      <c r="LIK2198" s="10"/>
      <c r="LIL2198" s="10"/>
      <c r="LIM2198" s="10"/>
      <c r="LIN2198" s="10"/>
      <c r="LIO2198" s="10"/>
      <c r="LIP2198" s="10"/>
      <c r="LIQ2198" s="10"/>
      <c r="LIR2198" s="10"/>
      <c r="LIS2198" s="10"/>
      <c r="LIT2198" s="10"/>
      <c r="LIU2198" s="10"/>
      <c r="LIV2198" s="10"/>
      <c r="LIW2198" s="10"/>
      <c r="LIX2198" s="10"/>
      <c r="LIY2198" s="10"/>
      <c r="LIZ2198" s="10"/>
      <c r="LJA2198" s="10"/>
      <c r="LJB2198" s="10"/>
      <c r="LJC2198" s="10"/>
      <c r="LJD2198" s="10"/>
      <c r="LJE2198" s="10"/>
      <c r="LJF2198" s="10"/>
      <c r="LJG2198" s="10"/>
      <c r="LJH2198" s="10"/>
      <c r="LJI2198" s="10"/>
      <c r="LJJ2198" s="10"/>
      <c r="LJK2198" s="10"/>
      <c r="LJL2198" s="10"/>
      <c r="LJM2198" s="10"/>
      <c r="LJN2198" s="10"/>
      <c r="LJO2198" s="10"/>
      <c r="LJP2198" s="10"/>
      <c r="LJQ2198" s="10"/>
      <c r="LJR2198" s="10"/>
      <c r="LJS2198" s="10"/>
      <c r="LJT2198" s="10"/>
      <c r="LJU2198" s="10"/>
      <c r="LJV2198" s="10"/>
      <c r="LJW2198" s="10"/>
      <c r="LJX2198" s="10"/>
      <c r="LJY2198" s="10"/>
      <c r="LJZ2198" s="10"/>
      <c r="LKA2198" s="10"/>
      <c r="LKB2198" s="10"/>
      <c r="LKC2198" s="10"/>
      <c r="LKD2198" s="10"/>
      <c r="LKE2198" s="10"/>
      <c r="LKF2198" s="10"/>
      <c r="LKG2198" s="10"/>
      <c r="LKH2198" s="10"/>
      <c r="LKI2198" s="10"/>
      <c r="LKJ2198" s="10"/>
      <c r="LKK2198" s="10"/>
      <c r="LKL2198" s="10"/>
      <c r="LKM2198" s="10"/>
      <c r="LKN2198" s="10"/>
      <c r="LKO2198" s="10"/>
      <c r="LKP2198" s="10"/>
      <c r="LKQ2198" s="10"/>
      <c r="LKR2198" s="10"/>
      <c r="LKS2198" s="10"/>
      <c r="LKT2198" s="10"/>
      <c r="LKU2198" s="10"/>
      <c r="LKV2198" s="10"/>
      <c r="LKW2198" s="10"/>
      <c r="LKX2198" s="10"/>
      <c r="LKY2198" s="10"/>
      <c r="LKZ2198" s="10"/>
      <c r="LLA2198" s="10"/>
      <c r="LLB2198" s="10"/>
      <c r="LLC2198" s="10"/>
      <c r="LLD2198" s="10"/>
      <c r="LLE2198" s="10"/>
      <c r="LLF2198" s="10"/>
      <c r="LLG2198" s="10"/>
      <c r="LLH2198" s="10"/>
      <c r="LLI2198" s="10"/>
      <c r="LLJ2198" s="10"/>
      <c r="LLK2198" s="10"/>
      <c r="LLL2198" s="10"/>
      <c r="LLM2198" s="10"/>
      <c r="LLN2198" s="10"/>
      <c r="LLO2198" s="10"/>
      <c r="LLP2198" s="10"/>
      <c r="LLQ2198" s="10"/>
      <c r="LLR2198" s="10"/>
      <c r="LLS2198" s="10"/>
      <c r="LLT2198" s="10"/>
      <c r="LLU2198" s="10"/>
      <c r="LLV2198" s="10"/>
      <c r="LLW2198" s="10"/>
      <c r="LLX2198" s="10"/>
      <c r="LLY2198" s="10"/>
      <c r="LLZ2198" s="10"/>
      <c r="LMA2198" s="10"/>
      <c r="LMB2198" s="10"/>
      <c r="LMC2198" s="10"/>
      <c r="LMD2198" s="10"/>
      <c r="LME2198" s="10"/>
      <c r="LMF2198" s="10"/>
      <c r="LMG2198" s="10"/>
      <c r="LMH2198" s="10"/>
      <c r="LMI2198" s="10"/>
      <c r="LMJ2198" s="10"/>
      <c r="LMK2198" s="10"/>
      <c r="LML2198" s="10"/>
      <c r="LMM2198" s="10"/>
      <c r="LMN2198" s="10"/>
      <c r="LMO2198" s="10"/>
      <c r="LMP2198" s="10"/>
      <c r="LMQ2198" s="10"/>
      <c r="LMR2198" s="10"/>
      <c r="LMS2198" s="10"/>
      <c r="LMT2198" s="10"/>
      <c r="LMU2198" s="10"/>
      <c r="LMV2198" s="10"/>
      <c r="LMW2198" s="10"/>
      <c r="LMX2198" s="10"/>
      <c r="LMY2198" s="10"/>
      <c r="LMZ2198" s="10"/>
      <c r="LNA2198" s="10"/>
      <c r="LNB2198" s="10"/>
      <c r="LNC2198" s="10"/>
      <c r="LND2198" s="10"/>
      <c r="LNE2198" s="10"/>
      <c r="LNF2198" s="10"/>
      <c r="LNG2198" s="10"/>
      <c r="LNH2198" s="10"/>
      <c r="LNI2198" s="10"/>
      <c r="LNJ2198" s="10"/>
      <c r="LNK2198" s="10"/>
      <c r="LNL2198" s="10"/>
      <c r="LNM2198" s="10"/>
      <c r="LNN2198" s="10"/>
      <c r="LNO2198" s="10"/>
      <c r="LNP2198" s="10"/>
      <c r="LNQ2198" s="10"/>
      <c r="LNR2198" s="10"/>
      <c r="LNS2198" s="10"/>
      <c r="LNT2198" s="10"/>
      <c r="LNU2198" s="10"/>
      <c r="LNV2198" s="10"/>
      <c r="LNW2198" s="10"/>
      <c r="LNX2198" s="10"/>
      <c r="LNY2198" s="10"/>
      <c r="LNZ2198" s="10"/>
      <c r="LOA2198" s="10"/>
      <c r="LOB2198" s="10"/>
      <c r="LOC2198" s="10"/>
      <c r="LOD2198" s="10"/>
      <c r="LOE2198" s="10"/>
      <c r="LOF2198" s="10"/>
      <c r="LOG2198" s="10"/>
      <c r="LOH2198" s="10"/>
      <c r="LOI2198" s="10"/>
      <c r="LOJ2198" s="10"/>
      <c r="LOK2198" s="10"/>
      <c r="LOL2198" s="10"/>
      <c r="LOM2198" s="10"/>
      <c r="LON2198" s="10"/>
      <c r="LOO2198" s="10"/>
      <c r="LOP2198" s="10"/>
      <c r="LOQ2198" s="10"/>
      <c r="LOR2198" s="10"/>
      <c r="LOS2198" s="10"/>
      <c r="LOT2198" s="10"/>
      <c r="LOU2198" s="10"/>
      <c r="LOV2198" s="10"/>
      <c r="LOW2198" s="10"/>
      <c r="LOX2198" s="10"/>
      <c r="LOY2198" s="10"/>
      <c r="LOZ2198" s="10"/>
      <c r="LPA2198" s="10"/>
      <c r="LPB2198" s="10"/>
      <c r="LPC2198" s="10"/>
      <c r="LPD2198" s="10"/>
      <c r="LPE2198" s="10"/>
      <c r="LPF2198" s="10"/>
      <c r="LPG2198" s="10"/>
      <c r="LPH2198" s="10"/>
      <c r="LPI2198" s="10"/>
      <c r="LPJ2198" s="10"/>
      <c r="LPK2198" s="10"/>
      <c r="LPL2198" s="10"/>
      <c r="LPM2198" s="10"/>
      <c r="LPN2198" s="10"/>
      <c r="LPO2198" s="10"/>
      <c r="LPP2198" s="10"/>
      <c r="LPQ2198" s="10"/>
      <c r="LPR2198" s="10"/>
      <c r="LPS2198" s="10"/>
      <c r="LPT2198" s="10"/>
      <c r="LPU2198" s="10"/>
      <c r="LPV2198" s="10"/>
      <c r="LPW2198" s="10"/>
      <c r="LPX2198" s="10"/>
      <c r="LPY2198" s="10"/>
      <c r="LPZ2198" s="10"/>
      <c r="LQA2198" s="10"/>
      <c r="LQB2198" s="10"/>
      <c r="LQC2198" s="10"/>
      <c r="LQD2198" s="10"/>
      <c r="LQE2198" s="10"/>
      <c r="LQF2198" s="10"/>
      <c r="LQG2198" s="10"/>
      <c r="LQH2198" s="10"/>
      <c r="LQI2198" s="10"/>
      <c r="LQJ2198" s="10"/>
      <c r="LQK2198" s="10"/>
      <c r="LQL2198" s="10"/>
      <c r="LQM2198" s="10"/>
      <c r="LQN2198" s="10"/>
      <c r="LQO2198" s="10"/>
      <c r="LQP2198" s="10"/>
      <c r="LQQ2198" s="10"/>
      <c r="LQR2198" s="10"/>
      <c r="LQS2198" s="10"/>
      <c r="LQT2198" s="10"/>
      <c r="LQU2198" s="10"/>
      <c r="LQV2198" s="10"/>
      <c r="LQW2198" s="10"/>
      <c r="LQX2198" s="10"/>
      <c r="LQY2198" s="10"/>
      <c r="LQZ2198" s="10"/>
      <c r="LRA2198" s="10"/>
      <c r="LRB2198" s="10"/>
      <c r="LRC2198" s="10"/>
      <c r="LRD2198" s="10"/>
      <c r="LRE2198" s="10"/>
      <c r="LRF2198" s="10"/>
      <c r="LRG2198" s="10"/>
      <c r="LRH2198" s="10"/>
      <c r="LRI2198" s="10"/>
      <c r="LRJ2198" s="10"/>
      <c r="LRK2198" s="10"/>
      <c r="LRL2198" s="10"/>
      <c r="LRM2198" s="10"/>
      <c r="LRN2198" s="10"/>
      <c r="LRO2198" s="10"/>
      <c r="LRP2198" s="10"/>
      <c r="LRQ2198" s="10"/>
      <c r="LRR2198" s="10"/>
      <c r="LRS2198" s="10"/>
      <c r="LRT2198" s="10"/>
      <c r="LRU2198" s="10"/>
      <c r="LRV2198" s="10"/>
      <c r="LRW2198" s="10"/>
      <c r="LRX2198" s="10"/>
      <c r="LRY2198" s="10"/>
      <c r="LRZ2198" s="10"/>
      <c r="LSA2198" s="10"/>
      <c r="LSB2198" s="10"/>
      <c r="LSC2198" s="10"/>
      <c r="LSD2198" s="10"/>
      <c r="LSE2198" s="10"/>
      <c r="LSF2198" s="10"/>
      <c r="LSG2198" s="10"/>
      <c r="LSH2198" s="10"/>
      <c r="LSI2198" s="10"/>
      <c r="LSJ2198" s="10"/>
      <c r="LSK2198" s="10"/>
      <c r="LSL2198" s="10"/>
      <c r="LSM2198" s="10"/>
      <c r="LSN2198" s="10"/>
      <c r="LSO2198" s="10"/>
      <c r="LSP2198" s="10"/>
      <c r="LSQ2198" s="10"/>
      <c r="LSR2198" s="10"/>
      <c r="LSS2198" s="10"/>
      <c r="LST2198" s="10"/>
      <c r="LSU2198" s="10"/>
      <c r="LSV2198" s="10"/>
      <c r="LSW2198" s="10"/>
      <c r="LSX2198" s="10"/>
      <c r="LSY2198" s="10"/>
      <c r="LSZ2198" s="10"/>
      <c r="LTA2198" s="10"/>
      <c r="LTB2198" s="10"/>
      <c r="LTC2198" s="10"/>
      <c r="LTD2198" s="10"/>
      <c r="LTE2198" s="10"/>
      <c r="LTF2198" s="10"/>
      <c r="LTG2198" s="10"/>
      <c r="LTH2198" s="10"/>
      <c r="LTI2198" s="10"/>
      <c r="LTJ2198" s="10"/>
      <c r="LTK2198" s="10"/>
      <c r="LTL2198" s="10"/>
      <c r="LTM2198" s="10"/>
      <c r="LTN2198" s="10"/>
      <c r="LTO2198" s="10"/>
      <c r="LTP2198" s="10"/>
      <c r="LTQ2198" s="10"/>
      <c r="LTR2198" s="10"/>
      <c r="LTS2198" s="10"/>
      <c r="LTT2198" s="10"/>
      <c r="LTU2198" s="10"/>
      <c r="LTV2198" s="10"/>
      <c r="LTW2198" s="10"/>
      <c r="LTX2198" s="10"/>
      <c r="LTY2198" s="10"/>
      <c r="LTZ2198" s="10"/>
      <c r="LUA2198" s="10"/>
      <c r="LUB2198" s="10"/>
      <c r="LUC2198" s="10"/>
      <c r="LUD2198" s="10"/>
      <c r="LUE2198" s="10"/>
      <c r="LUF2198" s="10"/>
      <c r="LUG2198" s="10"/>
      <c r="LUH2198" s="10"/>
      <c r="LUI2198" s="10"/>
      <c r="LUJ2198" s="10"/>
      <c r="LUK2198" s="10"/>
      <c r="LUL2198" s="10"/>
      <c r="LUM2198" s="10"/>
      <c r="LUN2198" s="10"/>
      <c r="LUO2198" s="10"/>
      <c r="LUP2198" s="10"/>
      <c r="LUQ2198" s="10"/>
      <c r="LUR2198" s="10"/>
      <c r="LUS2198" s="10"/>
      <c r="LUT2198" s="10"/>
      <c r="LUU2198" s="10"/>
      <c r="LUV2198" s="10"/>
      <c r="LUW2198" s="10"/>
      <c r="LUX2198" s="10"/>
      <c r="LUY2198" s="10"/>
      <c r="LUZ2198" s="10"/>
      <c r="LVA2198" s="10"/>
      <c r="LVB2198" s="10"/>
      <c r="LVC2198" s="10"/>
      <c r="LVD2198" s="10"/>
      <c r="LVE2198" s="10"/>
      <c r="LVF2198" s="10"/>
      <c r="LVG2198" s="10"/>
      <c r="LVH2198" s="10"/>
      <c r="LVI2198" s="10"/>
      <c r="LVJ2198" s="10"/>
      <c r="LVK2198" s="10"/>
      <c r="LVL2198" s="10"/>
      <c r="LVM2198" s="10"/>
      <c r="LVN2198" s="10"/>
      <c r="LVO2198" s="10"/>
      <c r="LVP2198" s="10"/>
      <c r="LVQ2198" s="10"/>
      <c r="LVR2198" s="10"/>
      <c r="LVS2198" s="10"/>
      <c r="LVT2198" s="10"/>
      <c r="LVU2198" s="10"/>
      <c r="LVV2198" s="10"/>
      <c r="LVW2198" s="10"/>
      <c r="LVX2198" s="10"/>
      <c r="LVY2198" s="10"/>
      <c r="LVZ2198" s="10"/>
      <c r="LWA2198" s="10"/>
      <c r="LWB2198" s="10"/>
      <c r="LWC2198" s="10"/>
      <c r="LWD2198" s="10"/>
      <c r="LWE2198" s="10"/>
      <c r="LWF2198" s="10"/>
      <c r="LWG2198" s="10"/>
      <c r="LWH2198" s="10"/>
      <c r="LWI2198" s="10"/>
      <c r="LWJ2198" s="10"/>
      <c r="LWK2198" s="10"/>
      <c r="LWL2198" s="10"/>
      <c r="LWM2198" s="10"/>
      <c r="LWN2198" s="10"/>
      <c r="LWO2198" s="10"/>
      <c r="LWP2198" s="10"/>
      <c r="LWQ2198" s="10"/>
      <c r="LWR2198" s="10"/>
      <c r="LWS2198" s="10"/>
      <c r="LWT2198" s="10"/>
      <c r="LWU2198" s="10"/>
      <c r="LWV2198" s="10"/>
      <c r="LWW2198" s="10"/>
      <c r="LWX2198" s="10"/>
      <c r="LWY2198" s="10"/>
      <c r="LWZ2198" s="10"/>
      <c r="LXA2198" s="10"/>
      <c r="LXB2198" s="10"/>
      <c r="LXC2198" s="10"/>
      <c r="LXD2198" s="10"/>
      <c r="LXE2198" s="10"/>
      <c r="LXF2198" s="10"/>
      <c r="LXG2198" s="10"/>
      <c r="LXH2198" s="10"/>
      <c r="LXI2198" s="10"/>
      <c r="LXJ2198" s="10"/>
      <c r="LXK2198" s="10"/>
      <c r="LXL2198" s="10"/>
      <c r="LXM2198" s="10"/>
      <c r="LXN2198" s="10"/>
      <c r="LXO2198" s="10"/>
      <c r="LXP2198" s="10"/>
      <c r="LXQ2198" s="10"/>
      <c r="LXR2198" s="10"/>
      <c r="LXS2198" s="10"/>
      <c r="LXT2198" s="10"/>
      <c r="LXU2198" s="10"/>
      <c r="LXV2198" s="10"/>
      <c r="LXW2198" s="10"/>
      <c r="LXX2198" s="10"/>
      <c r="LXY2198" s="10"/>
      <c r="LXZ2198" s="10"/>
      <c r="LYA2198" s="10"/>
      <c r="LYB2198" s="10"/>
      <c r="LYC2198" s="10"/>
      <c r="LYD2198" s="10"/>
      <c r="LYE2198" s="10"/>
      <c r="LYF2198" s="10"/>
      <c r="LYG2198" s="10"/>
      <c r="LYH2198" s="10"/>
      <c r="LYI2198" s="10"/>
      <c r="LYJ2198" s="10"/>
      <c r="LYK2198" s="10"/>
      <c r="LYL2198" s="10"/>
      <c r="LYM2198" s="10"/>
      <c r="LYN2198" s="10"/>
      <c r="LYO2198" s="10"/>
      <c r="LYP2198" s="10"/>
      <c r="LYQ2198" s="10"/>
      <c r="LYR2198" s="10"/>
      <c r="LYS2198" s="10"/>
      <c r="LYT2198" s="10"/>
      <c r="LYU2198" s="10"/>
      <c r="LYV2198" s="10"/>
      <c r="LYW2198" s="10"/>
      <c r="LYX2198" s="10"/>
      <c r="LYY2198" s="10"/>
      <c r="LYZ2198" s="10"/>
      <c r="LZA2198" s="10"/>
      <c r="LZB2198" s="10"/>
      <c r="LZC2198" s="10"/>
      <c r="LZD2198" s="10"/>
      <c r="LZE2198" s="10"/>
      <c r="LZF2198" s="10"/>
      <c r="LZG2198" s="10"/>
      <c r="LZH2198" s="10"/>
      <c r="LZI2198" s="10"/>
      <c r="LZJ2198" s="10"/>
      <c r="LZK2198" s="10"/>
      <c r="LZL2198" s="10"/>
      <c r="LZM2198" s="10"/>
      <c r="LZN2198" s="10"/>
      <c r="LZO2198" s="10"/>
      <c r="LZP2198" s="10"/>
      <c r="LZQ2198" s="10"/>
      <c r="LZR2198" s="10"/>
      <c r="LZS2198" s="10"/>
      <c r="LZT2198" s="10"/>
      <c r="LZU2198" s="10"/>
      <c r="LZV2198" s="10"/>
      <c r="LZW2198" s="10"/>
      <c r="LZX2198" s="10"/>
      <c r="LZY2198" s="10"/>
      <c r="LZZ2198" s="10"/>
      <c r="MAA2198" s="10"/>
      <c r="MAB2198" s="10"/>
      <c r="MAC2198" s="10"/>
      <c r="MAD2198" s="10"/>
      <c r="MAE2198" s="10"/>
      <c r="MAF2198" s="10"/>
      <c r="MAG2198" s="10"/>
      <c r="MAH2198" s="10"/>
      <c r="MAI2198" s="10"/>
      <c r="MAJ2198" s="10"/>
      <c r="MAK2198" s="10"/>
      <c r="MAL2198" s="10"/>
      <c r="MAM2198" s="10"/>
      <c r="MAN2198" s="10"/>
      <c r="MAO2198" s="10"/>
      <c r="MAP2198" s="10"/>
      <c r="MAQ2198" s="10"/>
      <c r="MAR2198" s="10"/>
      <c r="MAS2198" s="10"/>
      <c r="MAT2198" s="10"/>
      <c r="MAU2198" s="10"/>
      <c r="MAV2198" s="10"/>
      <c r="MAW2198" s="10"/>
      <c r="MAX2198" s="10"/>
      <c r="MAY2198" s="10"/>
      <c r="MAZ2198" s="10"/>
      <c r="MBA2198" s="10"/>
      <c r="MBB2198" s="10"/>
      <c r="MBC2198" s="10"/>
      <c r="MBD2198" s="10"/>
      <c r="MBE2198" s="10"/>
      <c r="MBF2198" s="10"/>
      <c r="MBG2198" s="10"/>
      <c r="MBH2198" s="10"/>
      <c r="MBI2198" s="10"/>
      <c r="MBJ2198" s="10"/>
      <c r="MBK2198" s="10"/>
      <c r="MBL2198" s="10"/>
      <c r="MBM2198" s="10"/>
      <c r="MBN2198" s="10"/>
      <c r="MBO2198" s="10"/>
      <c r="MBP2198" s="10"/>
      <c r="MBQ2198" s="10"/>
      <c r="MBR2198" s="10"/>
      <c r="MBS2198" s="10"/>
      <c r="MBT2198" s="10"/>
      <c r="MBU2198" s="10"/>
      <c r="MBV2198" s="10"/>
      <c r="MBW2198" s="10"/>
      <c r="MBX2198" s="10"/>
      <c r="MBY2198" s="10"/>
      <c r="MBZ2198" s="10"/>
      <c r="MCA2198" s="10"/>
      <c r="MCB2198" s="10"/>
      <c r="MCC2198" s="10"/>
      <c r="MCD2198" s="10"/>
      <c r="MCE2198" s="10"/>
      <c r="MCF2198" s="10"/>
      <c r="MCG2198" s="10"/>
      <c r="MCH2198" s="10"/>
      <c r="MCI2198" s="10"/>
      <c r="MCJ2198" s="10"/>
      <c r="MCK2198" s="10"/>
      <c r="MCL2198" s="10"/>
      <c r="MCM2198" s="10"/>
      <c r="MCN2198" s="10"/>
      <c r="MCO2198" s="10"/>
      <c r="MCP2198" s="10"/>
      <c r="MCQ2198" s="10"/>
      <c r="MCR2198" s="10"/>
      <c r="MCS2198" s="10"/>
      <c r="MCT2198" s="10"/>
      <c r="MCU2198" s="10"/>
      <c r="MCV2198" s="10"/>
      <c r="MCW2198" s="10"/>
      <c r="MCX2198" s="10"/>
      <c r="MCY2198" s="10"/>
      <c r="MCZ2198" s="10"/>
      <c r="MDA2198" s="10"/>
      <c r="MDB2198" s="10"/>
      <c r="MDC2198" s="10"/>
      <c r="MDD2198" s="10"/>
      <c r="MDE2198" s="10"/>
      <c r="MDF2198" s="10"/>
      <c r="MDG2198" s="10"/>
      <c r="MDH2198" s="10"/>
      <c r="MDI2198" s="10"/>
      <c r="MDJ2198" s="10"/>
      <c r="MDK2198" s="10"/>
      <c r="MDL2198" s="10"/>
      <c r="MDM2198" s="10"/>
      <c r="MDN2198" s="10"/>
      <c r="MDO2198" s="10"/>
      <c r="MDP2198" s="10"/>
      <c r="MDQ2198" s="10"/>
      <c r="MDR2198" s="10"/>
      <c r="MDS2198" s="10"/>
      <c r="MDT2198" s="10"/>
      <c r="MDU2198" s="10"/>
      <c r="MDV2198" s="10"/>
      <c r="MDW2198" s="10"/>
      <c r="MDX2198" s="10"/>
      <c r="MDY2198" s="10"/>
      <c r="MDZ2198" s="10"/>
      <c r="MEA2198" s="10"/>
      <c r="MEB2198" s="10"/>
      <c r="MEC2198" s="10"/>
      <c r="MED2198" s="10"/>
      <c r="MEE2198" s="10"/>
      <c r="MEF2198" s="10"/>
      <c r="MEG2198" s="10"/>
      <c r="MEH2198" s="10"/>
      <c r="MEI2198" s="10"/>
      <c r="MEJ2198" s="10"/>
      <c r="MEK2198" s="10"/>
      <c r="MEL2198" s="10"/>
      <c r="MEM2198" s="10"/>
      <c r="MEN2198" s="10"/>
      <c r="MEO2198" s="10"/>
      <c r="MEP2198" s="10"/>
      <c r="MEQ2198" s="10"/>
      <c r="MER2198" s="10"/>
      <c r="MES2198" s="10"/>
      <c r="MET2198" s="10"/>
      <c r="MEU2198" s="10"/>
      <c r="MEV2198" s="10"/>
      <c r="MEW2198" s="10"/>
      <c r="MEX2198" s="10"/>
      <c r="MEY2198" s="10"/>
      <c r="MEZ2198" s="10"/>
      <c r="MFA2198" s="10"/>
      <c r="MFB2198" s="10"/>
      <c r="MFC2198" s="10"/>
      <c r="MFD2198" s="10"/>
      <c r="MFE2198" s="10"/>
      <c r="MFF2198" s="10"/>
      <c r="MFG2198" s="10"/>
      <c r="MFH2198" s="10"/>
      <c r="MFI2198" s="10"/>
      <c r="MFJ2198" s="10"/>
      <c r="MFK2198" s="10"/>
      <c r="MFL2198" s="10"/>
      <c r="MFM2198" s="10"/>
      <c r="MFN2198" s="10"/>
      <c r="MFO2198" s="10"/>
      <c r="MFP2198" s="10"/>
      <c r="MFQ2198" s="10"/>
      <c r="MFR2198" s="10"/>
      <c r="MFS2198" s="10"/>
      <c r="MFT2198" s="10"/>
      <c r="MFU2198" s="10"/>
      <c r="MFV2198" s="10"/>
      <c r="MFW2198" s="10"/>
      <c r="MFX2198" s="10"/>
      <c r="MFY2198" s="10"/>
      <c r="MFZ2198" s="10"/>
      <c r="MGA2198" s="10"/>
      <c r="MGB2198" s="10"/>
      <c r="MGC2198" s="10"/>
      <c r="MGD2198" s="10"/>
      <c r="MGE2198" s="10"/>
      <c r="MGF2198" s="10"/>
      <c r="MGG2198" s="10"/>
      <c r="MGH2198" s="10"/>
      <c r="MGI2198" s="10"/>
      <c r="MGJ2198" s="10"/>
      <c r="MGK2198" s="10"/>
      <c r="MGL2198" s="10"/>
      <c r="MGM2198" s="10"/>
      <c r="MGN2198" s="10"/>
      <c r="MGO2198" s="10"/>
      <c r="MGP2198" s="10"/>
      <c r="MGQ2198" s="10"/>
      <c r="MGR2198" s="10"/>
      <c r="MGS2198" s="10"/>
      <c r="MGT2198" s="10"/>
      <c r="MGU2198" s="10"/>
      <c r="MGV2198" s="10"/>
      <c r="MGW2198" s="10"/>
      <c r="MGX2198" s="10"/>
      <c r="MGY2198" s="10"/>
      <c r="MGZ2198" s="10"/>
      <c r="MHA2198" s="10"/>
      <c r="MHB2198" s="10"/>
      <c r="MHC2198" s="10"/>
      <c r="MHD2198" s="10"/>
      <c r="MHE2198" s="10"/>
      <c r="MHF2198" s="10"/>
      <c r="MHG2198" s="10"/>
      <c r="MHH2198" s="10"/>
      <c r="MHI2198" s="10"/>
      <c r="MHJ2198" s="10"/>
      <c r="MHK2198" s="10"/>
      <c r="MHL2198" s="10"/>
      <c r="MHM2198" s="10"/>
      <c r="MHN2198" s="10"/>
      <c r="MHO2198" s="10"/>
      <c r="MHP2198" s="10"/>
      <c r="MHQ2198" s="10"/>
      <c r="MHR2198" s="10"/>
      <c r="MHS2198" s="10"/>
      <c r="MHT2198" s="10"/>
      <c r="MHU2198" s="10"/>
      <c r="MHV2198" s="10"/>
      <c r="MHW2198" s="10"/>
      <c r="MHX2198" s="10"/>
      <c r="MHY2198" s="10"/>
      <c r="MHZ2198" s="10"/>
      <c r="MIA2198" s="10"/>
      <c r="MIB2198" s="10"/>
      <c r="MIC2198" s="10"/>
      <c r="MID2198" s="10"/>
      <c r="MIE2198" s="10"/>
      <c r="MIF2198" s="10"/>
      <c r="MIG2198" s="10"/>
      <c r="MIH2198" s="10"/>
      <c r="MII2198" s="10"/>
      <c r="MIJ2198" s="10"/>
      <c r="MIK2198" s="10"/>
      <c r="MIL2198" s="10"/>
      <c r="MIM2198" s="10"/>
      <c r="MIN2198" s="10"/>
      <c r="MIO2198" s="10"/>
      <c r="MIP2198" s="10"/>
      <c r="MIQ2198" s="10"/>
      <c r="MIR2198" s="10"/>
      <c r="MIS2198" s="10"/>
      <c r="MIT2198" s="10"/>
      <c r="MIU2198" s="10"/>
      <c r="MIV2198" s="10"/>
      <c r="MIW2198" s="10"/>
      <c r="MIX2198" s="10"/>
      <c r="MIY2198" s="10"/>
      <c r="MIZ2198" s="10"/>
      <c r="MJA2198" s="10"/>
      <c r="MJB2198" s="10"/>
      <c r="MJC2198" s="10"/>
      <c r="MJD2198" s="10"/>
      <c r="MJE2198" s="10"/>
      <c r="MJF2198" s="10"/>
      <c r="MJG2198" s="10"/>
      <c r="MJH2198" s="10"/>
      <c r="MJI2198" s="10"/>
      <c r="MJJ2198" s="10"/>
      <c r="MJK2198" s="10"/>
      <c r="MJL2198" s="10"/>
      <c r="MJM2198" s="10"/>
      <c r="MJN2198" s="10"/>
      <c r="MJO2198" s="10"/>
      <c r="MJP2198" s="10"/>
      <c r="MJQ2198" s="10"/>
      <c r="MJR2198" s="10"/>
      <c r="MJS2198" s="10"/>
      <c r="MJT2198" s="10"/>
      <c r="MJU2198" s="10"/>
      <c r="MJV2198" s="10"/>
      <c r="MJW2198" s="10"/>
      <c r="MJX2198" s="10"/>
      <c r="MJY2198" s="10"/>
      <c r="MJZ2198" s="10"/>
      <c r="MKA2198" s="10"/>
      <c r="MKB2198" s="10"/>
      <c r="MKC2198" s="10"/>
      <c r="MKD2198" s="10"/>
      <c r="MKE2198" s="10"/>
      <c r="MKF2198" s="10"/>
      <c r="MKG2198" s="10"/>
      <c r="MKH2198" s="10"/>
      <c r="MKI2198" s="10"/>
      <c r="MKJ2198" s="10"/>
      <c r="MKK2198" s="10"/>
      <c r="MKL2198" s="10"/>
      <c r="MKM2198" s="10"/>
      <c r="MKN2198" s="10"/>
      <c r="MKO2198" s="10"/>
      <c r="MKP2198" s="10"/>
      <c r="MKQ2198" s="10"/>
      <c r="MKR2198" s="10"/>
      <c r="MKS2198" s="10"/>
      <c r="MKT2198" s="10"/>
      <c r="MKU2198" s="10"/>
      <c r="MKV2198" s="10"/>
      <c r="MKW2198" s="10"/>
      <c r="MKX2198" s="10"/>
      <c r="MKY2198" s="10"/>
      <c r="MKZ2198" s="10"/>
      <c r="MLA2198" s="10"/>
      <c r="MLB2198" s="10"/>
      <c r="MLC2198" s="10"/>
      <c r="MLD2198" s="10"/>
      <c r="MLE2198" s="10"/>
      <c r="MLF2198" s="10"/>
      <c r="MLG2198" s="10"/>
      <c r="MLH2198" s="10"/>
      <c r="MLI2198" s="10"/>
      <c r="MLJ2198" s="10"/>
      <c r="MLK2198" s="10"/>
      <c r="MLL2198" s="10"/>
      <c r="MLM2198" s="10"/>
      <c r="MLN2198" s="10"/>
      <c r="MLO2198" s="10"/>
      <c r="MLP2198" s="10"/>
      <c r="MLQ2198" s="10"/>
      <c r="MLR2198" s="10"/>
      <c r="MLS2198" s="10"/>
      <c r="MLT2198" s="10"/>
      <c r="MLU2198" s="10"/>
      <c r="MLV2198" s="10"/>
      <c r="MLW2198" s="10"/>
      <c r="MLX2198" s="10"/>
      <c r="MLY2198" s="10"/>
      <c r="MLZ2198" s="10"/>
      <c r="MMA2198" s="10"/>
      <c r="MMB2198" s="10"/>
      <c r="MMC2198" s="10"/>
      <c r="MMD2198" s="10"/>
      <c r="MME2198" s="10"/>
      <c r="MMF2198" s="10"/>
      <c r="MMG2198" s="10"/>
      <c r="MMH2198" s="10"/>
      <c r="MMI2198" s="10"/>
      <c r="MMJ2198" s="10"/>
      <c r="MMK2198" s="10"/>
      <c r="MML2198" s="10"/>
      <c r="MMM2198" s="10"/>
      <c r="MMN2198" s="10"/>
      <c r="MMO2198" s="10"/>
      <c r="MMP2198" s="10"/>
      <c r="MMQ2198" s="10"/>
      <c r="MMR2198" s="10"/>
      <c r="MMS2198" s="10"/>
      <c r="MMT2198" s="10"/>
      <c r="MMU2198" s="10"/>
      <c r="MMV2198" s="10"/>
      <c r="MMW2198" s="10"/>
      <c r="MMX2198" s="10"/>
      <c r="MMY2198" s="10"/>
      <c r="MMZ2198" s="10"/>
      <c r="MNA2198" s="10"/>
      <c r="MNB2198" s="10"/>
      <c r="MNC2198" s="10"/>
      <c r="MND2198" s="10"/>
      <c r="MNE2198" s="10"/>
      <c r="MNF2198" s="10"/>
      <c r="MNG2198" s="10"/>
      <c r="MNH2198" s="10"/>
      <c r="MNI2198" s="10"/>
      <c r="MNJ2198" s="10"/>
      <c r="MNK2198" s="10"/>
      <c r="MNL2198" s="10"/>
      <c r="MNM2198" s="10"/>
      <c r="MNN2198" s="10"/>
      <c r="MNO2198" s="10"/>
      <c r="MNP2198" s="10"/>
      <c r="MNQ2198" s="10"/>
      <c r="MNR2198" s="10"/>
      <c r="MNS2198" s="10"/>
      <c r="MNT2198" s="10"/>
      <c r="MNU2198" s="10"/>
      <c r="MNV2198" s="10"/>
      <c r="MNW2198" s="10"/>
      <c r="MNX2198" s="10"/>
      <c r="MNY2198" s="10"/>
      <c r="MNZ2198" s="10"/>
      <c r="MOA2198" s="10"/>
      <c r="MOB2198" s="10"/>
      <c r="MOC2198" s="10"/>
      <c r="MOD2198" s="10"/>
      <c r="MOE2198" s="10"/>
      <c r="MOF2198" s="10"/>
      <c r="MOG2198" s="10"/>
      <c r="MOH2198" s="10"/>
      <c r="MOI2198" s="10"/>
      <c r="MOJ2198" s="10"/>
      <c r="MOK2198" s="10"/>
      <c r="MOL2198" s="10"/>
      <c r="MOM2198" s="10"/>
      <c r="MON2198" s="10"/>
      <c r="MOO2198" s="10"/>
      <c r="MOP2198" s="10"/>
      <c r="MOQ2198" s="10"/>
      <c r="MOR2198" s="10"/>
      <c r="MOS2198" s="10"/>
      <c r="MOT2198" s="10"/>
      <c r="MOU2198" s="10"/>
      <c r="MOV2198" s="10"/>
      <c r="MOW2198" s="10"/>
      <c r="MOX2198" s="10"/>
      <c r="MOY2198" s="10"/>
      <c r="MOZ2198" s="10"/>
      <c r="MPA2198" s="10"/>
      <c r="MPB2198" s="10"/>
      <c r="MPC2198" s="10"/>
      <c r="MPD2198" s="10"/>
      <c r="MPE2198" s="10"/>
      <c r="MPF2198" s="10"/>
      <c r="MPG2198" s="10"/>
      <c r="MPH2198" s="10"/>
      <c r="MPI2198" s="10"/>
      <c r="MPJ2198" s="10"/>
      <c r="MPK2198" s="10"/>
      <c r="MPL2198" s="10"/>
      <c r="MPM2198" s="10"/>
      <c r="MPN2198" s="10"/>
      <c r="MPO2198" s="10"/>
      <c r="MPP2198" s="10"/>
      <c r="MPQ2198" s="10"/>
      <c r="MPR2198" s="10"/>
      <c r="MPS2198" s="10"/>
      <c r="MPT2198" s="10"/>
      <c r="MPU2198" s="10"/>
      <c r="MPV2198" s="10"/>
      <c r="MPW2198" s="10"/>
      <c r="MPX2198" s="10"/>
      <c r="MPY2198" s="10"/>
      <c r="MPZ2198" s="10"/>
      <c r="MQA2198" s="10"/>
      <c r="MQB2198" s="10"/>
      <c r="MQC2198" s="10"/>
      <c r="MQD2198" s="10"/>
      <c r="MQE2198" s="10"/>
      <c r="MQF2198" s="10"/>
      <c r="MQG2198" s="10"/>
      <c r="MQH2198" s="10"/>
      <c r="MQI2198" s="10"/>
      <c r="MQJ2198" s="10"/>
      <c r="MQK2198" s="10"/>
      <c r="MQL2198" s="10"/>
      <c r="MQM2198" s="10"/>
      <c r="MQN2198" s="10"/>
      <c r="MQO2198" s="10"/>
      <c r="MQP2198" s="10"/>
      <c r="MQQ2198" s="10"/>
      <c r="MQR2198" s="10"/>
      <c r="MQS2198" s="10"/>
      <c r="MQT2198" s="10"/>
      <c r="MQU2198" s="10"/>
      <c r="MQV2198" s="10"/>
      <c r="MQW2198" s="10"/>
      <c r="MQX2198" s="10"/>
      <c r="MQY2198" s="10"/>
      <c r="MQZ2198" s="10"/>
      <c r="MRA2198" s="10"/>
      <c r="MRB2198" s="10"/>
      <c r="MRC2198" s="10"/>
      <c r="MRD2198" s="10"/>
      <c r="MRE2198" s="10"/>
      <c r="MRF2198" s="10"/>
      <c r="MRG2198" s="10"/>
      <c r="MRH2198" s="10"/>
      <c r="MRI2198" s="10"/>
      <c r="MRJ2198" s="10"/>
      <c r="MRK2198" s="10"/>
      <c r="MRL2198" s="10"/>
      <c r="MRM2198" s="10"/>
      <c r="MRN2198" s="10"/>
      <c r="MRO2198" s="10"/>
      <c r="MRP2198" s="10"/>
      <c r="MRQ2198" s="10"/>
      <c r="MRR2198" s="10"/>
      <c r="MRS2198" s="10"/>
      <c r="MRT2198" s="10"/>
      <c r="MRU2198" s="10"/>
      <c r="MRV2198" s="10"/>
      <c r="MRW2198" s="10"/>
      <c r="MRX2198" s="10"/>
      <c r="MRY2198" s="10"/>
      <c r="MRZ2198" s="10"/>
      <c r="MSA2198" s="10"/>
      <c r="MSB2198" s="10"/>
      <c r="MSC2198" s="10"/>
      <c r="MSD2198" s="10"/>
      <c r="MSE2198" s="10"/>
      <c r="MSF2198" s="10"/>
      <c r="MSG2198" s="10"/>
      <c r="MSH2198" s="10"/>
      <c r="MSI2198" s="10"/>
      <c r="MSJ2198" s="10"/>
      <c r="MSK2198" s="10"/>
      <c r="MSL2198" s="10"/>
      <c r="MSM2198" s="10"/>
      <c r="MSN2198" s="10"/>
      <c r="MSO2198" s="10"/>
      <c r="MSP2198" s="10"/>
      <c r="MSQ2198" s="10"/>
      <c r="MSR2198" s="10"/>
      <c r="MSS2198" s="10"/>
      <c r="MST2198" s="10"/>
      <c r="MSU2198" s="10"/>
      <c r="MSV2198" s="10"/>
      <c r="MSW2198" s="10"/>
      <c r="MSX2198" s="10"/>
      <c r="MSY2198" s="10"/>
      <c r="MSZ2198" s="10"/>
      <c r="MTA2198" s="10"/>
      <c r="MTB2198" s="10"/>
      <c r="MTC2198" s="10"/>
      <c r="MTD2198" s="10"/>
      <c r="MTE2198" s="10"/>
      <c r="MTF2198" s="10"/>
      <c r="MTG2198" s="10"/>
      <c r="MTH2198" s="10"/>
      <c r="MTI2198" s="10"/>
      <c r="MTJ2198" s="10"/>
      <c r="MTK2198" s="10"/>
      <c r="MTL2198" s="10"/>
      <c r="MTM2198" s="10"/>
      <c r="MTN2198" s="10"/>
      <c r="MTO2198" s="10"/>
      <c r="MTP2198" s="10"/>
      <c r="MTQ2198" s="10"/>
      <c r="MTR2198" s="10"/>
      <c r="MTS2198" s="10"/>
      <c r="MTT2198" s="10"/>
      <c r="MTU2198" s="10"/>
      <c r="MTV2198" s="10"/>
      <c r="MTW2198" s="10"/>
      <c r="MTX2198" s="10"/>
      <c r="MTY2198" s="10"/>
      <c r="MTZ2198" s="10"/>
      <c r="MUA2198" s="10"/>
      <c r="MUB2198" s="10"/>
      <c r="MUC2198" s="10"/>
      <c r="MUD2198" s="10"/>
      <c r="MUE2198" s="10"/>
      <c r="MUF2198" s="10"/>
      <c r="MUG2198" s="10"/>
      <c r="MUH2198" s="10"/>
      <c r="MUI2198" s="10"/>
      <c r="MUJ2198" s="10"/>
      <c r="MUK2198" s="10"/>
      <c r="MUL2198" s="10"/>
      <c r="MUM2198" s="10"/>
      <c r="MUN2198" s="10"/>
      <c r="MUO2198" s="10"/>
      <c r="MUP2198" s="10"/>
      <c r="MUQ2198" s="10"/>
      <c r="MUR2198" s="10"/>
      <c r="MUS2198" s="10"/>
      <c r="MUT2198" s="10"/>
      <c r="MUU2198" s="10"/>
      <c r="MUV2198" s="10"/>
      <c r="MUW2198" s="10"/>
      <c r="MUX2198" s="10"/>
      <c r="MUY2198" s="10"/>
      <c r="MUZ2198" s="10"/>
      <c r="MVA2198" s="10"/>
      <c r="MVB2198" s="10"/>
      <c r="MVC2198" s="10"/>
      <c r="MVD2198" s="10"/>
      <c r="MVE2198" s="10"/>
      <c r="MVF2198" s="10"/>
      <c r="MVG2198" s="10"/>
      <c r="MVH2198" s="10"/>
      <c r="MVI2198" s="10"/>
      <c r="MVJ2198" s="10"/>
      <c r="MVK2198" s="10"/>
      <c r="MVL2198" s="10"/>
      <c r="MVM2198" s="10"/>
      <c r="MVN2198" s="10"/>
      <c r="MVO2198" s="10"/>
      <c r="MVP2198" s="10"/>
      <c r="MVQ2198" s="10"/>
      <c r="MVR2198" s="10"/>
      <c r="MVS2198" s="10"/>
      <c r="MVT2198" s="10"/>
      <c r="MVU2198" s="10"/>
      <c r="MVV2198" s="10"/>
      <c r="MVW2198" s="10"/>
      <c r="MVX2198" s="10"/>
      <c r="MVY2198" s="10"/>
      <c r="MVZ2198" s="10"/>
      <c r="MWA2198" s="10"/>
      <c r="MWB2198" s="10"/>
      <c r="MWC2198" s="10"/>
      <c r="MWD2198" s="10"/>
      <c r="MWE2198" s="10"/>
      <c r="MWF2198" s="10"/>
      <c r="MWG2198" s="10"/>
      <c r="MWH2198" s="10"/>
      <c r="MWI2198" s="10"/>
      <c r="MWJ2198" s="10"/>
      <c r="MWK2198" s="10"/>
      <c r="MWL2198" s="10"/>
      <c r="MWM2198" s="10"/>
      <c r="MWN2198" s="10"/>
      <c r="MWO2198" s="10"/>
      <c r="MWP2198" s="10"/>
      <c r="MWQ2198" s="10"/>
      <c r="MWR2198" s="10"/>
      <c r="MWS2198" s="10"/>
      <c r="MWT2198" s="10"/>
      <c r="MWU2198" s="10"/>
      <c r="MWV2198" s="10"/>
      <c r="MWW2198" s="10"/>
      <c r="MWX2198" s="10"/>
      <c r="MWY2198" s="10"/>
      <c r="MWZ2198" s="10"/>
      <c r="MXA2198" s="10"/>
      <c r="MXB2198" s="10"/>
      <c r="MXC2198" s="10"/>
      <c r="MXD2198" s="10"/>
      <c r="MXE2198" s="10"/>
      <c r="MXF2198" s="10"/>
      <c r="MXG2198" s="10"/>
      <c r="MXH2198" s="10"/>
      <c r="MXI2198" s="10"/>
      <c r="MXJ2198" s="10"/>
      <c r="MXK2198" s="10"/>
      <c r="MXL2198" s="10"/>
      <c r="MXM2198" s="10"/>
      <c r="MXN2198" s="10"/>
      <c r="MXO2198" s="10"/>
      <c r="MXP2198" s="10"/>
      <c r="MXQ2198" s="10"/>
      <c r="MXR2198" s="10"/>
      <c r="MXS2198" s="10"/>
      <c r="MXT2198" s="10"/>
      <c r="MXU2198" s="10"/>
      <c r="MXV2198" s="10"/>
      <c r="MXW2198" s="10"/>
      <c r="MXX2198" s="10"/>
      <c r="MXY2198" s="10"/>
      <c r="MXZ2198" s="10"/>
      <c r="MYA2198" s="10"/>
      <c r="MYB2198" s="10"/>
      <c r="MYC2198" s="10"/>
      <c r="MYD2198" s="10"/>
      <c r="MYE2198" s="10"/>
      <c r="MYF2198" s="10"/>
      <c r="MYG2198" s="10"/>
      <c r="MYH2198" s="10"/>
      <c r="MYI2198" s="10"/>
      <c r="MYJ2198" s="10"/>
      <c r="MYK2198" s="10"/>
      <c r="MYL2198" s="10"/>
      <c r="MYM2198" s="10"/>
      <c r="MYN2198" s="10"/>
      <c r="MYO2198" s="10"/>
      <c r="MYP2198" s="10"/>
      <c r="MYQ2198" s="10"/>
      <c r="MYR2198" s="10"/>
      <c r="MYS2198" s="10"/>
      <c r="MYT2198" s="10"/>
      <c r="MYU2198" s="10"/>
      <c r="MYV2198" s="10"/>
      <c r="MYW2198" s="10"/>
      <c r="MYX2198" s="10"/>
      <c r="MYY2198" s="10"/>
      <c r="MYZ2198" s="10"/>
      <c r="MZA2198" s="10"/>
      <c r="MZB2198" s="10"/>
      <c r="MZC2198" s="10"/>
      <c r="MZD2198" s="10"/>
      <c r="MZE2198" s="10"/>
      <c r="MZF2198" s="10"/>
      <c r="MZG2198" s="10"/>
      <c r="MZH2198" s="10"/>
      <c r="MZI2198" s="10"/>
      <c r="MZJ2198" s="10"/>
      <c r="MZK2198" s="10"/>
      <c r="MZL2198" s="10"/>
      <c r="MZM2198" s="10"/>
      <c r="MZN2198" s="10"/>
      <c r="MZO2198" s="10"/>
      <c r="MZP2198" s="10"/>
      <c r="MZQ2198" s="10"/>
      <c r="MZR2198" s="10"/>
      <c r="MZS2198" s="10"/>
      <c r="MZT2198" s="10"/>
      <c r="MZU2198" s="10"/>
      <c r="MZV2198" s="10"/>
      <c r="MZW2198" s="10"/>
      <c r="MZX2198" s="10"/>
      <c r="MZY2198" s="10"/>
      <c r="MZZ2198" s="10"/>
      <c r="NAA2198" s="10"/>
      <c r="NAB2198" s="10"/>
      <c r="NAC2198" s="10"/>
      <c r="NAD2198" s="10"/>
      <c r="NAE2198" s="10"/>
      <c r="NAF2198" s="10"/>
      <c r="NAG2198" s="10"/>
      <c r="NAH2198" s="10"/>
      <c r="NAI2198" s="10"/>
      <c r="NAJ2198" s="10"/>
      <c r="NAK2198" s="10"/>
      <c r="NAL2198" s="10"/>
      <c r="NAM2198" s="10"/>
      <c r="NAN2198" s="10"/>
      <c r="NAO2198" s="10"/>
      <c r="NAP2198" s="10"/>
      <c r="NAQ2198" s="10"/>
      <c r="NAR2198" s="10"/>
      <c r="NAS2198" s="10"/>
      <c r="NAT2198" s="10"/>
      <c r="NAU2198" s="10"/>
      <c r="NAV2198" s="10"/>
      <c r="NAW2198" s="10"/>
      <c r="NAX2198" s="10"/>
      <c r="NAY2198" s="10"/>
      <c r="NAZ2198" s="10"/>
      <c r="NBA2198" s="10"/>
      <c r="NBB2198" s="10"/>
      <c r="NBC2198" s="10"/>
      <c r="NBD2198" s="10"/>
      <c r="NBE2198" s="10"/>
      <c r="NBF2198" s="10"/>
      <c r="NBG2198" s="10"/>
      <c r="NBH2198" s="10"/>
      <c r="NBI2198" s="10"/>
      <c r="NBJ2198" s="10"/>
      <c r="NBK2198" s="10"/>
      <c r="NBL2198" s="10"/>
      <c r="NBM2198" s="10"/>
      <c r="NBN2198" s="10"/>
      <c r="NBO2198" s="10"/>
      <c r="NBP2198" s="10"/>
      <c r="NBQ2198" s="10"/>
      <c r="NBR2198" s="10"/>
      <c r="NBS2198" s="10"/>
      <c r="NBT2198" s="10"/>
      <c r="NBU2198" s="10"/>
      <c r="NBV2198" s="10"/>
      <c r="NBW2198" s="10"/>
      <c r="NBX2198" s="10"/>
      <c r="NBY2198" s="10"/>
      <c r="NBZ2198" s="10"/>
      <c r="NCA2198" s="10"/>
      <c r="NCB2198" s="10"/>
      <c r="NCC2198" s="10"/>
      <c r="NCD2198" s="10"/>
      <c r="NCE2198" s="10"/>
      <c r="NCF2198" s="10"/>
      <c r="NCG2198" s="10"/>
      <c r="NCH2198" s="10"/>
      <c r="NCI2198" s="10"/>
      <c r="NCJ2198" s="10"/>
      <c r="NCK2198" s="10"/>
      <c r="NCL2198" s="10"/>
      <c r="NCM2198" s="10"/>
      <c r="NCN2198" s="10"/>
      <c r="NCO2198" s="10"/>
      <c r="NCP2198" s="10"/>
      <c r="NCQ2198" s="10"/>
      <c r="NCR2198" s="10"/>
      <c r="NCS2198" s="10"/>
      <c r="NCT2198" s="10"/>
      <c r="NCU2198" s="10"/>
      <c r="NCV2198" s="10"/>
      <c r="NCW2198" s="10"/>
      <c r="NCX2198" s="10"/>
      <c r="NCY2198" s="10"/>
      <c r="NCZ2198" s="10"/>
      <c r="NDA2198" s="10"/>
      <c r="NDB2198" s="10"/>
      <c r="NDC2198" s="10"/>
      <c r="NDD2198" s="10"/>
      <c r="NDE2198" s="10"/>
      <c r="NDF2198" s="10"/>
      <c r="NDG2198" s="10"/>
      <c r="NDH2198" s="10"/>
      <c r="NDI2198" s="10"/>
      <c r="NDJ2198" s="10"/>
      <c r="NDK2198" s="10"/>
      <c r="NDL2198" s="10"/>
      <c r="NDM2198" s="10"/>
      <c r="NDN2198" s="10"/>
      <c r="NDO2198" s="10"/>
      <c r="NDP2198" s="10"/>
      <c r="NDQ2198" s="10"/>
      <c r="NDR2198" s="10"/>
      <c r="NDS2198" s="10"/>
      <c r="NDT2198" s="10"/>
      <c r="NDU2198" s="10"/>
      <c r="NDV2198" s="10"/>
      <c r="NDW2198" s="10"/>
      <c r="NDX2198" s="10"/>
      <c r="NDY2198" s="10"/>
      <c r="NDZ2198" s="10"/>
      <c r="NEA2198" s="10"/>
      <c r="NEB2198" s="10"/>
      <c r="NEC2198" s="10"/>
      <c r="NED2198" s="10"/>
      <c r="NEE2198" s="10"/>
      <c r="NEF2198" s="10"/>
      <c r="NEG2198" s="10"/>
      <c r="NEH2198" s="10"/>
      <c r="NEI2198" s="10"/>
      <c r="NEJ2198" s="10"/>
      <c r="NEK2198" s="10"/>
      <c r="NEL2198" s="10"/>
      <c r="NEM2198" s="10"/>
      <c r="NEN2198" s="10"/>
      <c r="NEO2198" s="10"/>
      <c r="NEP2198" s="10"/>
      <c r="NEQ2198" s="10"/>
      <c r="NER2198" s="10"/>
      <c r="NES2198" s="10"/>
      <c r="NET2198" s="10"/>
      <c r="NEU2198" s="10"/>
      <c r="NEV2198" s="10"/>
      <c r="NEW2198" s="10"/>
      <c r="NEX2198" s="10"/>
      <c r="NEY2198" s="10"/>
      <c r="NEZ2198" s="10"/>
      <c r="NFA2198" s="10"/>
      <c r="NFB2198" s="10"/>
      <c r="NFC2198" s="10"/>
      <c r="NFD2198" s="10"/>
      <c r="NFE2198" s="10"/>
      <c r="NFF2198" s="10"/>
      <c r="NFG2198" s="10"/>
      <c r="NFH2198" s="10"/>
      <c r="NFI2198" s="10"/>
      <c r="NFJ2198" s="10"/>
      <c r="NFK2198" s="10"/>
      <c r="NFL2198" s="10"/>
      <c r="NFM2198" s="10"/>
      <c r="NFN2198" s="10"/>
      <c r="NFO2198" s="10"/>
      <c r="NFP2198" s="10"/>
      <c r="NFQ2198" s="10"/>
      <c r="NFR2198" s="10"/>
      <c r="NFS2198" s="10"/>
      <c r="NFT2198" s="10"/>
      <c r="NFU2198" s="10"/>
      <c r="NFV2198" s="10"/>
      <c r="NFW2198" s="10"/>
      <c r="NFX2198" s="10"/>
      <c r="NFY2198" s="10"/>
      <c r="NFZ2198" s="10"/>
      <c r="NGA2198" s="10"/>
      <c r="NGB2198" s="10"/>
      <c r="NGC2198" s="10"/>
      <c r="NGD2198" s="10"/>
      <c r="NGE2198" s="10"/>
      <c r="NGF2198" s="10"/>
      <c r="NGG2198" s="10"/>
      <c r="NGH2198" s="10"/>
      <c r="NGI2198" s="10"/>
      <c r="NGJ2198" s="10"/>
      <c r="NGK2198" s="10"/>
      <c r="NGL2198" s="10"/>
      <c r="NGM2198" s="10"/>
      <c r="NGN2198" s="10"/>
      <c r="NGO2198" s="10"/>
      <c r="NGP2198" s="10"/>
      <c r="NGQ2198" s="10"/>
      <c r="NGR2198" s="10"/>
      <c r="NGS2198" s="10"/>
      <c r="NGT2198" s="10"/>
      <c r="NGU2198" s="10"/>
      <c r="NGV2198" s="10"/>
      <c r="NGW2198" s="10"/>
      <c r="NGX2198" s="10"/>
      <c r="NGY2198" s="10"/>
      <c r="NGZ2198" s="10"/>
      <c r="NHA2198" s="10"/>
      <c r="NHB2198" s="10"/>
      <c r="NHC2198" s="10"/>
      <c r="NHD2198" s="10"/>
      <c r="NHE2198" s="10"/>
      <c r="NHF2198" s="10"/>
      <c r="NHG2198" s="10"/>
      <c r="NHH2198" s="10"/>
      <c r="NHI2198" s="10"/>
      <c r="NHJ2198" s="10"/>
      <c r="NHK2198" s="10"/>
      <c r="NHL2198" s="10"/>
      <c r="NHM2198" s="10"/>
      <c r="NHN2198" s="10"/>
      <c r="NHO2198" s="10"/>
      <c r="NHP2198" s="10"/>
      <c r="NHQ2198" s="10"/>
      <c r="NHR2198" s="10"/>
      <c r="NHS2198" s="10"/>
      <c r="NHT2198" s="10"/>
      <c r="NHU2198" s="10"/>
      <c r="NHV2198" s="10"/>
      <c r="NHW2198" s="10"/>
      <c r="NHX2198" s="10"/>
      <c r="NHY2198" s="10"/>
      <c r="NHZ2198" s="10"/>
      <c r="NIA2198" s="10"/>
      <c r="NIB2198" s="10"/>
      <c r="NIC2198" s="10"/>
      <c r="NID2198" s="10"/>
      <c r="NIE2198" s="10"/>
      <c r="NIF2198" s="10"/>
      <c r="NIG2198" s="10"/>
      <c r="NIH2198" s="10"/>
      <c r="NII2198" s="10"/>
      <c r="NIJ2198" s="10"/>
      <c r="NIK2198" s="10"/>
      <c r="NIL2198" s="10"/>
      <c r="NIM2198" s="10"/>
      <c r="NIN2198" s="10"/>
      <c r="NIO2198" s="10"/>
      <c r="NIP2198" s="10"/>
      <c r="NIQ2198" s="10"/>
      <c r="NIR2198" s="10"/>
      <c r="NIS2198" s="10"/>
      <c r="NIT2198" s="10"/>
      <c r="NIU2198" s="10"/>
      <c r="NIV2198" s="10"/>
      <c r="NIW2198" s="10"/>
      <c r="NIX2198" s="10"/>
      <c r="NIY2198" s="10"/>
      <c r="NIZ2198" s="10"/>
      <c r="NJA2198" s="10"/>
      <c r="NJB2198" s="10"/>
      <c r="NJC2198" s="10"/>
      <c r="NJD2198" s="10"/>
      <c r="NJE2198" s="10"/>
      <c r="NJF2198" s="10"/>
      <c r="NJG2198" s="10"/>
      <c r="NJH2198" s="10"/>
      <c r="NJI2198" s="10"/>
      <c r="NJJ2198" s="10"/>
      <c r="NJK2198" s="10"/>
      <c r="NJL2198" s="10"/>
      <c r="NJM2198" s="10"/>
      <c r="NJN2198" s="10"/>
      <c r="NJO2198" s="10"/>
      <c r="NJP2198" s="10"/>
      <c r="NJQ2198" s="10"/>
      <c r="NJR2198" s="10"/>
      <c r="NJS2198" s="10"/>
      <c r="NJT2198" s="10"/>
      <c r="NJU2198" s="10"/>
      <c r="NJV2198" s="10"/>
      <c r="NJW2198" s="10"/>
      <c r="NJX2198" s="10"/>
      <c r="NJY2198" s="10"/>
      <c r="NJZ2198" s="10"/>
      <c r="NKA2198" s="10"/>
      <c r="NKB2198" s="10"/>
      <c r="NKC2198" s="10"/>
      <c r="NKD2198" s="10"/>
      <c r="NKE2198" s="10"/>
      <c r="NKF2198" s="10"/>
      <c r="NKG2198" s="10"/>
      <c r="NKH2198" s="10"/>
      <c r="NKI2198" s="10"/>
      <c r="NKJ2198" s="10"/>
      <c r="NKK2198" s="10"/>
      <c r="NKL2198" s="10"/>
      <c r="NKM2198" s="10"/>
      <c r="NKN2198" s="10"/>
      <c r="NKO2198" s="10"/>
      <c r="NKP2198" s="10"/>
      <c r="NKQ2198" s="10"/>
      <c r="NKR2198" s="10"/>
      <c r="NKS2198" s="10"/>
      <c r="NKT2198" s="10"/>
      <c r="NKU2198" s="10"/>
      <c r="NKV2198" s="10"/>
      <c r="NKW2198" s="10"/>
      <c r="NKX2198" s="10"/>
      <c r="NKY2198" s="10"/>
      <c r="NKZ2198" s="10"/>
      <c r="NLA2198" s="10"/>
      <c r="NLB2198" s="10"/>
      <c r="NLC2198" s="10"/>
      <c r="NLD2198" s="10"/>
      <c r="NLE2198" s="10"/>
      <c r="NLF2198" s="10"/>
      <c r="NLG2198" s="10"/>
      <c r="NLH2198" s="10"/>
      <c r="NLI2198" s="10"/>
      <c r="NLJ2198" s="10"/>
      <c r="NLK2198" s="10"/>
      <c r="NLL2198" s="10"/>
      <c r="NLM2198" s="10"/>
      <c r="NLN2198" s="10"/>
      <c r="NLO2198" s="10"/>
      <c r="NLP2198" s="10"/>
      <c r="NLQ2198" s="10"/>
      <c r="NLR2198" s="10"/>
      <c r="NLS2198" s="10"/>
      <c r="NLT2198" s="10"/>
      <c r="NLU2198" s="10"/>
      <c r="NLV2198" s="10"/>
      <c r="NLW2198" s="10"/>
      <c r="NLX2198" s="10"/>
      <c r="NLY2198" s="10"/>
      <c r="NLZ2198" s="10"/>
      <c r="NMA2198" s="10"/>
      <c r="NMB2198" s="10"/>
      <c r="NMC2198" s="10"/>
      <c r="NMD2198" s="10"/>
      <c r="NME2198" s="10"/>
      <c r="NMF2198" s="10"/>
      <c r="NMG2198" s="10"/>
      <c r="NMH2198" s="10"/>
      <c r="NMI2198" s="10"/>
      <c r="NMJ2198" s="10"/>
      <c r="NMK2198" s="10"/>
      <c r="NML2198" s="10"/>
      <c r="NMM2198" s="10"/>
      <c r="NMN2198" s="10"/>
      <c r="NMO2198" s="10"/>
      <c r="NMP2198" s="10"/>
      <c r="NMQ2198" s="10"/>
      <c r="NMR2198" s="10"/>
      <c r="NMS2198" s="10"/>
      <c r="NMT2198" s="10"/>
      <c r="NMU2198" s="10"/>
      <c r="NMV2198" s="10"/>
      <c r="NMW2198" s="10"/>
      <c r="NMX2198" s="10"/>
      <c r="NMY2198" s="10"/>
      <c r="NMZ2198" s="10"/>
      <c r="NNA2198" s="10"/>
      <c r="NNB2198" s="10"/>
      <c r="NNC2198" s="10"/>
      <c r="NND2198" s="10"/>
      <c r="NNE2198" s="10"/>
      <c r="NNF2198" s="10"/>
      <c r="NNG2198" s="10"/>
      <c r="NNH2198" s="10"/>
      <c r="NNI2198" s="10"/>
      <c r="NNJ2198" s="10"/>
      <c r="NNK2198" s="10"/>
      <c r="NNL2198" s="10"/>
      <c r="NNM2198" s="10"/>
      <c r="NNN2198" s="10"/>
      <c r="NNO2198" s="10"/>
      <c r="NNP2198" s="10"/>
      <c r="NNQ2198" s="10"/>
      <c r="NNR2198" s="10"/>
      <c r="NNS2198" s="10"/>
      <c r="NNT2198" s="10"/>
      <c r="NNU2198" s="10"/>
      <c r="NNV2198" s="10"/>
      <c r="NNW2198" s="10"/>
      <c r="NNX2198" s="10"/>
      <c r="NNY2198" s="10"/>
      <c r="NNZ2198" s="10"/>
      <c r="NOA2198" s="10"/>
      <c r="NOB2198" s="10"/>
      <c r="NOC2198" s="10"/>
      <c r="NOD2198" s="10"/>
      <c r="NOE2198" s="10"/>
      <c r="NOF2198" s="10"/>
      <c r="NOG2198" s="10"/>
      <c r="NOH2198" s="10"/>
      <c r="NOI2198" s="10"/>
      <c r="NOJ2198" s="10"/>
      <c r="NOK2198" s="10"/>
      <c r="NOL2198" s="10"/>
      <c r="NOM2198" s="10"/>
      <c r="NON2198" s="10"/>
      <c r="NOO2198" s="10"/>
      <c r="NOP2198" s="10"/>
      <c r="NOQ2198" s="10"/>
      <c r="NOR2198" s="10"/>
      <c r="NOS2198" s="10"/>
      <c r="NOT2198" s="10"/>
      <c r="NOU2198" s="10"/>
      <c r="NOV2198" s="10"/>
      <c r="NOW2198" s="10"/>
      <c r="NOX2198" s="10"/>
      <c r="NOY2198" s="10"/>
      <c r="NOZ2198" s="10"/>
      <c r="NPA2198" s="10"/>
      <c r="NPB2198" s="10"/>
      <c r="NPC2198" s="10"/>
      <c r="NPD2198" s="10"/>
      <c r="NPE2198" s="10"/>
      <c r="NPF2198" s="10"/>
      <c r="NPG2198" s="10"/>
      <c r="NPH2198" s="10"/>
      <c r="NPI2198" s="10"/>
      <c r="NPJ2198" s="10"/>
      <c r="NPK2198" s="10"/>
      <c r="NPL2198" s="10"/>
      <c r="NPM2198" s="10"/>
      <c r="NPN2198" s="10"/>
      <c r="NPO2198" s="10"/>
      <c r="NPP2198" s="10"/>
      <c r="NPQ2198" s="10"/>
      <c r="NPR2198" s="10"/>
      <c r="NPS2198" s="10"/>
      <c r="NPT2198" s="10"/>
      <c r="NPU2198" s="10"/>
      <c r="NPV2198" s="10"/>
      <c r="NPW2198" s="10"/>
      <c r="NPX2198" s="10"/>
      <c r="NPY2198" s="10"/>
      <c r="NPZ2198" s="10"/>
      <c r="NQA2198" s="10"/>
      <c r="NQB2198" s="10"/>
      <c r="NQC2198" s="10"/>
      <c r="NQD2198" s="10"/>
      <c r="NQE2198" s="10"/>
      <c r="NQF2198" s="10"/>
      <c r="NQG2198" s="10"/>
      <c r="NQH2198" s="10"/>
      <c r="NQI2198" s="10"/>
      <c r="NQJ2198" s="10"/>
      <c r="NQK2198" s="10"/>
      <c r="NQL2198" s="10"/>
      <c r="NQM2198" s="10"/>
      <c r="NQN2198" s="10"/>
      <c r="NQO2198" s="10"/>
      <c r="NQP2198" s="10"/>
      <c r="NQQ2198" s="10"/>
      <c r="NQR2198" s="10"/>
      <c r="NQS2198" s="10"/>
      <c r="NQT2198" s="10"/>
      <c r="NQU2198" s="10"/>
      <c r="NQV2198" s="10"/>
      <c r="NQW2198" s="10"/>
      <c r="NQX2198" s="10"/>
      <c r="NQY2198" s="10"/>
      <c r="NQZ2198" s="10"/>
      <c r="NRA2198" s="10"/>
      <c r="NRB2198" s="10"/>
      <c r="NRC2198" s="10"/>
      <c r="NRD2198" s="10"/>
      <c r="NRE2198" s="10"/>
      <c r="NRF2198" s="10"/>
      <c r="NRG2198" s="10"/>
      <c r="NRH2198" s="10"/>
      <c r="NRI2198" s="10"/>
      <c r="NRJ2198" s="10"/>
      <c r="NRK2198" s="10"/>
      <c r="NRL2198" s="10"/>
      <c r="NRM2198" s="10"/>
      <c r="NRN2198" s="10"/>
      <c r="NRO2198" s="10"/>
      <c r="NRP2198" s="10"/>
      <c r="NRQ2198" s="10"/>
      <c r="NRR2198" s="10"/>
      <c r="NRS2198" s="10"/>
      <c r="NRT2198" s="10"/>
      <c r="NRU2198" s="10"/>
      <c r="NRV2198" s="10"/>
      <c r="NRW2198" s="10"/>
      <c r="NRX2198" s="10"/>
      <c r="NRY2198" s="10"/>
      <c r="NRZ2198" s="10"/>
      <c r="NSA2198" s="10"/>
      <c r="NSB2198" s="10"/>
      <c r="NSC2198" s="10"/>
      <c r="NSD2198" s="10"/>
      <c r="NSE2198" s="10"/>
      <c r="NSF2198" s="10"/>
      <c r="NSG2198" s="10"/>
      <c r="NSH2198" s="10"/>
      <c r="NSI2198" s="10"/>
      <c r="NSJ2198" s="10"/>
      <c r="NSK2198" s="10"/>
      <c r="NSL2198" s="10"/>
      <c r="NSM2198" s="10"/>
      <c r="NSN2198" s="10"/>
      <c r="NSO2198" s="10"/>
      <c r="NSP2198" s="10"/>
      <c r="NSQ2198" s="10"/>
      <c r="NSR2198" s="10"/>
      <c r="NSS2198" s="10"/>
      <c r="NST2198" s="10"/>
      <c r="NSU2198" s="10"/>
      <c r="NSV2198" s="10"/>
      <c r="NSW2198" s="10"/>
      <c r="NSX2198" s="10"/>
      <c r="NSY2198" s="10"/>
      <c r="NSZ2198" s="10"/>
      <c r="NTA2198" s="10"/>
      <c r="NTB2198" s="10"/>
      <c r="NTC2198" s="10"/>
      <c r="NTD2198" s="10"/>
      <c r="NTE2198" s="10"/>
      <c r="NTF2198" s="10"/>
      <c r="NTG2198" s="10"/>
      <c r="NTH2198" s="10"/>
      <c r="NTI2198" s="10"/>
      <c r="NTJ2198" s="10"/>
      <c r="NTK2198" s="10"/>
      <c r="NTL2198" s="10"/>
      <c r="NTM2198" s="10"/>
      <c r="NTN2198" s="10"/>
      <c r="NTO2198" s="10"/>
      <c r="NTP2198" s="10"/>
      <c r="NTQ2198" s="10"/>
      <c r="NTR2198" s="10"/>
      <c r="NTS2198" s="10"/>
      <c r="NTT2198" s="10"/>
      <c r="NTU2198" s="10"/>
      <c r="NTV2198" s="10"/>
      <c r="NTW2198" s="10"/>
      <c r="NTX2198" s="10"/>
      <c r="NTY2198" s="10"/>
      <c r="NTZ2198" s="10"/>
      <c r="NUA2198" s="10"/>
      <c r="NUB2198" s="10"/>
      <c r="NUC2198" s="10"/>
      <c r="NUD2198" s="10"/>
      <c r="NUE2198" s="10"/>
      <c r="NUF2198" s="10"/>
      <c r="NUG2198" s="10"/>
      <c r="NUH2198" s="10"/>
      <c r="NUI2198" s="10"/>
      <c r="NUJ2198" s="10"/>
      <c r="NUK2198" s="10"/>
      <c r="NUL2198" s="10"/>
      <c r="NUM2198" s="10"/>
      <c r="NUN2198" s="10"/>
      <c r="NUO2198" s="10"/>
      <c r="NUP2198" s="10"/>
      <c r="NUQ2198" s="10"/>
      <c r="NUR2198" s="10"/>
      <c r="NUS2198" s="10"/>
      <c r="NUT2198" s="10"/>
      <c r="NUU2198" s="10"/>
      <c r="NUV2198" s="10"/>
      <c r="NUW2198" s="10"/>
      <c r="NUX2198" s="10"/>
      <c r="NUY2198" s="10"/>
      <c r="NUZ2198" s="10"/>
      <c r="NVA2198" s="10"/>
      <c r="NVB2198" s="10"/>
      <c r="NVC2198" s="10"/>
      <c r="NVD2198" s="10"/>
      <c r="NVE2198" s="10"/>
      <c r="NVF2198" s="10"/>
      <c r="NVG2198" s="10"/>
      <c r="NVH2198" s="10"/>
      <c r="NVI2198" s="10"/>
      <c r="NVJ2198" s="10"/>
      <c r="NVK2198" s="10"/>
      <c r="NVL2198" s="10"/>
      <c r="NVM2198" s="10"/>
      <c r="NVN2198" s="10"/>
      <c r="NVO2198" s="10"/>
      <c r="NVP2198" s="10"/>
      <c r="NVQ2198" s="10"/>
      <c r="NVR2198" s="10"/>
      <c r="NVS2198" s="10"/>
      <c r="NVT2198" s="10"/>
      <c r="NVU2198" s="10"/>
      <c r="NVV2198" s="10"/>
      <c r="NVW2198" s="10"/>
      <c r="NVX2198" s="10"/>
      <c r="NVY2198" s="10"/>
      <c r="NVZ2198" s="10"/>
      <c r="NWA2198" s="10"/>
      <c r="NWB2198" s="10"/>
      <c r="NWC2198" s="10"/>
      <c r="NWD2198" s="10"/>
      <c r="NWE2198" s="10"/>
      <c r="NWF2198" s="10"/>
      <c r="NWG2198" s="10"/>
      <c r="NWH2198" s="10"/>
      <c r="NWI2198" s="10"/>
      <c r="NWJ2198" s="10"/>
      <c r="NWK2198" s="10"/>
      <c r="NWL2198" s="10"/>
      <c r="NWM2198" s="10"/>
      <c r="NWN2198" s="10"/>
      <c r="NWO2198" s="10"/>
      <c r="NWP2198" s="10"/>
      <c r="NWQ2198" s="10"/>
      <c r="NWR2198" s="10"/>
      <c r="NWS2198" s="10"/>
      <c r="NWT2198" s="10"/>
      <c r="NWU2198" s="10"/>
      <c r="NWV2198" s="10"/>
      <c r="NWW2198" s="10"/>
      <c r="NWX2198" s="10"/>
      <c r="NWY2198" s="10"/>
      <c r="NWZ2198" s="10"/>
      <c r="NXA2198" s="10"/>
      <c r="NXB2198" s="10"/>
      <c r="NXC2198" s="10"/>
      <c r="NXD2198" s="10"/>
      <c r="NXE2198" s="10"/>
      <c r="NXF2198" s="10"/>
      <c r="NXG2198" s="10"/>
      <c r="NXH2198" s="10"/>
      <c r="NXI2198" s="10"/>
      <c r="NXJ2198" s="10"/>
      <c r="NXK2198" s="10"/>
      <c r="NXL2198" s="10"/>
      <c r="NXM2198" s="10"/>
      <c r="NXN2198" s="10"/>
      <c r="NXO2198" s="10"/>
      <c r="NXP2198" s="10"/>
      <c r="NXQ2198" s="10"/>
      <c r="NXR2198" s="10"/>
      <c r="NXS2198" s="10"/>
      <c r="NXT2198" s="10"/>
      <c r="NXU2198" s="10"/>
      <c r="NXV2198" s="10"/>
      <c r="NXW2198" s="10"/>
      <c r="NXX2198" s="10"/>
      <c r="NXY2198" s="10"/>
      <c r="NXZ2198" s="10"/>
      <c r="NYA2198" s="10"/>
      <c r="NYB2198" s="10"/>
      <c r="NYC2198" s="10"/>
      <c r="NYD2198" s="10"/>
      <c r="NYE2198" s="10"/>
      <c r="NYF2198" s="10"/>
      <c r="NYG2198" s="10"/>
      <c r="NYH2198" s="10"/>
      <c r="NYI2198" s="10"/>
      <c r="NYJ2198" s="10"/>
      <c r="NYK2198" s="10"/>
      <c r="NYL2198" s="10"/>
      <c r="NYM2198" s="10"/>
      <c r="NYN2198" s="10"/>
      <c r="NYO2198" s="10"/>
      <c r="NYP2198" s="10"/>
      <c r="NYQ2198" s="10"/>
      <c r="NYR2198" s="10"/>
      <c r="NYS2198" s="10"/>
      <c r="NYT2198" s="10"/>
      <c r="NYU2198" s="10"/>
      <c r="NYV2198" s="10"/>
      <c r="NYW2198" s="10"/>
      <c r="NYX2198" s="10"/>
      <c r="NYY2198" s="10"/>
      <c r="NYZ2198" s="10"/>
      <c r="NZA2198" s="10"/>
      <c r="NZB2198" s="10"/>
      <c r="NZC2198" s="10"/>
      <c r="NZD2198" s="10"/>
      <c r="NZE2198" s="10"/>
      <c r="NZF2198" s="10"/>
      <c r="NZG2198" s="10"/>
      <c r="NZH2198" s="10"/>
      <c r="NZI2198" s="10"/>
      <c r="NZJ2198" s="10"/>
      <c r="NZK2198" s="10"/>
      <c r="NZL2198" s="10"/>
      <c r="NZM2198" s="10"/>
      <c r="NZN2198" s="10"/>
      <c r="NZO2198" s="10"/>
      <c r="NZP2198" s="10"/>
      <c r="NZQ2198" s="10"/>
      <c r="NZR2198" s="10"/>
      <c r="NZS2198" s="10"/>
      <c r="NZT2198" s="10"/>
      <c r="NZU2198" s="10"/>
      <c r="NZV2198" s="10"/>
      <c r="NZW2198" s="10"/>
      <c r="NZX2198" s="10"/>
      <c r="NZY2198" s="10"/>
      <c r="NZZ2198" s="10"/>
      <c r="OAA2198" s="10"/>
      <c r="OAB2198" s="10"/>
      <c r="OAC2198" s="10"/>
      <c r="OAD2198" s="10"/>
      <c r="OAE2198" s="10"/>
      <c r="OAF2198" s="10"/>
      <c r="OAG2198" s="10"/>
      <c r="OAH2198" s="10"/>
      <c r="OAI2198" s="10"/>
      <c r="OAJ2198" s="10"/>
      <c r="OAK2198" s="10"/>
      <c r="OAL2198" s="10"/>
      <c r="OAM2198" s="10"/>
      <c r="OAN2198" s="10"/>
      <c r="OAO2198" s="10"/>
      <c r="OAP2198" s="10"/>
      <c r="OAQ2198" s="10"/>
      <c r="OAR2198" s="10"/>
      <c r="OAS2198" s="10"/>
      <c r="OAT2198" s="10"/>
      <c r="OAU2198" s="10"/>
      <c r="OAV2198" s="10"/>
      <c r="OAW2198" s="10"/>
      <c r="OAX2198" s="10"/>
      <c r="OAY2198" s="10"/>
      <c r="OAZ2198" s="10"/>
      <c r="OBA2198" s="10"/>
      <c r="OBB2198" s="10"/>
      <c r="OBC2198" s="10"/>
      <c r="OBD2198" s="10"/>
      <c r="OBE2198" s="10"/>
      <c r="OBF2198" s="10"/>
      <c r="OBG2198" s="10"/>
      <c r="OBH2198" s="10"/>
      <c r="OBI2198" s="10"/>
      <c r="OBJ2198" s="10"/>
      <c r="OBK2198" s="10"/>
      <c r="OBL2198" s="10"/>
      <c r="OBM2198" s="10"/>
      <c r="OBN2198" s="10"/>
      <c r="OBO2198" s="10"/>
      <c r="OBP2198" s="10"/>
      <c r="OBQ2198" s="10"/>
      <c r="OBR2198" s="10"/>
      <c r="OBS2198" s="10"/>
      <c r="OBT2198" s="10"/>
      <c r="OBU2198" s="10"/>
      <c r="OBV2198" s="10"/>
      <c r="OBW2198" s="10"/>
      <c r="OBX2198" s="10"/>
      <c r="OBY2198" s="10"/>
      <c r="OBZ2198" s="10"/>
      <c r="OCA2198" s="10"/>
      <c r="OCB2198" s="10"/>
      <c r="OCC2198" s="10"/>
      <c r="OCD2198" s="10"/>
      <c r="OCE2198" s="10"/>
      <c r="OCF2198" s="10"/>
      <c r="OCG2198" s="10"/>
      <c r="OCH2198" s="10"/>
      <c r="OCI2198" s="10"/>
      <c r="OCJ2198" s="10"/>
      <c r="OCK2198" s="10"/>
      <c r="OCL2198" s="10"/>
      <c r="OCM2198" s="10"/>
      <c r="OCN2198" s="10"/>
      <c r="OCO2198" s="10"/>
      <c r="OCP2198" s="10"/>
      <c r="OCQ2198" s="10"/>
      <c r="OCR2198" s="10"/>
      <c r="OCS2198" s="10"/>
      <c r="OCT2198" s="10"/>
      <c r="OCU2198" s="10"/>
      <c r="OCV2198" s="10"/>
      <c r="OCW2198" s="10"/>
      <c r="OCX2198" s="10"/>
      <c r="OCY2198" s="10"/>
      <c r="OCZ2198" s="10"/>
      <c r="ODA2198" s="10"/>
      <c r="ODB2198" s="10"/>
      <c r="ODC2198" s="10"/>
      <c r="ODD2198" s="10"/>
      <c r="ODE2198" s="10"/>
      <c r="ODF2198" s="10"/>
      <c r="ODG2198" s="10"/>
      <c r="ODH2198" s="10"/>
      <c r="ODI2198" s="10"/>
      <c r="ODJ2198" s="10"/>
      <c r="ODK2198" s="10"/>
      <c r="ODL2198" s="10"/>
      <c r="ODM2198" s="10"/>
      <c r="ODN2198" s="10"/>
      <c r="ODO2198" s="10"/>
      <c r="ODP2198" s="10"/>
      <c r="ODQ2198" s="10"/>
      <c r="ODR2198" s="10"/>
      <c r="ODS2198" s="10"/>
      <c r="ODT2198" s="10"/>
      <c r="ODU2198" s="10"/>
      <c r="ODV2198" s="10"/>
      <c r="ODW2198" s="10"/>
      <c r="ODX2198" s="10"/>
      <c r="ODY2198" s="10"/>
      <c r="ODZ2198" s="10"/>
      <c r="OEA2198" s="10"/>
      <c r="OEB2198" s="10"/>
      <c r="OEC2198" s="10"/>
      <c r="OED2198" s="10"/>
      <c r="OEE2198" s="10"/>
      <c r="OEF2198" s="10"/>
      <c r="OEG2198" s="10"/>
      <c r="OEH2198" s="10"/>
      <c r="OEI2198" s="10"/>
      <c r="OEJ2198" s="10"/>
      <c r="OEK2198" s="10"/>
      <c r="OEL2198" s="10"/>
      <c r="OEM2198" s="10"/>
      <c r="OEN2198" s="10"/>
      <c r="OEO2198" s="10"/>
      <c r="OEP2198" s="10"/>
      <c r="OEQ2198" s="10"/>
      <c r="OER2198" s="10"/>
      <c r="OES2198" s="10"/>
      <c r="OET2198" s="10"/>
      <c r="OEU2198" s="10"/>
      <c r="OEV2198" s="10"/>
      <c r="OEW2198" s="10"/>
      <c r="OEX2198" s="10"/>
      <c r="OEY2198" s="10"/>
      <c r="OEZ2198" s="10"/>
      <c r="OFA2198" s="10"/>
      <c r="OFB2198" s="10"/>
      <c r="OFC2198" s="10"/>
      <c r="OFD2198" s="10"/>
      <c r="OFE2198" s="10"/>
      <c r="OFF2198" s="10"/>
      <c r="OFG2198" s="10"/>
      <c r="OFH2198" s="10"/>
      <c r="OFI2198" s="10"/>
      <c r="OFJ2198" s="10"/>
      <c r="OFK2198" s="10"/>
      <c r="OFL2198" s="10"/>
      <c r="OFM2198" s="10"/>
      <c r="OFN2198" s="10"/>
      <c r="OFO2198" s="10"/>
      <c r="OFP2198" s="10"/>
      <c r="OFQ2198" s="10"/>
      <c r="OFR2198" s="10"/>
      <c r="OFS2198" s="10"/>
      <c r="OFT2198" s="10"/>
      <c r="OFU2198" s="10"/>
      <c r="OFV2198" s="10"/>
      <c r="OFW2198" s="10"/>
      <c r="OFX2198" s="10"/>
      <c r="OFY2198" s="10"/>
      <c r="OFZ2198" s="10"/>
      <c r="OGA2198" s="10"/>
      <c r="OGB2198" s="10"/>
      <c r="OGC2198" s="10"/>
      <c r="OGD2198" s="10"/>
      <c r="OGE2198" s="10"/>
      <c r="OGF2198" s="10"/>
      <c r="OGG2198" s="10"/>
      <c r="OGH2198" s="10"/>
      <c r="OGI2198" s="10"/>
      <c r="OGJ2198" s="10"/>
      <c r="OGK2198" s="10"/>
      <c r="OGL2198" s="10"/>
      <c r="OGM2198" s="10"/>
      <c r="OGN2198" s="10"/>
      <c r="OGO2198" s="10"/>
      <c r="OGP2198" s="10"/>
      <c r="OGQ2198" s="10"/>
      <c r="OGR2198" s="10"/>
      <c r="OGS2198" s="10"/>
      <c r="OGT2198" s="10"/>
      <c r="OGU2198" s="10"/>
      <c r="OGV2198" s="10"/>
      <c r="OGW2198" s="10"/>
      <c r="OGX2198" s="10"/>
      <c r="OGY2198" s="10"/>
      <c r="OGZ2198" s="10"/>
      <c r="OHA2198" s="10"/>
      <c r="OHB2198" s="10"/>
      <c r="OHC2198" s="10"/>
      <c r="OHD2198" s="10"/>
      <c r="OHE2198" s="10"/>
      <c r="OHF2198" s="10"/>
      <c r="OHG2198" s="10"/>
      <c r="OHH2198" s="10"/>
      <c r="OHI2198" s="10"/>
      <c r="OHJ2198" s="10"/>
      <c r="OHK2198" s="10"/>
      <c r="OHL2198" s="10"/>
      <c r="OHM2198" s="10"/>
      <c r="OHN2198" s="10"/>
      <c r="OHO2198" s="10"/>
      <c r="OHP2198" s="10"/>
      <c r="OHQ2198" s="10"/>
      <c r="OHR2198" s="10"/>
      <c r="OHS2198" s="10"/>
      <c r="OHT2198" s="10"/>
      <c r="OHU2198" s="10"/>
      <c r="OHV2198" s="10"/>
      <c r="OHW2198" s="10"/>
      <c r="OHX2198" s="10"/>
      <c r="OHY2198" s="10"/>
      <c r="OHZ2198" s="10"/>
      <c r="OIA2198" s="10"/>
      <c r="OIB2198" s="10"/>
      <c r="OIC2198" s="10"/>
      <c r="OID2198" s="10"/>
      <c r="OIE2198" s="10"/>
      <c r="OIF2198" s="10"/>
      <c r="OIG2198" s="10"/>
      <c r="OIH2198" s="10"/>
      <c r="OII2198" s="10"/>
      <c r="OIJ2198" s="10"/>
      <c r="OIK2198" s="10"/>
      <c r="OIL2198" s="10"/>
      <c r="OIM2198" s="10"/>
      <c r="OIN2198" s="10"/>
      <c r="OIO2198" s="10"/>
      <c r="OIP2198" s="10"/>
      <c r="OIQ2198" s="10"/>
      <c r="OIR2198" s="10"/>
      <c r="OIS2198" s="10"/>
      <c r="OIT2198" s="10"/>
      <c r="OIU2198" s="10"/>
      <c r="OIV2198" s="10"/>
      <c r="OIW2198" s="10"/>
      <c r="OIX2198" s="10"/>
      <c r="OIY2198" s="10"/>
      <c r="OIZ2198" s="10"/>
      <c r="OJA2198" s="10"/>
      <c r="OJB2198" s="10"/>
      <c r="OJC2198" s="10"/>
      <c r="OJD2198" s="10"/>
      <c r="OJE2198" s="10"/>
      <c r="OJF2198" s="10"/>
      <c r="OJG2198" s="10"/>
      <c r="OJH2198" s="10"/>
      <c r="OJI2198" s="10"/>
      <c r="OJJ2198" s="10"/>
      <c r="OJK2198" s="10"/>
      <c r="OJL2198" s="10"/>
      <c r="OJM2198" s="10"/>
      <c r="OJN2198" s="10"/>
      <c r="OJO2198" s="10"/>
      <c r="OJP2198" s="10"/>
      <c r="OJQ2198" s="10"/>
      <c r="OJR2198" s="10"/>
      <c r="OJS2198" s="10"/>
      <c r="OJT2198" s="10"/>
      <c r="OJU2198" s="10"/>
      <c r="OJV2198" s="10"/>
      <c r="OJW2198" s="10"/>
      <c r="OJX2198" s="10"/>
      <c r="OJY2198" s="10"/>
      <c r="OJZ2198" s="10"/>
      <c r="OKA2198" s="10"/>
      <c r="OKB2198" s="10"/>
      <c r="OKC2198" s="10"/>
      <c r="OKD2198" s="10"/>
      <c r="OKE2198" s="10"/>
      <c r="OKF2198" s="10"/>
      <c r="OKG2198" s="10"/>
      <c r="OKH2198" s="10"/>
      <c r="OKI2198" s="10"/>
      <c r="OKJ2198" s="10"/>
      <c r="OKK2198" s="10"/>
      <c r="OKL2198" s="10"/>
      <c r="OKM2198" s="10"/>
      <c r="OKN2198" s="10"/>
      <c r="OKO2198" s="10"/>
      <c r="OKP2198" s="10"/>
      <c r="OKQ2198" s="10"/>
      <c r="OKR2198" s="10"/>
      <c r="OKS2198" s="10"/>
      <c r="OKT2198" s="10"/>
      <c r="OKU2198" s="10"/>
      <c r="OKV2198" s="10"/>
      <c r="OKW2198" s="10"/>
      <c r="OKX2198" s="10"/>
      <c r="OKY2198" s="10"/>
      <c r="OKZ2198" s="10"/>
      <c r="OLA2198" s="10"/>
      <c r="OLB2198" s="10"/>
      <c r="OLC2198" s="10"/>
      <c r="OLD2198" s="10"/>
      <c r="OLE2198" s="10"/>
      <c r="OLF2198" s="10"/>
      <c r="OLG2198" s="10"/>
      <c r="OLH2198" s="10"/>
      <c r="OLI2198" s="10"/>
      <c r="OLJ2198" s="10"/>
      <c r="OLK2198" s="10"/>
      <c r="OLL2198" s="10"/>
      <c r="OLM2198" s="10"/>
      <c r="OLN2198" s="10"/>
      <c r="OLO2198" s="10"/>
      <c r="OLP2198" s="10"/>
      <c r="OLQ2198" s="10"/>
      <c r="OLR2198" s="10"/>
      <c r="OLS2198" s="10"/>
      <c r="OLT2198" s="10"/>
      <c r="OLU2198" s="10"/>
      <c r="OLV2198" s="10"/>
      <c r="OLW2198" s="10"/>
      <c r="OLX2198" s="10"/>
      <c r="OLY2198" s="10"/>
      <c r="OLZ2198" s="10"/>
      <c r="OMA2198" s="10"/>
      <c r="OMB2198" s="10"/>
      <c r="OMC2198" s="10"/>
      <c r="OMD2198" s="10"/>
      <c r="OME2198" s="10"/>
      <c r="OMF2198" s="10"/>
      <c r="OMG2198" s="10"/>
      <c r="OMH2198" s="10"/>
      <c r="OMI2198" s="10"/>
      <c r="OMJ2198" s="10"/>
      <c r="OMK2198" s="10"/>
      <c r="OML2198" s="10"/>
      <c r="OMM2198" s="10"/>
      <c r="OMN2198" s="10"/>
      <c r="OMO2198" s="10"/>
      <c r="OMP2198" s="10"/>
      <c r="OMQ2198" s="10"/>
      <c r="OMR2198" s="10"/>
      <c r="OMS2198" s="10"/>
      <c r="OMT2198" s="10"/>
      <c r="OMU2198" s="10"/>
      <c r="OMV2198" s="10"/>
      <c r="OMW2198" s="10"/>
      <c r="OMX2198" s="10"/>
      <c r="OMY2198" s="10"/>
      <c r="OMZ2198" s="10"/>
      <c r="ONA2198" s="10"/>
      <c r="ONB2198" s="10"/>
      <c r="ONC2198" s="10"/>
      <c r="OND2198" s="10"/>
      <c r="ONE2198" s="10"/>
      <c r="ONF2198" s="10"/>
      <c r="ONG2198" s="10"/>
      <c r="ONH2198" s="10"/>
      <c r="ONI2198" s="10"/>
      <c r="ONJ2198" s="10"/>
      <c r="ONK2198" s="10"/>
      <c r="ONL2198" s="10"/>
      <c r="ONM2198" s="10"/>
      <c r="ONN2198" s="10"/>
      <c r="ONO2198" s="10"/>
      <c r="ONP2198" s="10"/>
      <c r="ONQ2198" s="10"/>
      <c r="ONR2198" s="10"/>
      <c r="ONS2198" s="10"/>
      <c r="ONT2198" s="10"/>
      <c r="ONU2198" s="10"/>
      <c r="ONV2198" s="10"/>
      <c r="ONW2198" s="10"/>
      <c r="ONX2198" s="10"/>
      <c r="ONY2198" s="10"/>
      <c r="ONZ2198" s="10"/>
      <c r="OOA2198" s="10"/>
      <c r="OOB2198" s="10"/>
      <c r="OOC2198" s="10"/>
      <c r="OOD2198" s="10"/>
      <c r="OOE2198" s="10"/>
      <c r="OOF2198" s="10"/>
      <c r="OOG2198" s="10"/>
      <c r="OOH2198" s="10"/>
      <c r="OOI2198" s="10"/>
      <c r="OOJ2198" s="10"/>
      <c r="OOK2198" s="10"/>
      <c r="OOL2198" s="10"/>
      <c r="OOM2198" s="10"/>
      <c r="OON2198" s="10"/>
      <c r="OOO2198" s="10"/>
      <c r="OOP2198" s="10"/>
      <c r="OOQ2198" s="10"/>
      <c r="OOR2198" s="10"/>
      <c r="OOS2198" s="10"/>
      <c r="OOT2198" s="10"/>
      <c r="OOU2198" s="10"/>
      <c r="OOV2198" s="10"/>
      <c r="OOW2198" s="10"/>
      <c r="OOX2198" s="10"/>
      <c r="OOY2198" s="10"/>
      <c r="OOZ2198" s="10"/>
      <c r="OPA2198" s="10"/>
      <c r="OPB2198" s="10"/>
      <c r="OPC2198" s="10"/>
      <c r="OPD2198" s="10"/>
      <c r="OPE2198" s="10"/>
      <c r="OPF2198" s="10"/>
      <c r="OPG2198" s="10"/>
      <c r="OPH2198" s="10"/>
      <c r="OPI2198" s="10"/>
      <c r="OPJ2198" s="10"/>
      <c r="OPK2198" s="10"/>
      <c r="OPL2198" s="10"/>
      <c r="OPM2198" s="10"/>
      <c r="OPN2198" s="10"/>
      <c r="OPO2198" s="10"/>
      <c r="OPP2198" s="10"/>
      <c r="OPQ2198" s="10"/>
      <c r="OPR2198" s="10"/>
      <c r="OPS2198" s="10"/>
      <c r="OPT2198" s="10"/>
      <c r="OPU2198" s="10"/>
      <c r="OPV2198" s="10"/>
      <c r="OPW2198" s="10"/>
      <c r="OPX2198" s="10"/>
      <c r="OPY2198" s="10"/>
      <c r="OPZ2198" s="10"/>
      <c r="OQA2198" s="10"/>
      <c r="OQB2198" s="10"/>
      <c r="OQC2198" s="10"/>
      <c r="OQD2198" s="10"/>
      <c r="OQE2198" s="10"/>
      <c r="OQF2198" s="10"/>
      <c r="OQG2198" s="10"/>
      <c r="OQH2198" s="10"/>
      <c r="OQI2198" s="10"/>
      <c r="OQJ2198" s="10"/>
      <c r="OQK2198" s="10"/>
      <c r="OQL2198" s="10"/>
      <c r="OQM2198" s="10"/>
      <c r="OQN2198" s="10"/>
      <c r="OQO2198" s="10"/>
      <c r="OQP2198" s="10"/>
      <c r="OQQ2198" s="10"/>
      <c r="OQR2198" s="10"/>
      <c r="OQS2198" s="10"/>
      <c r="OQT2198" s="10"/>
      <c r="OQU2198" s="10"/>
      <c r="OQV2198" s="10"/>
      <c r="OQW2198" s="10"/>
      <c r="OQX2198" s="10"/>
      <c r="OQY2198" s="10"/>
      <c r="OQZ2198" s="10"/>
      <c r="ORA2198" s="10"/>
      <c r="ORB2198" s="10"/>
      <c r="ORC2198" s="10"/>
      <c r="ORD2198" s="10"/>
      <c r="ORE2198" s="10"/>
      <c r="ORF2198" s="10"/>
      <c r="ORG2198" s="10"/>
      <c r="ORH2198" s="10"/>
      <c r="ORI2198" s="10"/>
      <c r="ORJ2198" s="10"/>
      <c r="ORK2198" s="10"/>
      <c r="ORL2198" s="10"/>
      <c r="ORM2198" s="10"/>
      <c r="ORN2198" s="10"/>
      <c r="ORO2198" s="10"/>
      <c r="ORP2198" s="10"/>
      <c r="ORQ2198" s="10"/>
      <c r="ORR2198" s="10"/>
      <c r="ORS2198" s="10"/>
      <c r="ORT2198" s="10"/>
      <c r="ORU2198" s="10"/>
      <c r="ORV2198" s="10"/>
      <c r="ORW2198" s="10"/>
      <c r="ORX2198" s="10"/>
      <c r="ORY2198" s="10"/>
      <c r="ORZ2198" s="10"/>
      <c r="OSA2198" s="10"/>
      <c r="OSB2198" s="10"/>
      <c r="OSC2198" s="10"/>
      <c r="OSD2198" s="10"/>
      <c r="OSE2198" s="10"/>
      <c r="OSF2198" s="10"/>
      <c r="OSG2198" s="10"/>
      <c r="OSH2198" s="10"/>
      <c r="OSI2198" s="10"/>
      <c r="OSJ2198" s="10"/>
      <c r="OSK2198" s="10"/>
      <c r="OSL2198" s="10"/>
      <c r="OSM2198" s="10"/>
      <c r="OSN2198" s="10"/>
      <c r="OSO2198" s="10"/>
      <c r="OSP2198" s="10"/>
      <c r="OSQ2198" s="10"/>
      <c r="OSR2198" s="10"/>
      <c r="OSS2198" s="10"/>
      <c r="OST2198" s="10"/>
      <c r="OSU2198" s="10"/>
      <c r="OSV2198" s="10"/>
      <c r="OSW2198" s="10"/>
      <c r="OSX2198" s="10"/>
      <c r="OSY2198" s="10"/>
      <c r="OSZ2198" s="10"/>
      <c r="OTA2198" s="10"/>
      <c r="OTB2198" s="10"/>
      <c r="OTC2198" s="10"/>
      <c r="OTD2198" s="10"/>
      <c r="OTE2198" s="10"/>
      <c r="OTF2198" s="10"/>
      <c r="OTG2198" s="10"/>
      <c r="OTH2198" s="10"/>
      <c r="OTI2198" s="10"/>
      <c r="OTJ2198" s="10"/>
      <c r="OTK2198" s="10"/>
      <c r="OTL2198" s="10"/>
      <c r="OTM2198" s="10"/>
      <c r="OTN2198" s="10"/>
      <c r="OTO2198" s="10"/>
      <c r="OTP2198" s="10"/>
      <c r="OTQ2198" s="10"/>
      <c r="OTR2198" s="10"/>
      <c r="OTS2198" s="10"/>
      <c r="OTT2198" s="10"/>
      <c r="OTU2198" s="10"/>
      <c r="OTV2198" s="10"/>
      <c r="OTW2198" s="10"/>
      <c r="OTX2198" s="10"/>
      <c r="OTY2198" s="10"/>
      <c r="OTZ2198" s="10"/>
      <c r="OUA2198" s="10"/>
      <c r="OUB2198" s="10"/>
      <c r="OUC2198" s="10"/>
      <c r="OUD2198" s="10"/>
      <c r="OUE2198" s="10"/>
      <c r="OUF2198" s="10"/>
      <c r="OUG2198" s="10"/>
      <c r="OUH2198" s="10"/>
      <c r="OUI2198" s="10"/>
      <c r="OUJ2198" s="10"/>
      <c r="OUK2198" s="10"/>
      <c r="OUL2198" s="10"/>
      <c r="OUM2198" s="10"/>
      <c r="OUN2198" s="10"/>
      <c r="OUO2198" s="10"/>
      <c r="OUP2198" s="10"/>
      <c r="OUQ2198" s="10"/>
      <c r="OUR2198" s="10"/>
      <c r="OUS2198" s="10"/>
      <c r="OUT2198" s="10"/>
      <c r="OUU2198" s="10"/>
      <c r="OUV2198" s="10"/>
      <c r="OUW2198" s="10"/>
      <c r="OUX2198" s="10"/>
      <c r="OUY2198" s="10"/>
      <c r="OUZ2198" s="10"/>
      <c r="OVA2198" s="10"/>
      <c r="OVB2198" s="10"/>
      <c r="OVC2198" s="10"/>
      <c r="OVD2198" s="10"/>
      <c r="OVE2198" s="10"/>
      <c r="OVF2198" s="10"/>
      <c r="OVG2198" s="10"/>
      <c r="OVH2198" s="10"/>
      <c r="OVI2198" s="10"/>
      <c r="OVJ2198" s="10"/>
      <c r="OVK2198" s="10"/>
      <c r="OVL2198" s="10"/>
      <c r="OVM2198" s="10"/>
      <c r="OVN2198" s="10"/>
      <c r="OVO2198" s="10"/>
      <c r="OVP2198" s="10"/>
      <c r="OVQ2198" s="10"/>
      <c r="OVR2198" s="10"/>
      <c r="OVS2198" s="10"/>
      <c r="OVT2198" s="10"/>
      <c r="OVU2198" s="10"/>
      <c r="OVV2198" s="10"/>
      <c r="OVW2198" s="10"/>
      <c r="OVX2198" s="10"/>
      <c r="OVY2198" s="10"/>
      <c r="OVZ2198" s="10"/>
      <c r="OWA2198" s="10"/>
      <c r="OWB2198" s="10"/>
      <c r="OWC2198" s="10"/>
      <c r="OWD2198" s="10"/>
      <c r="OWE2198" s="10"/>
      <c r="OWF2198" s="10"/>
      <c r="OWG2198" s="10"/>
      <c r="OWH2198" s="10"/>
      <c r="OWI2198" s="10"/>
      <c r="OWJ2198" s="10"/>
      <c r="OWK2198" s="10"/>
      <c r="OWL2198" s="10"/>
      <c r="OWM2198" s="10"/>
      <c r="OWN2198" s="10"/>
      <c r="OWO2198" s="10"/>
      <c r="OWP2198" s="10"/>
      <c r="OWQ2198" s="10"/>
      <c r="OWR2198" s="10"/>
      <c r="OWS2198" s="10"/>
      <c r="OWT2198" s="10"/>
      <c r="OWU2198" s="10"/>
      <c r="OWV2198" s="10"/>
      <c r="OWW2198" s="10"/>
      <c r="OWX2198" s="10"/>
      <c r="OWY2198" s="10"/>
      <c r="OWZ2198" s="10"/>
      <c r="OXA2198" s="10"/>
      <c r="OXB2198" s="10"/>
      <c r="OXC2198" s="10"/>
      <c r="OXD2198" s="10"/>
      <c r="OXE2198" s="10"/>
      <c r="OXF2198" s="10"/>
      <c r="OXG2198" s="10"/>
      <c r="OXH2198" s="10"/>
      <c r="OXI2198" s="10"/>
      <c r="OXJ2198" s="10"/>
      <c r="OXK2198" s="10"/>
      <c r="OXL2198" s="10"/>
      <c r="OXM2198" s="10"/>
      <c r="OXN2198" s="10"/>
      <c r="OXO2198" s="10"/>
      <c r="OXP2198" s="10"/>
      <c r="OXQ2198" s="10"/>
      <c r="OXR2198" s="10"/>
      <c r="OXS2198" s="10"/>
      <c r="OXT2198" s="10"/>
      <c r="OXU2198" s="10"/>
      <c r="OXV2198" s="10"/>
      <c r="OXW2198" s="10"/>
      <c r="OXX2198" s="10"/>
      <c r="OXY2198" s="10"/>
      <c r="OXZ2198" s="10"/>
      <c r="OYA2198" s="10"/>
      <c r="OYB2198" s="10"/>
      <c r="OYC2198" s="10"/>
      <c r="OYD2198" s="10"/>
      <c r="OYE2198" s="10"/>
      <c r="OYF2198" s="10"/>
      <c r="OYG2198" s="10"/>
      <c r="OYH2198" s="10"/>
      <c r="OYI2198" s="10"/>
      <c r="OYJ2198" s="10"/>
      <c r="OYK2198" s="10"/>
      <c r="OYL2198" s="10"/>
      <c r="OYM2198" s="10"/>
      <c r="OYN2198" s="10"/>
      <c r="OYO2198" s="10"/>
      <c r="OYP2198" s="10"/>
      <c r="OYQ2198" s="10"/>
      <c r="OYR2198" s="10"/>
      <c r="OYS2198" s="10"/>
      <c r="OYT2198" s="10"/>
      <c r="OYU2198" s="10"/>
      <c r="OYV2198" s="10"/>
      <c r="OYW2198" s="10"/>
      <c r="OYX2198" s="10"/>
      <c r="OYY2198" s="10"/>
      <c r="OYZ2198" s="10"/>
      <c r="OZA2198" s="10"/>
      <c r="OZB2198" s="10"/>
      <c r="OZC2198" s="10"/>
      <c r="OZD2198" s="10"/>
      <c r="OZE2198" s="10"/>
      <c r="OZF2198" s="10"/>
      <c r="OZG2198" s="10"/>
      <c r="OZH2198" s="10"/>
      <c r="OZI2198" s="10"/>
      <c r="OZJ2198" s="10"/>
      <c r="OZK2198" s="10"/>
      <c r="OZL2198" s="10"/>
      <c r="OZM2198" s="10"/>
      <c r="OZN2198" s="10"/>
      <c r="OZO2198" s="10"/>
      <c r="OZP2198" s="10"/>
      <c r="OZQ2198" s="10"/>
      <c r="OZR2198" s="10"/>
      <c r="OZS2198" s="10"/>
      <c r="OZT2198" s="10"/>
      <c r="OZU2198" s="10"/>
      <c r="OZV2198" s="10"/>
      <c r="OZW2198" s="10"/>
      <c r="OZX2198" s="10"/>
      <c r="OZY2198" s="10"/>
      <c r="OZZ2198" s="10"/>
      <c r="PAA2198" s="10"/>
      <c r="PAB2198" s="10"/>
      <c r="PAC2198" s="10"/>
      <c r="PAD2198" s="10"/>
      <c r="PAE2198" s="10"/>
      <c r="PAF2198" s="10"/>
      <c r="PAG2198" s="10"/>
      <c r="PAH2198" s="10"/>
      <c r="PAI2198" s="10"/>
      <c r="PAJ2198" s="10"/>
      <c r="PAK2198" s="10"/>
      <c r="PAL2198" s="10"/>
      <c r="PAM2198" s="10"/>
      <c r="PAN2198" s="10"/>
      <c r="PAO2198" s="10"/>
      <c r="PAP2198" s="10"/>
      <c r="PAQ2198" s="10"/>
      <c r="PAR2198" s="10"/>
      <c r="PAS2198" s="10"/>
      <c r="PAT2198" s="10"/>
      <c r="PAU2198" s="10"/>
      <c r="PAV2198" s="10"/>
      <c r="PAW2198" s="10"/>
      <c r="PAX2198" s="10"/>
      <c r="PAY2198" s="10"/>
      <c r="PAZ2198" s="10"/>
      <c r="PBA2198" s="10"/>
      <c r="PBB2198" s="10"/>
      <c r="PBC2198" s="10"/>
      <c r="PBD2198" s="10"/>
      <c r="PBE2198" s="10"/>
      <c r="PBF2198" s="10"/>
      <c r="PBG2198" s="10"/>
      <c r="PBH2198" s="10"/>
      <c r="PBI2198" s="10"/>
      <c r="PBJ2198" s="10"/>
      <c r="PBK2198" s="10"/>
      <c r="PBL2198" s="10"/>
      <c r="PBM2198" s="10"/>
      <c r="PBN2198" s="10"/>
      <c r="PBO2198" s="10"/>
      <c r="PBP2198" s="10"/>
      <c r="PBQ2198" s="10"/>
      <c r="PBR2198" s="10"/>
      <c r="PBS2198" s="10"/>
      <c r="PBT2198" s="10"/>
      <c r="PBU2198" s="10"/>
      <c r="PBV2198" s="10"/>
      <c r="PBW2198" s="10"/>
      <c r="PBX2198" s="10"/>
      <c r="PBY2198" s="10"/>
      <c r="PBZ2198" s="10"/>
      <c r="PCA2198" s="10"/>
      <c r="PCB2198" s="10"/>
      <c r="PCC2198" s="10"/>
      <c r="PCD2198" s="10"/>
      <c r="PCE2198" s="10"/>
      <c r="PCF2198" s="10"/>
      <c r="PCG2198" s="10"/>
      <c r="PCH2198" s="10"/>
      <c r="PCI2198" s="10"/>
      <c r="PCJ2198" s="10"/>
      <c r="PCK2198" s="10"/>
      <c r="PCL2198" s="10"/>
      <c r="PCM2198" s="10"/>
      <c r="PCN2198" s="10"/>
      <c r="PCO2198" s="10"/>
      <c r="PCP2198" s="10"/>
      <c r="PCQ2198" s="10"/>
      <c r="PCR2198" s="10"/>
      <c r="PCS2198" s="10"/>
      <c r="PCT2198" s="10"/>
      <c r="PCU2198" s="10"/>
      <c r="PCV2198" s="10"/>
      <c r="PCW2198" s="10"/>
      <c r="PCX2198" s="10"/>
      <c r="PCY2198" s="10"/>
      <c r="PCZ2198" s="10"/>
      <c r="PDA2198" s="10"/>
      <c r="PDB2198" s="10"/>
      <c r="PDC2198" s="10"/>
      <c r="PDD2198" s="10"/>
      <c r="PDE2198" s="10"/>
      <c r="PDF2198" s="10"/>
      <c r="PDG2198" s="10"/>
      <c r="PDH2198" s="10"/>
      <c r="PDI2198" s="10"/>
      <c r="PDJ2198" s="10"/>
      <c r="PDK2198" s="10"/>
      <c r="PDL2198" s="10"/>
      <c r="PDM2198" s="10"/>
      <c r="PDN2198" s="10"/>
      <c r="PDO2198" s="10"/>
      <c r="PDP2198" s="10"/>
      <c r="PDQ2198" s="10"/>
      <c r="PDR2198" s="10"/>
      <c r="PDS2198" s="10"/>
      <c r="PDT2198" s="10"/>
      <c r="PDU2198" s="10"/>
      <c r="PDV2198" s="10"/>
      <c r="PDW2198" s="10"/>
      <c r="PDX2198" s="10"/>
      <c r="PDY2198" s="10"/>
      <c r="PDZ2198" s="10"/>
      <c r="PEA2198" s="10"/>
      <c r="PEB2198" s="10"/>
      <c r="PEC2198" s="10"/>
      <c r="PED2198" s="10"/>
      <c r="PEE2198" s="10"/>
      <c r="PEF2198" s="10"/>
      <c r="PEG2198" s="10"/>
      <c r="PEH2198" s="10"/>
      <c r="PEI2198" s="10"/>
      <c r="PEJ2198" s="10"/>
      <c r="PEK2198" s="10"/>
      <c r="PEL2198" s="10"/>
      <c r="PEM2198" s="10"/>
      <c r="PEN2198" s="10"/>
      <c r="PEO2198" s="10"/>
      <c r="PEP2198" s="10"/>
      <c r="PEQ2198" s="10"/>
      <c r="PER2198" s="10"/>
      <c r="PES2198" s="10"/>
      <c r="PET2198" s="10"/>
      <c r="PEU2198" s="10"/>
      <c r="PEV2198" s="10"/>
      <c r="PEW2198" s="10"/>
      <c r="PEX2198" s="10"/>
      <c r="PEY2198" s="10"/>
      <c r="PEZ2198" s="10"/>
      <c r="PFA2198" s="10"/>
      <c r="PFB2198" s="10"/>
      <c r="PFC2198" s="10"/>
      <c r="PFD2198" s="10"/>
      <c r="PFE2198" s="10"/>
      <c r="PFF2198" s="10"/>
      <c r="PFG2198" s="10"/>
      <c r="PFH2198" s="10"/>
      <c r="PFI2198" s="10"/>
      <c r="PFJ2198" s="10"/>
      <c r="PFK2198" s="10"/>
      <c r="PFL2198" s="10"/>
      <c r="PFM2198" s="10"/>
      <c r="PFN2198" s="10"/>
      <c r="PFO2198" s="10"/>
      <c r="PFP2198" s="10"/>
      <c r="PFQ2198" s="10"/>
      <c r="PFR2198" s="10"/>
      <c r="PFS2198" s="10"/>
      <c r="PFT2198" s="10"/>
      <c r="PFU2198" s="10"/>
      <c r="PFV2198" s="10"/>
      <c r="PFW2198" s="10"/>
      <c r="PFX2198" s="10"/>
      <c r="PFY2198" s="10"/>
      <c r="PFZ2198" s="10"/>
      <c r="PGA2198" s="10"/>
      <c r="PGB2198" s="10"/>
      <c r="PGC2198" s="10"/>
      <c r="PGD2198" s="10"/>
      <c r="PGE2198" s="10"/>
      <c r="PGF2198" s="10"/>
      <c r="PGG2198" s="10"/>
      <c r="PGH2198" s="10"/>
      <c r="PGI2198" s="10"/>
      <c r="PGJ2198" s="10"/>
      <c r="PGK2198" s="10"/>
      <c r="PGL2198" s="10"/>
      <c r="PGM2198" s="10"/>
      <c r="PGN2198" s="10"/>
      <c r="PGO2198" s="10"/>
      <c r="PGP2198" s="10"/>
      <c r="PGQ2198" s="10"/>
      <c r="PGR2198" s="10"/>
      <c r="PGS2198" s="10"/>
      <c r="PGT2198" s="10"/>
      <c r="PGU2198" s="10"/>
      <c r="PGV2198" s="10"/>
      <c r="PGW2198" s="10"/>
      <c r="PGX2198" s="10"/>
      <c r="PGY2198" s="10"/>
      <c r="PGZ2198" s="10"/>
      <c r="PHA2198" s="10"/>
      <c r="PHB2198" s="10"/>
      <c r="PHC2198" s="10"/>
      <c r="PHD2198" s="10"/>
      <c r="PHE2198" s="10"/>
      <c r="PHF2198" s="10"/>
      <c r="PHG2198" s="10"/>
      <c r="PHH2198" s="10"/>
      <c r="PHI2198" s="10"/>
      <c r="PHJ2198" s="10"/>
      <c r="PHK2198" s="10"/>
      <c r="PHL2198" s="10"/>
      <c r="PHM2198" s="10"/>
      <c r="PHN2198" s="10"/>
      <c r="PHO2198" s="10"/>
      <c r="PHP2198" s="10"/>
      <c r="PHQ2198" s="10"/>
      <c r="PHR2198" s="10"/>
      <c r="PHS2198" s="10"/>
      <c r="PHT2198" s="10"/>
      <c r="PHU2198" s="10"/>
      <c r="PHV2198" s="10"/>
      <c r="PHW2198" s="10"/>
      <c r="PHX2198" s="10"/>
      <c r="PHY2198" s="10"/>
      <c r="PHZ2198" s="10"/>
      <c r="PIA2198" s="10"/>
      <c r="PIB2198" s="10"/>
      <c r="PIC2198" s="10"/>
      <c r="PID2198" s="10"/>
      <c r="PIE2198" s="10"/>
      <c r="PIF2198" s="10"/>
      <c r="PIG2198" s="10"/>
      <c r="PIH2198" s="10"/>
      <c r="PII2198" s="10"/>
      <c r="PIJ2198" s="10"/>
      <c r="PIK2198" s="10"/>
      <c r="PIL2198" s="10"/>
      <c r="PIM2198" s="10"/>
      <c r="PIN2198" s="10"/>
      <c r="PIO2198" s="10"/>
      <c r="PIP2198" s="10"/>
      <c r="PIQ2198" s="10"/>
      <c r="PIR2198" s="10"/>
      <c r="PIS2198" s="10"/>
      <c r="PIT2198" s="10"/>
      <c r="PIU2198" s="10"/>
      <c r="PIV2198" s="10"/>
      <c r="PIW2198" s="10"/>
      <c r="PIX2198" s="10"/>
      <c r="PIY2198" s="10"/>
      <c r="PIZ2198" s="10"/>
      <c r="PJA2198" s="10"/>
      <c r="PJB2198" s="10"/>
      <c r="PJC2198" s="10"/>
      <c r="PJD2198" s="10"/>
      <c r="PJE2198" s="10"/>
      <c r="PJF2198" s="10"/>
      <c r="PJG2198" s="10"/>
      <c r="PJH2198" s="10"/>
      <c r="PJI2198" s="10"/>
      <c r="PJJ2198" s="10"/>
      <c r="PJK2198" s="10"/>
      <c r="PJL2198" s="10"/>
      <c r="PJM2198" s="10"/>
      <c r="PJN2198" s="10"/>
      <c r="PJO2198" s="10"/>
      <c r="PJP2198" s="10"/>
      <c r="PJQ2198" s="10"/>
      <c r="PJR2198" s="10"/>
      <c r="PJS2198" s="10"/>
      <c r="PJT2198" s="10"/>
      <c r="PJU2198" s="10"/>
      <c r="PJV2198" s="10"/>
      <c r="PJW2198" s="10"/>
      <c r="PJX2198" s="10"/>
      <c r="PJY2198" s="10"/>
      <c r="PJZ2198" s="10"/>
      <c r="PKA2198" s="10"/>
      <c r="PKB2198" s="10"/>
      <c r="PKC2198" s="10"/>
      <c r="PKD2198" s="10"/>
      <c r="PKE2198" s="10"/>
      <c r="PKF2198" s="10"/>
      <c r="PKG2198" s="10"/>
      <c r="PKH2198" s="10"/>
      <c r="PKI2198" s="10"/>
      <c r="PKJ2198" s="10"/>
      <c r="PKK2198" s="10"/>
      <c r="PKL2198" s="10"/>
      <c r="PKM2198" s="10"/>
      <c r="PKN2198" s="10"/>
      <c r="PKO2198" s="10"/>
      <c r="PKP2198" s="10"/>
      <c r="PKQ2198" s="10"/>
      <c r="PKR2198" s="10"/>
      <c r="PKS2198" s="10"/>
      <c r="PKT2198" s="10"/>
      <c r="PKU2198" s="10"/>
      <c r="PKV2198" s="10"/>
      <c r="PKW2198" s="10"/>
      <c r="PKX2198" s="10"/>
      <c r="PKY2198" s="10"/>
      <c r="PKZ2198" s="10"/>
      <c r="PLA2198" s="10"/>
      <c r="PLB2198" s="10"/>
      <c r="PLC2198" s="10"/>
      <c r="PLD2198" s="10"/>
      <c r="PLE2198" s="10"/>
      <c r="PLF2198" s="10"/>
      <c r="PLG2198" s="10"/>
      <c r="PLH2198" s="10"/>
      <c r="PLI2198" s="10"/>
      <c r="PLJ2198" s="10"/>
      <c r="PLK2198" s="10"/>
      <c r="PLL2198" s="10"/>
      <c r="PLM2198" s="10"/>
      <c r="PLN2198" s="10"/>
      <c r="PLO2198" s="10"/>
      <c r="PLP2198" s="10"/>
      <c r="PLQ2198" s="10"/>
      <c r="PLR2198" s="10"/>
      <c r="PLS2198" s="10"/>
      <c r="PLT2198" s="10"/>
      <c r="PLU2198" s="10"/>
      <c r="PLV2198" s="10"/>
      <c r="PLW2198" s="10"/>
      <c r="PLX2198" s="10"/>
      <c r="PLY2198" s="10"/>
      <c r="PLZ2198" s="10"/>
      <c r="PMA2198" s="10"/>
      <c r="PMB2198" s="10"/>
      <c r="PMC2198" s="10"/>
      <c r="PMD2198" s="10"/>
      <c r="PME2198" s="10"/>
      <c r="PMF2198" s="10"/>
      <c r="PMG2198" s="10"/>
      <c r="PMH2198" s="10"/>
      <c r="PMI2198" s="10"/>
      <c r="PMJ2198" s="10"/>
      <c r="PMK2198" s="10"/>
      <c r="PML2198" s="10"/>
      <c r="PMM2198" s="10"/>
      <c r="PMN2198" s="10"/>
      <c r="PMO2198" s="10"/>
      <c r="PMP2198" s="10"/>
      <c r="PMQ2198" s="10"/>
      <c r="PMR2198" s="10"/>
      <c r="PMS2198" s="10"/>
      <c r="PMT2198" s="10"/>
      <c r="PMU2198" s="10"/>
      <c r="PMV2198" s="10"/>
      <c r="PMW2198" s="10"/>
      <c r="PMX2198" s="10"/>
      <c r="PMY2198" s="10"/>
      <c r="PMZ2198" s="10"/>
      <c r="PNA2198" s="10"/>
      <c r="PNB2198" s="10"/>
      <c r="PNC2198" s="10"/>
      <c r="PND2198" s="10"/>
      <c r="PNE2198" s="10"/>
      <c r="PNF2198" s="10"/>
      <c r="PNG2198" s="10"/>
      <c r="PNH2198" s="10"/>
      <c r="PNI2198" s="10"/>
      <c r="PNJ2198" s="10"/>
      <c r="PNK2198" s="10"/>
      <c r="PNL2198" s="10"/>
      <c r="PNM2198" s="10"/>
      <c r="PNN2198" s="10"/>
      <c r="PNO2198" s="10"/>
      <c r="PNP2198" s="10"/>
      <c r="PNQ2198" s="10"/>
      <c r="PNR2198" s="10"/>
      <c r="PNS2198" s="10"/>
      <c r="PNT2198" s="10"/>
      <c r="PNU2198" s="10"/>
      <c r="PNV2198" s="10"/>
      <c r="PNW2198" s="10"/>
      <c r="PNX2198" s="10"/>
      <c r="PNY2198" s="10"/>
      <c r="PNZ2198" s="10"/>
      <c r="POA2198" s="10"/>
      <c r="POB2198" s="10"/>
      <c r="POC2198" s="10"/>
      <c r="POD2198" s="10"/>
      <c r="POE2198" s="10"/>
      <c r="POF2198" s="10"/>
      <c r="POG2198" s="10"/>
      <c r="POH2198" s="10"/>
      <c r="POI2198" s="10"/>
      <c r="POJ2198" s="10"/>
      <c r="POK2198" s="10"/>
      <c r="POL2198" s="10"/>
      <c r="POM2198" s="10"/>
      <c r="PON2198" s="10"/>
      <c r="POO2198" s="10"/>
      <c r="POP2198" s="10"/>
      <c r="POQ2198" s="10"/>
      <c r="POR2198" s="10"/>
      <c r="POS2198" s="10"/>
      <c r="POT2198" s="10"/>
      <c r="POU2198" s="10"/>
      <c r="POV2198" s="10"/>
      <c r="POW2198" s="10"/>
      <c r="POX2198" s="10"/>
      <c r="POY2198" s="10"/>
      <c r="POZ2198" s="10"/>
      <c r="PPA2198" s="10"/>
      <c r="PPB2198" s="10"/>
      <c r="PPC2198" s="10"/>
      <c r="PPD2198" s="10"/>
      <c r="PPE2198" s="10"/>
      <c r="PPF2198" s="10"/>
      <c r="PPG2198" s="10"/>
      <c r="PPH2198" s="10"/>
      <c r="PPI2198" s="10"/>
      <c r="PPJ2198" s="10"/>
      <c r="PPK2198" s="10"/>
      <c r="PPL2198" s="10"/>
      <c r="PPM2198" s="10"/>
      <c r="PPN2198" s="10"/>
      <c r="PPO2198" s="10"/>
      <c r="PPP2198" s="10"/>
      <c r="PPQ2198" s="10"/>
      <c r="PPR2198" s="10"/>
      <c r="PPS2198" s="10"/>
      <c r="PPT2198" s="10"/>
      <c r="PPU2198" s="10"/>
      <c r="PPV2198" s="10"/>
      <c r="PPW2198" s="10"/>
      <c r="PPX2198" s="10"/>
      <c r="PPY2198" s="10"/>
      <c r="PPZ2198" s="10"/>
      <c r="PQA2198" s="10"/>
      <c r="PQB2198" s="10"/>
      <c r="PQC2198" s="10"/>
      <c r="PQD2198" s="10"/>
      <c r="PQE2198" s="10"/>
      <c r="PQF2198" s="10"/>
      <c r="PQG2198" s="10"/>
      <c r="PQH2198" s="10"/>
      <c r="PQI2198" s="10"/>
      <c r="PQJ2198" s="10"/>
      <c r="PQK2198" s="10"/>
      <c r="PQL2198" s="10"/>
      <c r="PQM2198" s="10"/>
      <c r="PQN2198" s="10"/>
      <c r="PQO2198" s="10"/>
      <c r="PQP2198" s="10"/>
      <c r="PQQ2198" s="10"/>
      <c r="PQR2198" s="10"/>
      <c r="PQS2198" s="10"/>
      <c r="PQT2198" s="10"/>
      <c r="PQU2198" s="10"/>
      <c r="PQV2198" s="10"/>
      <c r="PQW2198" s="10"/>
      <c r="PQX2198" s="10"/>
      <c r="PQY2198" s="10"/>
      <c r="PQZ2198" s="10"/>
      <c r="PRA2198" s="10"/>
      <c r="PRB2198" s="10"/>
      <c r="PRC2198" s="10"/>
      <c r="PRD2198" s="10"/>
      <c r="PRE2198" s="10"/>
      <c r="PRF2198" s="10"/>
      <c r="PRG2198" s="10"/>
      <c r="PRH2198" s="10"/>
      <c r="PRI2198" s="10"/>
      <c r="PRJ2198" s="10"/>
      <c r="PRK2198" s="10"/>
      <c r="PRL2198" s="10"/>
      <c r="PRM2198" s="10"/>
      <c r="PRN2198" s="10"/>
      <c r="PRO2198" s="10"/>
      <c r="PRP2198" s="10"/>
      <c r="PRQ2198" s="10"/>
      <c r="PRR2198" s="10"/>
      <c r="PRS2198" s="10"/>
      <c r="PRT2198" s="10"/>
      <c r="PRU2198" s="10"/>
      <c r="PRV2198" s="10"/>
      <c r="PRW2198" s="10"/>
      <c r="PRX2198" s="10"/>
      <c r="PRY2198" s="10"/>
      <c r="PRZ2198" s="10"/>
      <c r="PSA2198" s="10"/>
      <c r="PSB2198" s="10"/>
      <c r="PSC2198" s="10"/>
      <c r="PSD2198" s="10"/>
      <c r="PSE2198" s="10"/>
      <c r="PSF2198" s="10"/>
      <c r="PSG2198" s="10"/>
      <c r="PSH2198" s="10"/>
      <c r="PSI2198" s="10"/>
      <c r="PSJ2198" s="10"/>
      <c r="PSK2198" s="10"/>
      <c r="PSL2198" s="10"/>
      <c r="PSM2198" s="10"/>
      <c r="PSN2198" s="10"/>
      <c r="PSO2198" s="10"/>
      <c r="PSP2198" s="10"/>
      <c r="PSQ2198" s="10"/>
      <c r="PSR2198" s="10"/>
      <c r="PSS2198" s="10"/>
      <c r="PST2198" s="10"/>
      <c r="PSU2198" s="10"/>
      <c r="PSV2198" s="10"/>
      <c r="PSW2198" s="10"/>
      <c r="PSX2198" s="10"/>
      <c r="PSY2198" s="10"/>
      <c r="PSZ2198" s="10"/>
      <c r="PTA2198" s="10"/>
      <c r="PTB2198" s="10"/>
      <c r="PTC2198" s="10"/>
      <c r="PTD2198" s="10"/>
      <c r="PTE2198" s="10"/>
      <c r="PTF2198" s="10"/>
      <c r="PTG2198" s="10"/>
      <c r="PTH2198" s="10"/>
      <c r="PTI2198" s="10"/>
      <c r="PTJ2198" s="10"/>
      <c r="PTK2198" s="10"/>
      <c r="PTL2198" s="10"/>
      <c r="PTM2198" s="10"/>
      <c r="PTN2198" s="10"/>
      <c r="PTO2198" s="10"/>
      <c r="PTP2198" s="10"/>
      <c r="PTQ2198" s="10"/>
      <c r="PTR2198" s="10"/>
      <c r="PTS2198" s="10"/>
      <c r="PTT2198" s="10"/>
      <c r="PTU2198" s="10"/>
      <c r="PTV2198" s="10"/>
      <c r="PTW2198" s="10"/>
      <c r="PTX2198" s="10"/>
      <c r="PTY2198" s="10"/>
      <c r="PTZ2198" s="10"/>
      <c r="PUA2198" s="10"/>
      <c r="PUB2198" s="10"/>
      <c r="PUC2198" s="10"/>
      <c r="PUD2198" s="10"/>
      <c r="PUE2198" s="10"/>
      <c r="PUF2198" s="10"/>
      <c r="PUG2198" s="10"/>
      <c r="PUH2198" s="10"/>
      <c r="PUI2198" s="10"/>
      <c r="PUJ2198" s="10"/>
      <c r="PUK2198" s="10"/>
      <c r="PUL2198" s="10"/>
      <c r="PUM2198" s="10"/>
      <c r="PUN2198" s="10"/>
      <c r="PUO2198" s="10"/>
      <c r="PUP2198" s="10"/>
      <c r="PUQ2198" s="10"/>
      <c r="PUR2198" s="10"/>
      <c r="PUS2198" s="10"/>
      <c r="PUT2198" s="10"/>
      <c r="PUU2198" s="10"/>
      <c r="PUV2198" s="10"/>
      <c r="PUW2198" s="10"/>
      <c r="PUX2198" s="10"/>
      <c r="PUY2198" s="10"/>
      <c r="PUZ2198" s="10"/>
      <c r="PVA2198" s="10"/>
      <c r="PVB2198" s="10"/>
      <c r="PVC2198" s="10"/>
      <c r="PVD2198" s="10"/>
      <c r="PVE2198" s="10"/>
      <c r="PVF2198" s="10"/>
      <c r="PVG2198" s="10"/>
      <c r="PVH2198" s="10"/>
      <c r="PVI2198" s="10"/>
      <c r="PVJ2198" s="10"/>
      <c r="PVK2198" s="10"/>
      <c r="PVL2198" s="10"/>
      <c r="PVM2198" s="10"/>
      <c r="PVN2198" s="10"/>
      <c r="PVO2198" s="10"/>
      <c r="PVP2198" s="10"/>
      <c r="PVQ2198" s="10"/>
      <c r="PVR2198" s="10"/>
      <c r="PVS2198" s="10"/>
      <c r="PVT2198" s="10"/>
      <c r="PVU2198" s="10"/>
      <c r="PVV2198" s="10"/>
      <c r="PVW2198" s="10"/>
      <c r="PVX2198" s="10"/>
      <c r="PVY2198" s="10"/>
      <c r="PVZ2198" s="10"/>
      <c r="PWA2198" s="10"/>
      <c r="PWB2198" s="10"/>
      <c r="PWC2198" s="10"/>
      <c r="PWD2198" s="10"/>
      <c r="PWE2198" s="10"/>
      <c r="PWF2198" s="10"/>
      <c r="PWG2198" s="10"/>
      <c r="PWH2198" s="10"/>
      <c r="PWI2198" s="10"/>
      <c r="PWJ2198" s="10"/>
      <c r="PWK2198" s="10"/>
      <c r="PWL2198" s="10"/>
      <c r="PWM2198" s="10"/>
      <c r="PWN2198" s="10"/>
      <c r="PWO2198" s="10"/>
      <c r="PWP2198" s="10"/>
      <c r="PWQ2198" s="10"/>
      <c r="PWR2198" s="10"/>
      <c r="PWS2198" s="10"/>
      <c r="PWT2198" s="10"/>
      <c r="PWU2198" s="10"/>
      <c r="PWV2198" s="10"/>
      <c r="PWW2198" s="10"/>
      <c r="PWX2198" s="10"/>
      <c r="PWY2198" s="10"/>
      <c r="PWZ2198" s="10"/>
      <c r="PXA2198" s="10"/>
      <c r="PXB2198" s="10"/>
      <c r="PXC2198" s="10"/>
      <c r="PXD2198" s="10"/>
      <c r="PXE2198" s="10"/>
      <c r="PXF2198" s="10"/>
      <c r="PXG2198" s="10"/>
      <c r="PXH2198" s="10"/>
      <c r="PXI2198" s="10"/>
      <c r="PXJ2198" s="10"/>
      <c r="PXK2198" s="10"/>
      <c r="PXL2198" s="10"/>
      <c r="PXM2198" s="10"/>
      <c r="PXN2198" s="10"/>
      <c r="PXO2198" s="10"/>
      <c r="PXP2198" s="10"/>
      <c r="PXQ2198" s="10"/>
      <c r="PXR2198" s="10"/>
      <c r="PXS2198" s="10"/>
      <c r="PXT2198" s="10"/>
      <c r="PXU2198" s="10"/>
      <c r="PXV2198" s="10"/>
      <c r="PXW2198" s="10"/>
      <c r="PXX2198" s="10"/>
      <c r="PXY2198" s="10"/>
      <c r="PXZ2198" s="10"/>
      <c r="PYA2198" s="10"/>
      <c r="PYB2198" s="10"/>
      <c r="PYC2198" s="10"/>
      <c r="PYD2198" s="10"/>
      <c r="PYE2198" s="10"/>
      <c r="PYF2198" s="10"/>
      <c r="PYG2198" s="10"/>
      <c r="PYH2198" s="10"/>
      <c r="PYI2198" s="10"/>
      <c r="PYJ2198" s="10"/>
      <c r="PYK2198" s="10"/>
      <c r="PYL2198" s="10"/>
      <c r="PYM2198" s="10"/>
      <c r="PYN2198" s="10"/>
      <c r="PYO2198" s="10"/>
      <c r="PYP2198" s="10"/>
      <c r="PYQ2198" s="10"/>
      <c r="PYR2198" s="10"/>
      <c r="PYS2198" s="10"/>
      <c r="PYT2198" s="10"/>
      <c r="PYU2198" s="10"/>
      <c r="PYV2198" s="10"/>
      <c r="PYW2198" s="10"/>
      <c r="PYX2198" s="10"/>
      <c r="PYY2198" s="10"/>
      <c r="PYZ2198" s="10"/>
      <c r="PZA2198" s="10"/>
      <c r="PZB2198" s="10"/>
      <c r="PZC2198" s="10"/>
      <c r="PZD2198" s="10"/>
      <c r="PZE2198" s="10"/>
      <c r="PZF2198" s="10"/>
      <c r="PZG2198" s="10"/>
      <c r="PZH2198" s="10"/>
      <c r="PZI2198" s="10"/>
      <c r="PZJ2198" s="10"/>
      <c r="PZK2198" s="10"/>
      <c r="PZL2198" s="10"/>
      <c r="PZM2198" s="10"/>
      <c r="PZN2198" s="10"/>
      <c r="PZO2198" s="10"/>
      <c r="PZP2198" s="10"/>
      <c r="PZQ2198" s="10"/>
      <c r="PZR2198" s="10"/>
      <c r="PZS2198" s="10"/>
      <c r="PZT2198" s="10"/>
      <c r="PZU2198" s="10"/>
      <c r="PZV2198" s="10"/>
      <c r="PZW2198" s="10"/>
      <c r="PZX2198" s="10"/>
      <c r="PZY2198" s="10"/>
      <c r="PZZ2198" s="10"/>
      <c r="QAA2198" s="10"/>
      <c r="QAB2198" s="10"/>
      <c r="QAC2198" s="10"/>
      <c r="QAD2198" s="10"/>
      <c r="QAE2198" s="10"/>
      <c r="QAF2198" s="10"/>
      <c r="QAG2198" s="10"/>
      <c r="QAH2198" s="10"/>
      <c r="QAI2198" s="10"/>
      <c r="QAJ2198" s="10"/>
      <c r="QAK2198" s="10"/>
      <c r="QAL2198" s="10"/>
      <c r="QAM2198" s="10"/>
      <c r="QAN2198" s="10"/>
      <c r="QAO2198" s="10"/>
      <c r="QAP2198" s="10"/>
      <c r="QAQ2198" s="10"/>
      <c r="QAR2198" s="10"/>
      <c r="QAS2198" s="10"/>
      <c r="QAT2198" s="10"/>
      <c r="QAU2198" s="10"/>
      <c r="QAV2198" s="10"/>
      <c r="QAW2198" s="10"/>
      <c r="QAX2198" s="10"/>
      <c r="QAY2198" s="10"/>
      <c r="QAZ2198" s="10"/>
      <c r="QBA2198" s="10"/>
      <c r="QBB2198" s="10"/>
      <c r="QBC2198" s="10"/>
      <c r="QBD2198" s="10"/>
      <c r="QBE2198" s="10"/>
      <c r="QBF2198" s="10"/>
      <c r="QBG2198" s="10"/>
      <c r="QBH2198" s="10"/>
      <c r="QBI2198" s="10"/>
      <c r="QBJ2198" s="10"/>
      <c r="QBK2198" s="10"/>
      <c r="QBL2198" s="10"/>
      <c r="QBM2198" s="10"/>
      <c r="QBN2198" s="10"/>
      <c r="QBO2198" s="10"/>
      <c r="QBP2198" s="10"/>
      <c r="QBQ2198" s="10"/>
      <c r="QBR2198" s="10"/>
      <c r="QBS2198" s="10"/>
      <c r="QBT2198" s="10"/>
      <c r="QBU2198" s="10"/>
      <c r="QBV2198" s="10"/>
      <c r="QBW2198" s="10"/>
      <c r="QBX2198" s="10"/>
      <c r="QBY2198" s="10"/>
      <c r="QBZ2198" s="10"/>
      <c r="QCA2198" s="10"/>
      <c r="QCB2198" s="10"/>
      <c r="QCC2198" s="10"/>
      <c r="QCD2198" s="10"/>
      <c r="QCE2198" s="10"/>
      <c r="QCF2198" s="10"/>
      <c r="QCG2198" s="10"/>
      <c r="QCH2198" s="10"/>
      <c r="QCI2198" s="10"/>
      <c r="QCJ2198" s="10"/>
      <c r="QCK2198" s="10"/>
      <c r="QCL2198" s="10"/>
      <c r="QCM2198" s="10"/>
      <c r="QCN2198" s="10"/>
      <c r="QCO2198" s="10"/>
      <c r="QCP2198" s="10"/>
      <c r="QCQ2198" s="10"/>
      <c r="QCR2198" s="10"/>
      <c r="QCS2198" s="10"/>
      <c r="QCT2198" s="10"/>
      <c r="QCU2198" s="10"/>
      <c r="QCV2198" s="10"/>
      <c r="QCW2198" s="10"/>
      <c r="QCX2198" s="10"/>
      <c r="QCY2198" s="10"/>
      <c r="QCZ2198" s="10"/>
      <c r="QDA2198" s="10"/>
      <c r="QDB2198" s="10"/>
      <c r="QDC2198" s="10"/>
      <c r="QDD2198" s="10"/>
      <c r="QDE2198" s="10"/>
      <c r="QDF2198" s="10"/>
      <c r="QDG2198" s="10"/>
      <c r="QDH2198" s="10"/>
      <c r="QDI2198" s="10"/>
      <c r="QDJ2198" s="10"/>
      <c r="QDK2198" s="10"/>
      <c r="QDL2198" s="10"/>
      <c r="QDM2198" s="10"/>
      <c r="QDN2198" s="10"/>
      <c r="QDO2198" s="10"/>
      <c r="QDP2198" s="10"/>
      <c r="QDQ2198" s="10"/>
      <c r="QDR2198" s="10"/>
      <c r="QDS2198" s="10"/>
      <c r="QDT2198" s="10"/>
      <c r="QDU2198" s="10"/>
      <c r="QDV2198" s="10"/>
      <c r="QDW2198" s="10"/>
      <c r="QDX2198" s="10"/>
      <c r="QDY2198" s="10"/>
      <c r="QDZ2198" s="10"/>
      <c r="QEA2198" s="10"/>
      <c r="QEB2198" s="10"/>
      <c r="QEC2198" s="10"/>
      <c r="QED2198" s="10"/>
      <c r="QEE2198" s="10"/>
      <c r="QEF2198" s="10"/>
      <c r="QEG2198" s="10"/>
      <c r="QEH2198" s="10"/>
      <c r="QEI2198" s="10"/>
      <c r="QEJ2198" s="10"/>
      <c r="QEK2198" s="10"/>
      <c r="QEL2198" s="10"/>
      <c r="QEM2198" s="10"/>
      <c r="QEN2198" s="10"/>
      <c r="QEO2198" s="10"/>
      <c r="QEP2198" s="10"/>
      <c r="QEQ2198" s="10"/>
      <c r="QER2198" s="10"/>
      <c r="QES2198" s="10"/>
      <c r="QET2198" s="10"/>
      <c r="QEU2198" s="10"/>
      <c r="QEV2198" s="10"/>
      <c r="QEW2198" s="10"/>
      <c r="QEX2198" s="10"/>
      <c r="QEY2198" s="10"/>
      <c r="QEZ2198" s="10"/>
      <c r="QFA2198" s="10"/>
      <c r="QFB2198" s="10"/>
      <c r="QFC2198" s="10"/>
      <c r="QFD2198" s="10"/>
      <c r="QFE2198" s="10"/>
      <c r="QFF2198" s="10"/>
      <c r="QFG2198" s="10"/>
      <c r="QFH2198" s="10"/>
      <c r="QFI2198" s="10"/>
      <c r="QFJ2198" s="10"/>
      <c r="QFK2198" s="10"/>
      <c r="QFL2198" s="10"/>
      <c r="QFM2198" s="10"/>
      <c r="QFN2198" s="10"/>
      <c r="QFO2198" s="10"/>
      <c r="QFP2198" s="10"/>
      <c r="QFQ2198" s="10"/>
      <c r="QFR2198" s="10"/>
      <c r="QFS2198" s="10"/>
      <c r="QFT2198" s="10"/>
      <c r="QFU2198" s="10"/>
      <c r="QFV2198" s="10"/>
      <c r="QFW2198" s="10"/>
      <c r="QFX2198" s="10"/>
      <c r="QFY2198" s="10"/>
      <c r="QFZ2198" s="10"/>
      <c r="QGA2198" s="10"/>
      <c r="QGB2198" s="10"/>
      <c r="QGC2198" s="10"/>
      <c r="QGD2198" s="10"/>
      <c r="QGE2198" s="10"/>
      <c r="QGF2198" s="10"/>
      <c r="QGG2198" s="10"/>
      <c r="QGH2198" s="10"/>
      <c r="QGI2198" s="10"/>
      <c r="QGJ2198" s="10"/>
      <c r="QGK2198" s="10"/>
      <c r="QGL2198" s="10"/>
      <c r="QGM2198" s="10"/>
      <c r="QGN2198" s="10"/>
      <c r="QGO2198" s="10"/>
      <c r="QGP2198" s="10"/>
      <c r="QGQ2198" s="10"/>
      <c r="QGR2198" s="10"/>
      <c r="QGS2198" s="10"/>
      <c r="QGT2198" s="10"/>
      <c r="QGU2198" s="10"/>
      <c r="QGV2198" s="10"/>
      <c r="QGW2198" s="10"/>
      <c r="QGX2198" s="10"/>
      <c r="QGY2198" s="10"/>
      <c r="QGZ2198" s="10"/>
      <c r="QHA2198" s="10"/>
      <c r="QHB2198" s="10"/>
      <c r="QHC2198" s="10"/>
      <c r="QHD2198" s="10"/>
      <c r="QHE2198" s="10"/>
      <c r="QHF2198" s="10"/>
      <c r="QHG2198" s="10"/>
      <c r="QHH2198" s="10"/>
      <c r="QHI2198" s="10"/>
      <c r="QHJ2198" s="10"/>
      <c r="QHK2198" s="10"/>
      <c r="QHL2198" s="10"/>
      <c r="QHM2198" s="10"/>
      <c r="QHN2198" s="10"/>
      <c r="QHO2198" s="10"/>
      <c r="QHP2198" s="10"/>
      <c r="QHQ2198" s="10"/>
      <c r="QHR2198" s="10"/>
      <c r="QHS2198" s="10"/>
      <c r="QHT2198" s="10"/>
      <c r="QHU2198" s="10"/>
      <c r="QHV2198" s="10"/>
      <c r="QHW2198" s="10"/>
      <c r="QHX2198" s="10"/>
      <c r="QHY2198" s="10"/>
      <c r="QHZ2198" s="10"/>
      <c r="QIA2198" s="10"/>
      <c r="QIB2198" s="10"/>
      <c r="QIC2198" s="10"/>
      <c r="QID2198" s="10"/>
      <c r="QIE2198" s="10"/>
      <c r="QIF2198" s="10"/>
      <c r="QIG2198" s="10"/>
      <c r="QIH2198" s="10"/>
      <c r="QII2198" s="10"/>
      <c r="QIJ2198" s="10"/>
      <c r="QIK2198" s="10"/>
      <c r="QIL2198" s="10"/>
      <c r="QIM2198" s="10"/>
      <c r="QIN2198" s="10"/>
      <c r="QIO2198" s="10"/>
      <c r="QIP2198" s="10"/>
      <c r="QIQ2198" s="10"/>
      <c r="QIR2198" s="10"/>
      <c r="QIS2198" s="10"/>
      <c r="QIT2198" s="10"/>
      <c r="QIU2198" s="10"/>
      <c r="QIV2198" s="10"/>
      <c r="QIW2198" s="10"/>
      <c r="QIX2198" s="10"/>
      <c r="QIY2198" s="10"/>
      <c r="QIZ2198" s="10"/>
      <c r="QJA2198" s="10"/>
      <c r="QJB2198" s="10"/>
      <c r="QJC2198" s="10"/>
      <c r="QJD2198" s="10"/>
      <c r="QJE2198" s="10"/>
      <c r="QJF2198" s="10"/>
      <c r="QJG2198" s="10"/>
      <c r="QJH2198" s="10"/>
      <c r="QJI2198" s="10"/>
      <c r="QJJ2198" s="10"/>
      <c r="QJK2198" s="10"/>
      <c r="QJL2198" s="10"/>
      <c r="QJM2198" s="10"/>
      <c r="QJN2198" s="10"/>
      <c r="QJO2198" s="10"/>
      <c r="QJP2198" s="10"/>
      <c r="QJQ2198" s="10"/>
      <c r="QJR2198" s="10"/>
      <c r="QJS2198" s="10"/>
      <c r="QJT2198" s="10"/>
      <c r="QJU2198" s="10"/>
      <c r="QJV2198" s="10"/>
      <c r="QJW2198" s="10"/>
      <c r="QJX2198" s="10"/>
      <c r="QJY2198" s="10"/>
      <c r="QJZ2198" s="10"/>
      <c r="QKA2198" s="10"/>
      <c r="QKB2198" s="10"/>
      <c r="QKC2198" s="10"/>
      <c r="QKD2198" s="10"/>
      <c r="QKE2198" s="10"/>
      <c r="QKF2198" s="10"/>
      <c r="QKG2198" s="10"/>
      <c r="QKH2198" s="10"/>
      <c r="QKI2198" s="10"/>
      <c r="QKJ2198" s="10"/>
      <c r="QKK2198" s="10"/>
      <c r="QKL2198" s="10"/>
      <c r="QKM2198" s="10"/>
      <c r="QKN2198" s="10"/>
      <c r="QKO2198" s="10"/>
      <c r="QKP2198" s="10"/>
      <c r="QKQ2198" s="10"/>
      <c r="QKR2198" s="10"/>
      <c r="QKS2198" s="10"/>
      <c r="QKT2198" s="10"/>
      <c r="QKU2198" s="10"/>
      <c r="QKV2198" s="10"/>
      <c r="QKW2198" s="10"/>
      <c r="QKX2198" s="10"/>
      <c r="QKY2198" s="10"/>
      <c r="QKZ2198" s="10"/>
      <c r="QLA2198" s="10"/>
      <c r="QLB2198" s="10"/>
      <c r="QLC2198" s="10"/>
      <c r="QLD2198" s="10"/>
      <c r="QLE2198" s="10"/>
      <c r="QLF2198" s="10"/>
      <c r="QLG2198" s="10"/>
      <c r="QLH2198" s="10"/>
      <c r="QLI2198" s="10"/>
      <c r="QLJ2198" s="10"/>
      <c r="QLK2198" s="10"/>
      <c r="QLL2198" s="10"/>
      <c r="QLM2198" s="10"/>
      <c r="QLN2198" s="10"/>
      <c r="QLO2198" s="10"/>
      <c r="QLP2198" s="10"/>
      <c r="QLQ2198" s="10"/>
      <c r="QLR2198" s="10"/>
      <c r="QLS2198" s="10"/>
      <c r="QLT2198" s="10"/>
      <c r="QLU2198" s="10"/>
      <c r="QLV2198" s="10"/>
      <c r="QLW2198" s="10"/>
      <c r="QLX2198" s="10"/>
      <c r="QLY2198" s="10"/>
      <c r="QLZ2198" s="10"/>
      <c r="QMA2198" s="10"/>
      <c r="QMB2198" s="10"/>
      <c r="QMC2198" s="10"/>
      <c r="QMD2198" s="10"/>
      <c r="QME2198" s="10"/>
      <c r="QMF2198" s="10"/>
      <c r="QMG2198" s="10"/>
      <c r="QMH2198" s="10"/>
      <c r="QMI2198" s="10"/>
      <c r="QMJ2198" s="10"/>
      <c r="QMK2198" s="10"/>
      <c r="QML2198" s="10"/>
      <c r="QMM2198" s="10"/>
      <c r="QMN2198" s="10"/>
      <c r="QMO2198" s="10"/>
      <c r="QMP2198" s="10"/>
      <c r="QMQ2198" s="10"/>
      <c r="QMR2198" s="10"/>
      <c r="QMS2198" s="10"/>
      <c r="QMT2198" s="10"/>
      <c r="QMU2198" s="10"/>
      <c r="QMV2198" s="10"/>
      <c r="QMW2198" s="10"/>
      <c r="QMX2198" s="10"/>
      <c r="QMY2198" s="10"/>
      <c r="QMZ2198" s="10"/>
      <c r="QNA2198" s="10"/>
      <c r="QNB2198" s="10"/>
      <c r="QNC2198" s="10"/>
      <c r="QND2198" s="10"/>
      <c r="QNE2198" s="10"/>
      <c r="QNF2198" s="10"/>
      <c r="QNG2198" s="10"/>
      <c r="QNH2198" s="10"/>
      <c r="QNI2198" s="10"/>
      <c r="QNJ2198" s="10"/>
      <c r="QNK2198" s="10"/>
      <c r="QNL2198" s="10"/>
      <c r="QNM2198" s="10"/>
      <c r="QNN2198" s="10"/>
      <c r="QNO2198" s="10"/>
      <c r="QNP2198" s="10"/>
      <c r="QNQ2198" s="10"/>
      <c r="QNR2198" s="10"/>
      <c r="QNS2198" s="10"/>
      <c r="QNT2198" s="10"/>
      <c r="QNU2198" s="10"/>
      <c r="QNV2198" s="10"/>
      <c r="QNW2198" s="10"/>
      <c r="QNX2198" s="10"/>
      <c r="QNY2198" s="10"/>
      <c r="QNZ2198" s="10"/>
      <c r="QOA2198" s="10"/>
      <c r="QOB2198" s="10"/>
      <c r="QOC2198" s="10"/>
      <c r="QOD2198" s="10"/>
      <c r="QOE2198" s="10"/>
      <c r="QOF2198" s="10"/>
      <c r="QOG2198" s="10"/>
      <c r="QOH2198" s="10"/>
      <c r="QOI2198" s="10"/>
      <c r="QOJ2198" s="10"/>
      <c r="QOK2198" s="10"/>
      <c r="QOL2198" s="10"/>
      <c r="QOM2198" s="10"/>
      <c r="QON2198" s="10"/>
      <c r="QOO2198" s="10"/>
      <c r="QOP2198" s="10"/>
      <c r="QOQ2198" s="10"/>
      <c r="QOR2198" s="10"/>
      <c r="QOS2198" s="10"/>
      <c r="QOT2198" s="10"/>
      <c r="QOU2198" s="10"/>
      <c r="QOV2198" s="10"/>
      <c r="QOW2198" s="10"/>
      <c r="QOX2198" s="10"/>
      <c r="QOY2198" s="10"/>
      <c r="QOZ2198" s="10"/>
      <c r="QPA2198" s="10"/>
      <c r="QPB2198" s="10"/>
      <c r="QPC2198" s="10"/>
      <c r="QPD2198" s="10"/>
      <c r="QPE2198" s="10"/>
      <c r="QPF2198" s="10"/>
      <c r="QPG2198" s="10"/>
      <c r="QPH2198" s="10"/>
      <c r="QPI2198" s="10"/>
      <c r="QPJ2198" s="10"/>
      <c r="QPK2198" s="10"/>
      <c r="QPL2198" s="10"/>
      <c r="QPM2198" s="10"/>
      <c r="QPN2198" s="10"/>
      <c r="QPO2198" s="10"/>
      <c r="QPP2198" s="10"/>
      <c r="QPQ2198" s="10"/>
      <c r="QPR2198" s="10"/>
      <c r="QPS2198" s="10"/>
      <c r="QPT2198" s="10"/>
      <c r="QPU2198" s="10"/>
      <c r="QPV2198" s="10"/>
      <c r="QPW2198" s="10"/>
      <c r="QPX2198" s="10"/>
      <c r="QPY2198" s="10"/>
      <c r="QPZ2198" s="10"/>
      <c r="QQA2198" s="10"/>
      <c r="QQB2198" s="10"/>
      <c r="QQC2198" s="10"/>
      <c r="QQD2198" s="10"/>
      <c r="QQE2198" s="10"/>
      <c r="QQF2198" s="10"/>
      <c r="QQG2198" s="10"/>
      <c r="QQH2198" s="10"/>
      <c r="QQI2198" s="10"/>
      <c r="QQJ2198" s="10"/>
      <c r="QQK2198" s="10"/>
      <c r="QQL2198" s="10"/>
      <c r="QQM2198" s="10"/>
      <c r="QQN2198" s="10"/>
      <c r="QQO2198" s="10"/>
      <c r="QQP2198" s="10"/>
      <c r="QQQ2198" s="10"/>
      <c r="QQR2198" s="10"/>
      <c r="QQS2198" s="10"/>
      <c r="QQT2198" s="10"/>
      <c r="QQU2198" s="10"/>
      <c r="QQV2198" s="10"/>
      <c r="QQW2198" s="10"/>
      <c r="QQX2198" s="10"/>
      <c r="QQY2198" s="10"/>
      <c r="QQZ2198" s="10"/>
      <c r="QRA2198" s="10"/>
      <c r="QRB2198" s="10"/>
      <c r="QRC2198" s="10"/>
      <c r="QRD2198" s="10"/>
      <c r="QRE2198" s="10"/>
      <c r="QRF2198" s="10"/>
      <c r="QRG2198" s="10"/>
      <c r="QRH2198" s="10"/>
      <c r="QRI2198" s="10"/>
      <c r="QRJ2198" s="10"/>
      <c r="QRK2198" s="10"/>
      <c r="QRL2198" s="10"/>
      <c r="QRM2198" s="10"/>
      <c r="QRN2198" s="10"/>
      <c r="QRO2198" s="10"/>
      <c r="QRP2198" s="10"/>
      <c r="QRQ2198" s="10"/>
      <c r="QRR2198" s="10"/>
      <c r="QRS2198" s="10"/>
      <c r="QRT2198" s="10"/>
      <c r="QRU2198" s="10"/>
      <c r="QRV2198" s="10"/>
      <c r="QRW2198" s="10"/>
      <c r="QRX2198" s="10"/>
      <c r="QRY2198" s="10"/>
      <c r="QRZ2198" s="10"/>
      <c r="QSA2198" s="10"/>
      <c r="QSB2198" s="10"/>
      <c r="QSC2198" s="10"/>
      <c r="QSD2198" s="10"/>
      <c r="QSE2198" s="10"/>
      <c r="QSF2198" s="10"/>
      <c r="QSG2198" s="10"/>
      <c r="QSH2198" s="10"/>
      <c r="QSI2198" s="10"/>
      <c r="QSJ2198" s="10"/>
      <c r="QSK2198" s="10"/>
      <c r="QSL2198" s="10"/>
      <c r="QSM2198" s="10"/>
      <c r="QSN2198" s="10"/>
      <c r="QSO2198" s="10"/>
      <c r="QSP2198" s="10"/>
      <c r="QSQ2198" s="10"/>
      <c r="QSR2198" s="10"/>
      <c r="QSS2198" s="10"/>
      <c r="QST2198" s="10"/>
      <c r="QSU2198" s="10"/>
      <c r="QSV2198" s="10"/>
      <c r="QSW2198" s="10"/>
      <c r="QSX2198" s="10"/>
      <c r="QSY2198" s="10"/>
      <c r="QSZ2198" s="10"/>
      <c r="QTA2198" s="10"/>
      <c r="QTB2198" s="10"/>
      <c r="QTC2198" s="10"/>
      <c r="QTD2198" s="10"/>
      <c r="QTE2198" s="10"/>
      <c r="QTF2198" s="10"/>
      <c r="QTG2198" s="10"/>
      <c r="QTH2198" s="10"/>
      <c r="QTI2198" s="10"/>
      <c r="QTJ2198" s="10"/>
      <c r="QTK2198" s="10"/>
      <c r="QTL2198" s="10"/>
      <c r="QTM2198" s="10"/>
      <c r="QTN2198" s="10"/>
      <c r="QTO2198" s="10"/>
      <c r="QTP2198" s="10"/>
      <c r="QTQ2198" s="10"/>
      <c r="QTR2198" s="10"/>
      <c r="QTS2198" s="10"/>
      <c r="QTT2198" s="10"/>
      <c r="QTU2198" s="10"/>
      <c r="QTV2198" s="10"/>
      <c r="QTW2198" s="10"/>
      <c r="QTX2198" s="10"/>
      <c r="QTY2198" s="10"/>
      <c r="QTZ2198" s="10"/>
      <c r="QUA2198" s="10"/>
      <c r="QUB2198" s="10"/>
      <c r="QUC2198" s="10"/>
      <c r="QUD2198" s="10"/>
      <c r="QUE2198" s="10"/>
      <c r="QUF2198" s="10"/>
      <c r="QUG2198" s="10"/>
      <c r="QUH2198" s="10"/>
      <c r="QUI2198" s="10"/>
      <c r="QUJ2198" s="10"/>
      <c r="QUK2198" s="10"/>
      <c r="QUL2198" s="10"/>
      <c r="QUM2198" s="10"/>
      <c r="QUN2198" s="10"/>
      <c r="QUO2198" s="10"/>
      <c r="QUP2198" s="10"/>
      <c r="QUQ2198" s="10"/>
      <c r="QUR2198" s="10"/>
      <c r="QUS2198" s="10"/>
      <c r="QUT2198" s="10"/>
      <c r="QUU2198" s="10"/>
      <c r="QUV2198" s="10"/>
      <c r="QUW2198" s="10"/>
      <c r="QUX2198" s="10"/>
      <c r="QUY2198" s="10"/>
      <c r="QUZ2198" s="10"/>
      <c r="QVA2198" s="10"/>
      <c r="QVB2198" s="10"/>
      <c r="QVC2198" s="10"/>
      <c r="QVD2198" s="10"/>
      <c r="QVE2198" s="10"/>
      <c r="QVF2198" s="10"/>
      <c r="QVG2198" s="10"/>
      <c r="QVH2198" s="10"/>
      <c r="QVI2198" s="10"/>
      <c r="QVJ2198" s="10"/>
      <c r="QVK2198" s="10"/>
      <c r="QVL2198" s="10"/>
      <c r="QVM2198" s="10"/>
      <c r="QVN2198" s="10"/>
      <c r="QVO2198" s="10"/>
      <c r="QVP2198" s="10"/>
      <c r="QVQ2198" s="10"/>
      <c r="QVR2198" s="10"/>
      <c r="QVS2198" s="10"/>
      <c r="QVT2198" s="10"/>
      <c r="QVU2198" s="10"/>
      <c r="QVV2198" s="10"/>
      <c r="QVW2198" s="10"/>
      <c r="QVX2198" s="10"/>
      <c r="QVY2198" s="10"/>
      <c r="QVZ2198" s="10"/>
      <c r="QWA2198" s="10"/>
      <c r="QWB2198" s="10"/>
      <c r="QWC2198" s="10"/>
      <c r="QWD2198" s="10"/>
      <c r="QWE2198" s="10"/>
      <c r="QWF2198" s="10"/>
      <c r="QWG2198" s="10"/>
      <c r="QWH2198" s="10"/>
      <c r="QWI2198" s="10"/>
      <c r="QWJ2198" s="10"/>
      <c r="QWK2198" s="10"/>
      <c r="QWL2198" s="10"/>
      <c r="QWM2198" s="10"/>
      <c r="QWN2198" s="10"/>
      <c r="QWO2198" s="10"/>
      <c r="QWP2198" s="10"/>
      <c r="QWQ2198" s="10"/>
      <c r="QWR2198" s="10"/>
      <c r="QWS2198" s="10"/>
      <c r="QWT2198" s="10"/>
      <c r="QWU2198" s="10"/>
      <c r="QWV2198" s="10"/>
      <c r="QWW2198" s="10"/>
      <c r="QWX2198" s="10"/>
      <c r="QWY2198" s="10"/>
      <c r="QWZ2198" s="10"/>
      <c r="QXA2198" s="10"/>
      <c r="QXB2198" s="10"/>
      <c r="QXC2198" s="10"/>
      <c r="QXD2198" s="10"/>
      <c r="QXE2198" s="10"/>
      <c r="QXF2198" s="10"/>
      <c r="QXG2198" s="10"/>
      <c r="QXH2198" s="10"/>
      <c r="QXI2198" s="10"/>
      <c r="QXJ2198" s="10"/>
      <c r="QXK2198" s="10"/>
      <c r="QXL2198" s="10"/>
      <c r="QXM2198" s="10"/>
      <c r="QXN2198" s="10"/>
      <c r="QXO2198" s="10"/>
      <c r="QXP2198" s="10"/>
      <c r="QXQ2198" s="10"/>
      <c r="QXR2198" s="10"/>
      <c r="QXS2198" s="10"/>
      <c r="QXT2198" s="10"/>
      <c r="QXU2198" s="10"/>
      <c r="QXV2198" s="10"/>
      <c r="QXW2198" s="10"/>
      <c r="QXX2198" s="10"/>
      <c r="QXY2198" s="10"/>
      <c r="QXZ2198" s="10"/>
      <c r="QYA2198" s="10"/>
      <c r="QYB2198" s="10"/>
      <c r="QYC2198" s="10"/>
      <c r="QYD2198" s="10"/>
      <c r="QYE2198" s="10"/>
      <c r="QYF2198" s="10"/>
      <c r="QYG2198" s="10"/>
      <c r="QYH2198" s="10"/>
      <c r="QYI2198" s="10"/>
      <c r="QYJ2198" s="10"/>
      <c r="QYK2198" s="10"/>
      <c r="QYL2198" s="10"/>
      <c r="QYM2198" s="10"/>
      <c r="QYN2198" s="10"/>
      <c r="QYO2198" s="10"/>
      <c r="QYP2198" s="10"/>
      <c r="QYQ2198" s="10"/>
      <c r="QYR2198" s="10"/>
      <c r="QYS2198" s="10"/>
      <c r="QYT2198" s="10"/>
      <c r="QYU2198" s="10"/>
      <c r="QYV2198" s="10"/>
      <c r="QYW2198" s="10"/>
      <c r="QYX2198" s="10"/>
      <c r="QYY2198" s="10"/>
      <c r="QYZ2198" s="10"/>
      <c r="QZA2198" s="10"/>
      <c r="QZB2198" s="10"/>
      <c r="QZC2198" s="10"/>
      <c r="QZD2198" s="10"/>
      <c r="QZE2198" s="10"/>
      <c r="QZF2198" s="10"/>
      <c r="QZG2198" s="10"/>
      <c r="QZH2198" s="10"/>
      <c r="QZI2198" s="10"/>
      <c r="QZJ2198" s="10"/>
      <c r="QZK2198" s="10"/>
      <c r="QZL2198" s="10"/>
      <c r="QZM2198" s="10"/>
      <c r="QZN2198" s="10"/>
      <c r="QZO2198" s="10"/>
      <c r="QZP2198" s="10"/>
      <c r="QZQ2198" s="10"/>
      <c r="QZR2198" s="10"/>
      <c r="QZS2198" s="10"/>
      <c r="QZT2198" s="10"/>
      <c r="QZU2198" s="10"/>
      <c r="QZV2198" s="10"/>
      <c r="QZW2198" s="10"/>
      <c r="QZX2198" s="10"/>
      <c r="QZY2198" s="10"/>
      <c r="QZZ2198" s="10"/>
      <c r="RAA2198" s="10"/>
      <c r="RAB2198" s="10"/>
      <c r="RAC2198" s="10"/>
      <c r="RAD2198" s="10"/>
      <c r="RAE2198" s="10"/>
      <c r="RAF2198" s="10"/>
      <c r="RAG2198" s="10"/>
      <c r="RAH2198" s="10"/>
      <c r="RAI2198" s="10"/>
      <c r="RAJ2198" s="10"/>
      <c r="RAK2198" s="10"/>
      <c r="RAL2198" s="10"/>
      <c r="RAM2198" s="10"/>
      <c r="RAN2198" s="10"/>
      <c r="RAO2198" s="10"/>
      <c r="RAP2198" s="10"/>
      <c r="RAQ2198" s="10"/>
      <c r="RAR2198" s="10"/>
      <c r="RAS2198" s="10"/>
      <c r="RAT2198" s="10"/>
      <c r="RAU2198" s="10"/>
      <c r="RAV2198" s="10"/>
      <c r="RAW2198" s="10"/>
      <c r="RAX2198" s="10"/>
      <c r="RAY2198" s="10"/>
      <c r="RAZ2198" s="10"/>
      <c r="RBA2198" s="10"/>
      <c r="RBB2198" s="10"/>
      <c r="RBC2198" s="10"/>
      <c r="RBD2198" s="10"/>
      <c r="RBE2198" s="10"/>
      <c r="RBF2198" s="10"/>
      <c r="RBG2198" s="10"/>
      <c r="RBH2198" s="10"/>
      <c r="RBI2198" s="10"/>
      <c r="RBJ2198" s="10"/>
      <c r="RBK2198" s="10"/>
      <c r="RBL2198" s="10"/>
      <c r="RBM2198" s="10"/>
      <c r="RBN2198" s="10"/>
      <c r="RBO2198" s="10"/>
      <c r="RBP2198" s="10"/>
      <c r="RBQ2198" s="10"/>
      <c r="RBR2198" s="10"/>
      <c r="RBS2198" s="10"/>
      <c r="RBT2198" s="10"/>
      <c r="RBU2198" s="10"/>
      <c r="RBV2198" s="10"/>
      <c r="RBW2198" s="10"/>
      <c r="RBX2198" s="10"/>
      <c r="RBY2198" s="10"/>
      <c r="RBZ2198" s="10"/>
      <c r="RCA2198" s="10"/>
      <c r="RCB2198" s="10"/>
      <c r="RCC2198" s="10"/>
      <c r="RCD2198" s="10"/>
      <c r="RCE2198" s="10"/>
      <c r="RCF2198" s="10"/>
      <c r="RCG2198" s="10"/>
      <c r="RCH2198" s="10"/>
      <c r="RCI2198" s="10"/>
      <c r="RCJ2198" s="10"/>
      <c r="RCK2198" s="10"/>
      <c r="RCL2198" s="10"/>
      <c r="RCM2198" s="10"/>
      <c r="RCN2198" s="10"/>
      <c r="RCO2198" s="10"/>
      <c r="RCP2198" s="10"/>
      <c r="RCQ2198" s="10"/>
      <c r="RCR2198" s="10"/>
      <c r="RCS2198" s="10"/>
      <c r="RCT2198" s="10"/>
      <c r="RCU2198" s="10"/>
      <c r="RCV2198" s="10"/>
      <c r="RCW2198" s="10"/>
      <c r="RCX2198" s="10"/>
      <c r="RCY2198" s="10"/>
      <c r="RCZ2198" s="10"/>
      <c r="RDA2198" s="10"/>
      <c r="RDB2198" s="10"/>
      <c r="RDC2198" s="10"/>
      <c r="RDD2198" s="10"/>
      <c r="RDE2198" s="10"/>
      <c r="RDF2198" s="10"/>
      <c r="RDG2198" s="10"/>
      <c r="RDH2198" s="10"/>
      <c r="RDI2198" s="10"/>
      <c r="RDJ2198" s="10"/>
      <c r="RDK2198" s="10"/>
      <c r="RDL2198" s="10"/>
      <c r="RDM2198" s="10"/>
      <c r="RDN2198" s="10"/>
      <c r="RDO2198" s="10"/>
      <c r="RDP2198" s="10"/>
      <c r="RDQ2198" s="10"/>
      <c r="RDR2198" s="10"/>
      <c r="RDS2198" s="10"/>
      <c r="RDT2198" s="10"/>
      <c r="RDU2198" s="10"/>
      <c r="RDV2198" s="10"/>
      <c r="RDW2198" s="10"/>
      <c r="RDX2198" s="10"/>
      <c r="RDY2198" s="10"/>
      <c r="RDZ2198" s="10"/>
      <c r="REA2198" s="10"/>
      <c r="REB2198" s="10"/>
      <c r="REC2198" s="10"/>
      <c r="RED2198" s="10"/>
      <c r="REE2198" s="10"/>
      <c r="REF2198" s="10"/>
      <c r="REG2198" s="10"/>
      <c r="REH2198" s="10"/>
      <c r="REI2198" s="10"/>
      <c r="REJ2198" s="10"/>
      <c r="REK2198" s="10"/>
      <c r="REL2198" s="10"/>
      <c r="REM2198" s="10"/>
      <c r="REN2198" s="10"/>
      <c r="REO2198" s="10"/>
      <c r="REP2198" s="10"/>
      <c r="REQ2198" s="10"/>
      <c r="RER2198" s="10"/>
      <c r="RES2198" s="10"/>
      <c r="RET2198" s="10"/>
      <c r="REU2198" s="10"/>
      <c r="REV2198" s="10"/>
      <c r="REW2198" s="10"/>
      <c r="REX2198" s="10"/>
      <c r="REY2198" s="10"/>
      <c r="REZ2198" s="10"/>
      <c r="RFA2198" s="10"/>
      <c r="RFB2198" s="10"/>
      <c r="RFC2198" s="10"/>
      <c r="RFD2198" s="10"/>
      <c r="RFE2198" s="10"/>
      <c r="RFF2198" s="10"/>
      <c r="RFG2198" s="10"/>
      <c r="RFH2198" s="10"/>
      <c r="RFI2198" s="10"/>
      <c r="RFJ2198" s="10"/>
      <c r="RFK2198" s="10"/>
      <c r="RFL2198" s="10"/>
      <c r="RFM2198" s="10"/>
      <c r="RFN2198" s="10"/>
      <c r="RFO2198" s="10"/>
      <c r="RFP2198" s="10"/>
      <c r="RFQ2198" s="10"/>
      <c r="RFR2198" s="10"/>
      <c r="RFS2198" s="10"/>
      <c r="RFT2198" s="10"/>
      <c r="RFU2198" s="10"/>
      <c r="RFV2198" s="10"/>
      <c r="RFW2198" s="10"/>
      <c r="RFX2198" s="10"/>
      <c r="RFY2198" s="10"/>
      <c r="RFZ2198" s="10"/>
      <c r="RGA2198" s="10"/>
      <c r="RGB2198" s="10"/>
      <c r="RGC2198" s="10"/>
      <c r="RGD2198" s="10"/>
      <c r="RGE2198" s="10"/>
      <c r="RGF2198" s="10"/>
      <c r="RGG2198" s="10"/>
      <c r="RGH2198" s="10"/>
      <c r="RGI2198" s="10"/>
      <c r="RGJ2198" s="10"/>
      <c r="RGK2198" s="10"/>
      <c r="RGL2198" s="10"/>
      <c r="RGM2198" s="10"/>
      <c r="RGN2198" s="10"/>
      <c r="RGO2198" s="10"/>
      <c r="RGP2198" s="10"/>
      <c r="RGQ2198" s="10"/>
      <c r="RGR2198" s="10"/>
      <c r="RGS2198" s="10"/>
      <c r="RGT2198" s="10"/>
      <c r="RGU2198" s="10"/>
      <c r="RGV2198" s="10"/>
      <c r="RGW2198" s="10"/>
      <c r="RGX2198" s="10"/>
      <c r="RGY2198" s="10"/>
      <c r="RGZ2198" s="10"/>
      <c r="RHA2198" s="10"/>
      <c r="RHB2198" s="10"/>
      <c r="RHC2198" s="10"/>
      <c r="RHD2198" s="10"/>
      <c r="RHE2198" s="10"/>
      <c r="RHF2198" s="10"/>
      <c r="RHG2198" s="10"/>
      <c r="RHH2198" s="10"/>
      <c r="RHI2198" s="10"/>
      <c r="RHJ2198" s="10"/>
      <c r="RHK2198" s="10"/>
      <c r="RHL2198" s="10"/>
      <c r="RHM2198" s="10"/>
      <c r="RHN2198" s="10"/>
      <c r="RHO2198" s="10"/>
      <c r="RHP2198" s="10"/>
      <c r="RHQ2198" s="10"/>
      <c r="RHR2198" s="10"/>
      <c r="RHS2198" s="10"/>
      <c r="RHT2198" s="10"/>
      <c r="RHU2198" s="10"/>
      <c r="RHV2198" s="10"/>
      <c r="RHW2198" s="10"/>
      <c r="RHX2198" s="10"/>
      <c r="RHY2198" s="10"/>
      <c r="RHZ2198" s="10"/>
      <c r="RIA2198" s="10"/>
      <c r="RIB2198" s="10"/>
      <c r="RIC2198" s="10"/>
      <c r="RID2198" s="10"/>
      <c r="RIE2198" s="10"/>
      <c r="RIF2198" s="10"/>
      <c r="RIG2198" s="10"/>
      <c r="RIH2198" s="10"/>
      <c r="RII2198" s="10"/>
      <c r="RIJ2198" s="10"/>
      <c r="RIK2198" s="10"/>
      <c r="RIL2198" s="10"/>
      <c r="RIM2198" s="10"/>
      <c r="RIN2198" s="10"/>
      <c r="RIO2198" s="10"/>
      <c r="RIP2198" s="10"/>
      <c r="RIQ2198" s="10"/>
      <c r="RIR2198" s="10"/>
      <c r="RIS2198" s="10"/>
      <c r="RIT2198" s="10"/>
      <c r="RIU2198" s="10"/>
      <c r="RIV2198" s="10"/>
      <c r="RIW2198" s="10"/>
      <c r="RIX2198" s="10"/>
      <c r="RIY2198" s="10"/>
      <c r="RIZ2198" s="10"/>
      <c r="RJA2198" s="10"/>
      <c r="RJB2198" s="10"/>
      <c r="RJC2198" s="10"/>
      <c r="RJD2198" s="10"/>
      <c r="RJE2198" s="10"/>
      <c r="RJF2198" s="10"/>
      <c r="RJG2198" s="10"/>
      <c r="RJH2198" s="10"/>
      <c r="RJI2198" s="10"/>
      <c r="RJJ2198" s="10"/>
      <c r="RJK2198" s="10"/>
      <c r="RJL2198" s="10"/>
      <c r="RJM2198" s="10"/>
      <c r="RJN2198" s="10"/>
      <c r="RJO2198" s="10"/>
      <c r="RJP2198" s="10"/>
      <c r="RJQ2198" s="10"/>
      <c r="RJR2198" s="10"/>
      <c r="RJS2198" s="10"/>
      <c r="RJT2198" s="10"/>
      <c r="RJU2198" s="10"/>
      <c r="RJV2198" s="10"/>
      <c r="RJW2198" s="10"/>
      <c r="RJX2198" s="10"/>
      <c r="RJY2198" s="10"/>
      <c r="RJZ2198" s="10"/>
      <c r="RKA2198" s="10"/>
      <c r="RKB2198" s="10"/>
      <c r="RKC2198" s="10"/>
      <c r="RKD2198" s="10"/>
      <c r="RKE2198" s="10"/>
      <c r="RKF2198" s="10"/>
      <c r="RKG2198" s="10"/>
      <c r="RKH2198" s="10"/>
      <c r="RKI2198" s="10"/>
      <c r="RKJ2198" s="10"/>
      <c r="RKK2198" s="10"/>
      <c r="RKL2198" s="10"/>
      <c r="RKM2198" s="10"/>
      <c r="RKN2198" s="10"/>
      <c r="RKO2198" s="10"/>
      <c r="RKP2198" s="10"/>
      <c r="RKQ2198" s="10"/>
      <c r="RKR2198" s="10"/>
      <c r="RKS2198" s="10"/>
      <c r="RKT2198" s="10"/>
      <c r="RKU2198" s="10"/>
      <c r="RKV2198" s="10"/>
      <c r="RKW2198" s="10"/>
      <c r="RKX2198" s="10"/>
      <c r="RKY2198" s="10"/>
      <c r="RKZ2198" s="10"/>
      <c r="RLA2198" s="10"/>
      <c r="RLB2198" s="10"/>
      <c r="RLC2198" s="10"/>
      <c r="RLD2198" s="10"/>
      <c r="RLE2198" s="10"/>
      <c r="RLF2198" s="10"/>
      <c r="RLG2198" s="10"/>
      <c r="RLH2198" s="10"/>
      <c r="RLI2198" s="10"/>
      <c r="RLJ2198" s="10"/>
      <c r="RLK2198" s="10"/>
      <c r="RLL2198" s="10"/>
      <c r="RLM2198" s="10"/>
      <c r="RLN2198" s="10"/>
      <c r="RLO2198" s="10"/>
      <c r="RLP2198" s="10"/>
      <c r="RLQ2198" s="10"/>
      <c r="RLR2198" s="10"/>
      <c r="RLS2198" s="10"/>
      <c r="RLT2198" s="10"/>
      <c r="RLU2198" s="10"/>
      <c r="RLV2198" s="10"/>
      <c r="RLW2198" s="10"/>
      <c r="RLX2198" s="10"/>
      <c r="RLY2198" s="10"/>
      <c r="RLZ2198" s="10"/>
      <c r="RMA2198" s="10"/>
      <c r="RMB2198" s="10"/>
      <c r="RMC2198" s="10"/>
      <c r="RMD2198" s="10"/>
      <c r="RME2198" s="10"/>
      <c r="RMF2198" s="10"/>
      <c r="RMG2198" s="10"/>
      <c r="RMH2198" s="10"/>
      <c r="RMI2198" s="10"/>
      <c r="RMJ2198" s="10"/>
      <c r="RMK2198" s="10"/>
      <c r="RML2198" s="10"/>
      <c r="RMM2198" s="10"/>
      <c r="RMN2198" s="10"/>
      <c r="RMO2198" s="10"/>
      <c r="RMP2198" s="10"/>
      <c r="RMQ2198" s="10"/>
      <c r="RMR2198" s="10"/>
      <c r="RMS2198" s="10"/>
      <c r="RMT2198" s="10"/>
      <c r="RMU2198" s="10"/>
      <c r="RMV2198" s="10"/>
      <c r="RMW2198" s="10"/>
      <c r="RMX2198" s="10"/>
      <c r="RMY2198" s="10"/>
      <c r="RMZ2198" s="10"/>
      <c r="RNA2198" s="10"/>
      <c r="RNB2198" s="10"/>
      <c r="RNC2198" s="10"/>
      <c r="RND2198" s="10"/>
      <c r="RNE2198" s="10"/>
      <c r="RNF2198" s="10"/>
      <c r="RNG2198" s="10"/>
      <c r="RNH2198" s="10"/>
      <c r="RNI2198" s="10"/>
      <c r="RNJ2198" s="10"/>
      <c r="RNK2198" s="10"/>
      <c r="RNL2198" s="10"/>
      <c r="RNM2198" s="10"/>
      <c r="RNN2198" s="10"/>
      <c r="RNO2198" s="10"/>
      <c r="RNP2198" s="10"/>
      <c r="RNQ2198" s="10"/>
      <c r="RNR2198" s="10"/>
      <c r="RNS2198" s="10"/>
      <c r="RNT2198" s="10"/>
      <c r="RNU2198" s="10"/>
      <c r="RNV2198" s="10"/>
      <c r="RNW2198" s="10"/>
      <c r="RNX2198" s="10"/>
      <c r="RNY2198" s="10"/>
      <c r="RNZ2198" s="10"/>
      <c r="ROA2198" s="10"/>
      <c r="ROB2198" s="10"/>
      <c r="ROC2198" s="10"/>
      <c r="ROD2198" s="10"/>
      <c r="ROE2198" s="10"/>
      <c r="ROF2198" s="10"/>
      <c r="ROG2198" s="10"/>
      <c r="ROH2198" s="10"/>
      <c r="ROI2198" s="10"/>
      <c r="ROJ2198" s="10"/>
      <c r="ROK2198" s="10"/>
      <c r="ROL2198" s="10"/>
      <c r="ROM2198" s="10"/>
      <c r="RON2198" s="10"/>
      <c r="ROO2198" s="10"/>
      <c r="ROP2198" s="10"/>
      <c r="ROQ2198" s="10"/>
      <c r="ROR2198" s="10"/>
      <c r="ROS2198" s="10"/>
      <c r="ROT2198" s="10"/>
      <c r="ROU2198" s="10"/>
      <c r="ROV2198" s="10"/>
      <c r="ROW2198" s="10"/>
      <c r="ROX2198" s="10"/>
      <c r="ROY2198" s="10"/>
      <c r="ROZ2198" s="10"/>
      <c r="RPA2198" s="10"/>
      <c r="RPB2198" s="10"/>
      <c r="RPC2198" s="10"/>
      <c r="RPD2198" s="10"/>
      <c r="RPE2198" s="10"/>
      <c r="RPF2198" s="10"/>
      <c r="RPG2198" s="10"/>
      <c r="RPH2198" s="10"/>
      <c r="RPI2198" s="10"/>
      <c r="RPJ2198" s="10"/>
      <c r="RPK2198" s="10"/>
      <c r="RPL2198" s="10"/>
      <c r="RPM2198" s="10"/>
      <c r="RPN2198" s="10"/>
      <c r="RPO2198" s="10"/>
      <c r="RPP2198" s="10"/>
      <c r="RPQ2198" s="10"/>
      <c r="RPR2198" s="10"/>
      <c r="RPS2198" s="10"/>
      <c r="RPT2198" s="10"/>
      <c r="RPU2198" s="10"/>
      <c r="RPV2198" s="10"/>
      <c r="RPW2198" s="10"/>
      <c r="RPX2198" s="10"/>
      <c r="RPY2198" s="10"/>
      <c r="RPZ2198" s="10"/>
      <c r="RQA2198" s="10"/>
      <c r="RQB2198" s="10"/>
      <c r="RQC2198" s="10"/>
      <c r="RQD2198" s="10"/>
      <c r="RQE2198" s="10"/>
      <c r="RQF2198" s="10"/>
      <c r="RQG2198" s="10"/>
      <c r="RQH2198" s="10"/>
      <c r="RQI2198" s="10"/>
      <c r="RQJ2198" s="10"/>
      <c r="RQK2198" s="10"/>
      <c r="RQL2198" s="10"/>
      <c r="RQM2198" s="10"/>
      <c r="RQN2198" s="10"/>
      <c r="RQO2198" s="10"/>
      <c r="RQP2198" s="10"/>
      <c r="RQQ2198" s="10"/>
      <c r="RQR2198" s="10"/>
      <c r="RQS2198" s="10"/>
      <c r="RQT2198" s="10"/>
      <c r="RQU2198" s="10"/>
      <c r="RQV2198" s="10"/>
      <c r="RQW2198" s="10"/>
      <c r="RQX2198" s="10"/>
      <c r="RQY2198" s="10"/>
      <c r="RQZ2198" s="10"/>
      <c r="RRA2198" s="10"/>
      <c r="RRB2198" s="10"/>
      <c r="RRC2198" s="10"/>
      <c r="RRD2198" s="10"/>
      <c r="RRE2198" s="10"/>
      <c r="RRF2198" s="10"/>
      <c r="RRG2198" s="10"/>
      <c r="RRH2198" s="10"/>
      <c r="RRI2198" s="10"/>
      <c r="RRJ2198" s="10"/>
      <c r="RRK2198" s="10"/>
      <c r="RRL2198" s="10"/>
      <c r="RRM2198" s="10"/>
      <c r="RRN2198" s="10"/>
      <c r="RRO2198" s="10"/>
      <c r="RRP2198" s="10"/>
      <c r="RRQ2198" s="10"/>
      <c r="RRR2198" s="10"/>
      <c r="RRS2198" s="10"/>
      <c r="RRT2198" s="10"/>
      <c r="RRU2198" s="10"/>
      <c r="RRV2198" s="10"/>
      <c r="RRW2198" s="10"/>
      <c r="RRX2198" s="10"/>
      <c r="RRY2198" s="10"/>
      <c r="RRZ2198" s="10"/>
      <c r="RSA2198" s="10"/>
      <c r="RSB2198" s="10"/>
      <c r="RSC2198" s="10"/>
      <c r="RSD2198" s="10"/>
      <c r="RSE2198" s="10"/>
      <c r="RSF2198" s="10"/>
      <c r="RSG2198" s="10"/>
      <c r="RSH2198" s="10"/>
      <c r="RSI2198" s="10"/>
      <c r="RSJ2198" s="10"/>
      <c r="RSK2198" s="10"/>
      <c r="RSL2198" s="10"/>
      <c r="RSM2198" s="10"/>
      <c r="RSN2198" s="10"/>
      <c r="RSO2198" s="10"/>
      <c r="RSP2198" s="10"/>
      <c r="RSQ2198" s="10"/>
      <c r="RSR2198" s="10"/>
      <c r="RSS2198" s="10"/>
      <c r="RST2198" s="10"/>
      <c r="RSU2198" s="10"/>
      <c r="RSV2198" s="10"/>
      <c r="RSW2198" s="10"/>
      <c r="RSX2198" s="10"/>
      <c r="RSY2198" s="10"/>
      <c r="RSZ2198" s="10"/>
      <c r="RTA2198" s="10"/>
      <c r="RTB2198" s="10"/>
      <c r="RTC2198" s="10"/>
      <c r="RTD2198" s="10"/>
      <c r="RTE2198" s="10"/>
      <c r="RTF2198" s="10"/>
      <c r="RTG2198" s="10"/>
      <c r="RTH2198" s="10"/>
      <c r="RTI2198" s="10"/>
      <c r="RTJ2198" s="10"/>
      <c r="RTK2198" s="10"/>
      <c r="RTL2198" s="10"/>
      <c r="RTM2198" s="10"/>
      <c r="RTN2198" s="10"/>
      <c r="RTO2198" s="10"/>
      <c r="RTP2198" s="10"/>
      <c r="RTQ2198" s="10"/>
      <c r="RTR2198" s="10"/>
      <c r="RTS2198" s="10"/>
      <c r="RTT2198" s="10"/>
      <c r="RTU2198" s="10"/>
      <c r="RTV2198" s="10"/>
      <c r="RTW2198" s="10"/>
      <c r="RTX2198" s="10"/>
      <c r="RTY2198" s="10"/>
      <c r="RTZ2198" s="10"/>
      <c r="RUA2198" s="10"/>
      <c r="RUB2198" s="10"/>
      <c r="RUC2198" s="10"/>
      <c r="RUD2198" s="10"/>
      <c r="RUE2198" s="10"/>
      <c r="RUF2198" s="10"/>
      <c r="RUG2198" s="10"/>
      <c r="RUH2198" s="10"/>
      <c r="RUI2198" s="10"/>
      <c r="RUJ2198" s="10"/>
      <c r="RUK2198" s="10"/>
      <c r="RUL2198" s="10"/>
      <c r="RUM2198" s="10"/>
      <c r="RUN2198" s="10"/>
      <c r="RUO2198" s="10"/>
      <c r="RUP2198" s="10"/>
      <c r="RUQ2198" s="10"/>
      <c r="RUR2198" s="10"/>
      <c r="RUS2198" s="10"/>
      <c r="RUT2198" s="10"/>
      <c r="RUU2198" s="10"/>
      <c r="RUV2198" s="10"/>
      <c r="RUW2198" s="10"/>
      <c r="RUX2198" s="10"/>
      <c r="RUY2198" s="10"/>
      <c r="RUZ2198" s="10"/>
      <c r="RVA2198" s="10"/>
      <c r="RVB2198" s="10"/>
      <c r="RVC2198" s="10"/>
      <c r="RVD2198" s="10"/>
      <c r="RVE2198" s="10"/>
      <c r="RVF2198" s="10"/>
      <c r="RVG2198" s="10"/>
      <c r="RVH2198" s="10"/>
      <c r="RVI2198" s="10"/>
      <c r="RVJ2198" s="10"/>
      <c r="RVK2198" s="10"/>
      <c r="RVL2198" s="10"/>
      <c r="RVM2198" s="10"/>
      <c r="RVN2198" s="10"/>
      <c r="RVO2198" s="10"/>
      <c r="RVP2198" s="10"/>
      <c r="RVQ2198" s="10"/>
      <c r="RVR2198" s="10"/>
      <c r="RVS2198" s="10"/>
      <c r="RVT2198" s="10"/>
      <c r="RVU2198" s="10"/>
      <c r="RVV2198" s="10"/>
      <c r="RVW2198" s="10"/>
      <c r="RVX2198" s="10"/>
      <c r="RVY2198" s="10"/>
      <c r="RVZ2198" s="10"/>
      <c r="RWA2198" s="10"/>
      <c r="RWB2198" s="10"/>
      <c r="RWC2198" s="10"/>
      <c r="RWD2198" s="10"/>
      <c r="RWE2198" s="10"/>
      <c r="RWF2198" s="10"/>
      <c r="RWG2198" s="10"/>
      <c r="RWH2198" s="10"/>
      <c r="RWI2198" s="10"/>
      <c r="RWJ2198" s="10"/>
      <c r="RWK2198" s="10"/>
      <c r="RWL2198" s="10"/>
      <c r="RWM2198" s="10"/>
      <c r="RWN2198" s="10"/>
      <c r="RWO2198" s="10"/>
      <c r="RWP2198" s="10"/>
      <c r="RWQ2198" s="10"/>
      <c r="RWR2198" s="10"/>
      <c r="RWS2198" s="10"/>
      <c r="RWT2198" s="10"/>
      <c r="RWU2198" s="10"/>
      <c r="RWV2198" s="10"/>
      <c r="RWW2198" s="10"/>
      <c r="RWX2198" s="10"/>
      <c r="RWY2198" s="10"/>
      <c r="RWZ2198" s="10"/>
      <c r="RXA2198" s="10"/>
      <c r="RXB2198" s="10"/>
      <c r="RXC2198" s="10"/>
      <c r="RXD2198" s="10"/>
      <c r="RXE2198" s="10"/>
      <c r="RXF2198" s="10"/>
      <c r="RXG2198" s="10"/>
      <c r="RXH2198" s="10"/>
      <c r="RXI2198" s="10"/>
      <c r="RXJ2198" s="10"/>
      <c r="RXK2198" s="10"/>
      <c r="RXL2198" s="10"/>
      <c r="RXM2198" s="10"/>
      <c r="RXN2198" s="10"/>
      <c r="RXO2198" s="10"/>
      <c r="RXP2198" s="10"/>
      <c r="RXQ2198" s="10"/>
      <c r="RXR2198" s="10"/>
      <c r="RXS2198" s="10"/>
      <c r="RXT2198" s="10"/>
      <c r="RXU2198" s="10"/>
      <c r="RXV2198" s="10"/>
      <c r="RXW2198" s="10"/>
      <c r="RXX2198" s="10"/>
      <c r="RXY2198" s="10"/>
      <c r="RXZ2198" s="10"/>
      <c r="RYA2198" s="10"/>
      <c r="RYB2198" s="10"/>
      <c r="RYC2198" s="10"/>
      <c r="RYD2198" s="10"/>
      <c r="RYE2198" s="10"/>
      <c r="RYF2198" s="10"/>
      <c r="RYG2198" s="10"/>
      <c r="RYH2198" s="10"/>
      <c r="RYI2198" s="10"/>
      <c r="RYJ2198" s="10"/>
      <c r="RYK2198" s="10"/>
      <c r="RYL2198" s="10"/>
      <c r="RYM2198" s="10"/>
      <c r="RYN2198" s="10"/>
      <c r="RYO2198" s="10"/>
      <c r="RYP2198" s="10"/>
      <c r="RYQ2198" s="10"/>
      <c r="RYR2198" s="10"/>
      <c r="RYS2198" s="10"/>
      <c r="RYT2198" s="10"/>
      <c r="RYU2198" s="10"/>
      <c r="RYV2198" s="10"/>
      <c r="RYW2198" s="10"/>
      <c r="RYX2198" s="10"/>
      <c r="RYY2198" s="10"/>
      <c r="RYZ2198" s="10"/>
      <c r="RZA2198" s="10"/>
      <c r="RZB2198" s="10"/>
      <c r="RZC2198" s="10"/>
      <c r="RZD2198" s="10"/>
      <c r="RZE2198" s="10"/>
      <c r="RZF2198" s="10"/>
      <c r="RZG2198" s="10"/>
      <c r="RZH2198" s="10"/>
      <c r="RZI2198" s="10"/>
      <c r="RZJ2198" s="10"/>
      <c r="RZK2198" s="10"/>
      <c r="RZL2198" s="10"/>
      <c r="RZM2198" s="10"/>
      <c r="RZN2198" s="10"/>
      <c r="RZO2198" s="10"/>
      <c r="RZP2198" s="10"/>
      <c r="RZQ2198" s="10"/>
      <c r="RZR2198" s="10"/>
      <c r="RZS2198" s="10"/>
      <c r="RZT2198" s="10"/>
      <c r="RZU2198" s="10"/>
      <c r="RZV2198" s="10"/>
      <c r="RZW2198" s="10"/>
      <c r="RZX2198" s="10"/>
      <c r="RZY2198" s="10"/>
      <c r="RZZ2198" s="10"/>
      <c r="SAA2198" s="10"/>
      <c r="SAB2198" s="10"/>
      <c r="SAC2198" s="10"/>
      <c r="SAD2198" s="10"/>
      <c r="SAE2198" s="10"/>
      <c r="SAF2198" s="10"/>
      <c r="SAG2198" s="10"/>
      <c r="SAH2198" s="10"/>
      <c r="SAI2198" s="10"/>
      <c r="SAJ2198" s="10"/>
      <c r="SAK2198" s="10"/>
      <c r="SAL2198" s="10"/>
      <c r="SAM2198" s="10"/>
      <c r="SAN2198" s="10"/>
      <c r="SAO2198" s="10"/>
      <c r="SAP2198" s="10"/>
      <c r="SAQ2198" s="10"/>
      <c r="SAR2198" s="10"/>
      <c r="SAS2198" s="10"/>
      <c r="SAT2198" s="10"/>
      <c r="SAU2198" s="10"/>
      <c r="SAV2198" s="10"/>
      <c r="SAW2198" s="10"/>
      <c r="SAX2198" s="10"/>
      <c r="SAY2198" s="10"/>
      <c r="SAZ2198" s="10"/>
      <c r="SBA2198" s="10"/>
      <c r="SBB2198" s="10"/>
      <c r="SBC2198" s="10"/>
      <c r="SBD2198" s="10"/>
      <c r="SBE2198" s="10"/>
      <c r="SBF2198" s="10"/>
      <c r="SBG2198" s="10"/>
      <c r="SBH2198" s="10"/>
      <c r="SBI2198" s="10"/>
      <c r="SBJ2198" s="10"/>
      <c r="SBK2198" s="10"/>
      <c r="SBL2198" s="10"/>
      <c r="SBM2198" s="10"/>
      <c r="SBN2198" s="10"/>
      <c r="SBO2198" s="10"/>
      <c r="SBP2198" s="10"/>
      <c r="SBQ2198" s="10"/>
      <c r="SBR2198" s="10"/>
      <c r="SBS2198" s="10"/>
      <c r="SBT2198" s="10"/>
      <c r="SBU2198" s="10"/>
      <c r="SBV2198" s="10"/>
      <c r="SBW2198" s="10"/>
      <c r="SBX2198" s="10"/>
      <c r="SBY2198" s="10"/>
      <c r="SBZ2198" s="10"/>
      <c r="SCA2198" s="10"/>
      <c r="SCB2198" s="10"/>
      <c r="SCC2198" s="10"/>
      <c r="SCD2198" s="10"/>
      <c r="SCE2198" s="10"/>
      <c r="SCF2198" s="10"/>
      <c r="SCG2198" s="10"/>
      <c r="SCH2198" s="10"/>
      <c r="SCI2198" s="10"/>
      <c r="SCJ2198" s="10"/>
      <c r="SCK2198" s="10"/>
      <c r="SCL2198" s="10"/>
      <c r="SCM2198" s="10"/>
      <c r="SCN2198" s="10"/>
      <c r="SCO2198" s="10"/>
      <c r="SCP2198" s="10"/>
      <c r="SCQ2198" s="10"/>
      <c r="SCR2198" s="10"/>
      <c r="SCS2198" s="10"/>
      <c r="SCT2198" s="10"/>
      <c r="SCU2198" s="10"/>
      <c r="SCV2198" s="10"/>
      <c r="SCW2198" s="10"/>
      <c r="SCX2198" s="10"/>
      <c r="SCY2198" s="10"/>
      <c r="SCZ2198" s="10"/>
      <c r="SDA2198" s="10"/>
      <c r="SDB2198" s="10"/>
      <c r="SDC2198" s="10"/>
      <c r="SDD2198" s="10"/>
      <c r="SDE2198" s="10"/>
      <c r="SDF2198" s="10"/>
      <c r="SDG2198" s="10"/>
      <c r="SDH2198" s="10"/>
      <c r="SDI2198" s="10"/>
      <c r="SDJ2198" s="10"/>
      <c r="SDK2198" s="10"/>
      <c r="SDL2198" s="10"/>
      <c r="SDM2198" s="10"/>
      <c r="SDN2198" s="10"/>
      <c r="SDO2198" s="10"/>
      <c r="SDP2198" s="10"/>
      <c r="SDQ2198" s="10"/>
      <c r="SDR2198" s="10"/>
      <c r="SDS2198" s="10"/>
      <c r="SDT2198" s="10"/>
      <c r="SDU2198" s="10"/>
      <c r="SDV2198" s="10"/>
      <c r="SDW2198" s="10"/>
      <c r="SDX2198" s="10"/>
      <c r="SDY2198" s="10"/>
      <c r="SDZ2198" s="10"/>
      <c r="SEA2198" s="10"/>
      <c r="SEB2198" s="10"/>
      <c r="SEC2198" s="10"/>
      <c r="SED2198" s="10"/>
      <c r="SEE2198" s="10"/>
      <c r="SEF2198" s="10"/>
      <c r="SEG2198" s="10"/>
      <c r="SEH2198" s="10"/>
      <c r="SEI2198" s="10"/>
      <c r="SEJ2198" s="10"/>
      <c r="SEK2198" s="10"/>
      <c r="SEL2198" s="10"/>
      <c r="SEM2198" s="10"/>
      <c r="SEN2198" s="10"/>
      <c r="SEO2198" s="10"/>
      <c r="SEP2198" s="10"/>
      <c r="SEQ2198" s="10"/>
      <c r="SER2198" s="10"/>
      <c r="SES2198" s="10"/>
      <c r="SET2198" s="10"/>
      <c r="SEU2198" s="10"/>
      <c r="SEV2198" s="10"/>
      <c r="SEW2198" s="10"/>
      <c r="SEX2198" s="10"/>
      <c r="SEY2198" s="10"/>
      <c r="SEZ2198" s="10"/>
      <c r="SFA2198" s="10"/>
      <c r="SFB2198" s="10"/>
      <c r="SFC2198" s="10"/>
      <c r="SFD2198" s="10"/>
      <c r="SFE2198" s="10"/>
      <c r="SFF2198" s="10"/>
      <c r="SFG2198" s="10"/>
      <c r="SFH2198" s="10"/>
      <c r="SFI2198" s="10"/>
      <c r="SFJ2198" s="10"/>
      <c r="SFK2198" s="10"/>
      <c r="SFL2198" s="10"/>
      <c r="SFM2198" s="10"/>
      <c r="SFN2198" s="10"/>
      <c r="SFO2198" s="10"/>
      <c r="SFP2198" s="10"/>
      <c r="SFQ2198" s="10"/>
      <c r="SFR2198" s="10"/>
      <c r="SFS2198" s="10"/>
      <c r="SFT2198" s="10"/>
      <c r="SFU2198" s="10"/>
      <c r="SFV2198" s="10"/>
      <c r="SFW2198" s="10"/>
      <c r="SFX2198" s="10"/>
      <c r="SFY2198" s="10"/>
      <c r="SFZ2198" s="10"/>
      <c r="SGA2198" s="10"/>
      <c r="SGB2198" s="10"/>
      <c r="SGC2198" s="10"/>
      <c r="SGD2198" s="10"/>
      <c r="SGE2198" s="10"/>
      <c r="SGF2198" s="10"/>
      <c r="SGG2198" s="10"/>
      <c r="SGH2198" s="10"/>
      <c r="SGI2198" s="10"/>
      <c r="SGJ2198" s="10"/>
      <c r="SGK2198" s="10"/>
      <c r="SGL2198" s="10"/>
      <c r="SGM2198" s="10"/>
      <c r="SGN2198" s="10"/>
      <c r="SGO2198" s="10"/>
      <c r="SGP2198" s="10"/>
      <c r="SGQ2198" s="10"/>
      <c r="SGR2198" s="10"/>
      <c r="SGS2198" s="10"/>
      <c r="SGT2198" s="10"/>
      <c r="SGU2198" s="10"/>
      <c r="SGV2198" s="10"/>
      <c r="SGW2198" s="10"/>
      <c r="SGX2198" s="10"/>
      <c r="SGY2198" s="10"/>
      <c r="SGZ2198" s="10"/>
      <c r="SHA2198" s="10"/>
      <c r="SHB2198" s="10"/>
      <c r="SHC2198" s="10"/>
      <c r="SHD2198" s="10"/>
      <c r="SHE2198" s="10"/>
      <c r="SHF2198" s="10"/>
      <c r="SHG2198" s="10"/>
      <c r="SHH2198" s="10"/>
      <c r="SHI2198" s="10"/>
      <c r="SHJ2198" s="10"/>
      <c r="SHK2198" s="10"/>
      <c r="SHL2198" s="10"/>
      <c r="SHM2198" s="10"/>
      <c r="SHN2198" s="10"/>
      <c r="SHO2198" s="10"/>
      <c r="SHP2198" s="10"/>
      <c r="SHQ2198" s="10"/>
      <c r="SHR2198" s="10"/>
      <c r="SHS2198" s="10"/>
      <c r="SHT2198" s="10"/>
      <c r="SHU2198" s="10"/>
      <c r="SHV2198" s="10"/>
      <c r="SHW2198" s="10"/>
      <c r="SHX2198" s="10"/>
      <c r="SHY2198" s="10"/>
      <c r="SHZ2198" s="10"/>
      <c r="SIA2198" s="10"/>
      <c r="SIB2198" s="10"/>
      <c r="SIC2198" s="10"/>
      <c r="SID2198" s="10"/>
      <c r="SIE2198" s="10"/>
      <c r="SIF2198" s="10"/>
      <c r="SIG2198" s="10"/>
      <c r="SIH2198" s="10"/>
      <c r="SII2198" s="10"/>
      <c r="SIJ2198" s="10"/>
      <c r="SIK2198" s="10"/>
      <c r="SIL2198" s="10"/>
      <c r="SIM2198" s="10"/>
      <c r="SIN2198" s="10"/>
      <c r="SIO2198" s="10"/>
      <c r="SIP2198" s="10"/>
      <c r="SIQ2198" s="10"/>
      <c r="SIR2198" s="10"/>
      <c r="SIS2198" s="10"/>
      <c r="SIT2198" s="10"/>
      <c r="SIU2198" s="10"/>
      <c r="SIV2198" s="10"/>
      <c r="SIW2198" s="10"/>
      <c r="SIX2198" s="10"/>
      <c r="SIY2198" s="10"/>
      <c r="SIZ2198" s="10"/>
      <c r="SJA2198" s="10"/>
      <c r="SJB2198" s="10"/>
      <c r="SJC2198" s="10"/>
      <c r="SJD2198" s="10"/>
      <c r="SJE2198" s="10"/>
      <c r="SJF2198" s="10"/>
      <c r="SJG2198" s="10"/>
      <c r="SJH2198" s="10"/>
      <c r="SJI2198" s="10"/>
      <c r="SJJ2198" s="10"/>
      <c r="SJK2198" s="10"/>
      <c r="SJL2198" s="10"/>
      <c r="SJM2198" s="10"/>
      <c r="SJN2198" s="10"/>
      <c r="SJO2198" s="10"/>
      <c r="SJP2198" s="10"/>
      <c r="SJQ2198" s="10"/>
      <c r="SJR2198" s="10"/>
      <c r="SJS2198" s="10"/>
      <c r="SJT2198" s="10"/>
      <c r="SJU2198" s="10"/>
      <c r="SJV2198" s="10"/>
      <c r="SJW2198" s="10"/>
      <c r="SJX2198" s="10"/>
      <c r="SJY2198" s="10"/>
      <c r="SJZ2198" s="10"/>
      <c r="SKA2198" s="10"/>
      <c r="SKB2198" s="10"/>
      <c r="SKC2198" s="10"/>
      <c r="SKD2198" s="10"/>
      <c r="SKE2198" s="10"/>
      <c r="SKF2198" s="10"/>
      <c r="SKG2198" s="10"/>
      <c r="SKH2198" s="10"/>
      <c r="SKI2198" s="10"/>
      <c r="SKJ2198" s="10"/>
      <c r="SKK2198" s="10"/>
      <c r="SKL2198" s="10"/>
      <c r="SKM2198" s="10"/>
      <c r="SKN2198" s="10"/>
      <c r="SKO2198" s="10"/>
      <c r="SKP2198" s="10"/>
      <c r="SKQ2198" s="10"/>
      <c r="SKR2198" s="10"/>
      <c r="SKS2198" s="10"/>
      <c r="SKT2198" s="10"/>
      <c r="SKU2198" s="10"/>
      <c r="SKV2198" s="10"/>
      <c r="SKW2198" s="10"/>
      <c r="SKX2198" s="10"/>
      <c r="SKY2198" s="10"/>
      <c r="SKZ2198" s="10"/>
      <c r="SLA2198" s="10"/>
      <c r="SLB2198" s="10"/>
      <c r="SLC2198" s="10"/>
      <c r="SLD2198" s="10"/>
      <c r="SLE2198" s="10"/>
      <c r="SLF2198" s="10"/>
      <c r="SLG2198" s="10"/>
      <c r="SLH2198" s="10"/>
      <c r="SLI2198" s="10"/>
      <c r="SLJ2198" s="10"/>
      <c r="SLK2198" s="10"/>
      <c r="SLL2198" s="10"/>
      <c r="SLM2198" s="10"/>
      <c r="SLN2198" s="10"/>
      <c r="SLO2198" s="10"/>
      <c r="SLP2198" s="10"/>
      <c r="SLQ2198" s="10"/>
      <c r="SLR2198" s="10"/>
      <c r="SLS2198" s="10"/>
      <c r="SLT2198" s="10"/>
      <c r="SLU2198" s="10"/>
      <c r="SLV2198" s="10"/>
      <c r="SLW2198" s="10"/>
      <c r="SLX2198" s="10"/>
      <c r="SLY2198" s="10"/>
      <c r="SLZ2198" s="10"/>
      <c r="SMA2198" s="10"/>
      <c r="SMB2198" s="10"/>
      <c r="SMC2198" s="10"/>
      <c r="SMD2198" s="10"/>
      <c r="SME2198" s="10"/>
      <c r="SMF2198" s="10"/>
      <c r="SMG2198" s="10"/>
      <c r="SMH2198" s="10"/>
      <c r="SMI2198" s="10"/>
      <c r="SMJ2198" s="10"/>
      <c r="SMK2198" s="10"/>
      <c r="SML2198" s="10"/>
      <c r="SMM2198" s="10"/>
      <c r="SMN2198" s="10"/>
      <c r="SMO2198" s="10"/>
      <c r="SMP2198" s="10"/>
      <c r="SMQ2198" s="10"/>
      <c r="SMR2198" s="10"/>
      <c r="SMS2198" s="10"/>
      <c r="SMT2198" s="10"/>
      <c r="SMU2198" s="10"/>
      <c r="SMV2198" s="10"/>
      <c r="SMW2198" s="10"/>
      <c r="SMX2198" s="10"/>
      <c r="SMY2198" s="10"/>
      <c r="SMZ2198" s="10"/>
      <c r="SNA2198" s="10"/>
      <c r="SNB2198" s="10"/>
      <c r="SNC2198" s="10"/>
      <c r="SND2198" s="10"/>
      <c r="SNE2198" s="10"/>
      <c r="SNF2198" s="10"/>
      <c r="SNG2198" s="10"/>
      <c r="SNH2198" s="10"/>
      <c r="SNI2198" s="10"/>
      <c r="SNJ2198" s="10"/>
      <c r="SNK2198" s="10"/>
      <c r="SNL2198" s="10"/>
      <c r="SNM2198" s="10"/>
      <c r="SNN2198" s="10"/>
      <c r="SNO2198" s="10"/>
      <c r="SNP2198" s="10"/>
      <c r="SNQ2198" s="10"/>
      <c r="SNR2198" s="10"/>
      <c r="SNS2198" s="10"/>
      <c r="SNT2198" s="10"/>
      <c r="SNU2198" s="10"/>
      <c r="SNV2198" s="10"/>
      <c r="SNW2198" s="10"/>
      <c r="SNX2198" s="10"/>
      <c r="SNY2198" s="10"/>
      <c r="SNZ2198" s="10"/>
      <c r="SOA2198" s="10"/>
      <c r="SOB2198" s="10"/>
      <c r="SOC2198" s="10"/>
      <c r="SOD2198" s="10"/>
      <c r="SOE2198" s="10"/>
      <c r="SOF2198" s="10"/>
      <c r="SOG2198" s="10"/>
      <c r="SOH2198" s="10"/>
      <c r="SOI2198" s="10"/>
      <c r="SOJ2198" s="10"/>
      <c r="SOK2198" s="10"/>
      <c r="SOL2198" s="10"/>
      <c r="SOM2198" s="10"/>
      <c r="SON2198" s="10"/>
      <c r="SOO2198" s="10"/>
      <c r="SOP2198" s="10"/>
      <c r="SOQ2198" s="10"/>
      <c r="SOR2198" s="10"/>
      <c r="SOS2198" s="10"/>
      <c r="SOT2198" s="10"/>
      <c r="SOU2198" s="10"/>
      <c r="SOV2198" s="10"/>
      <c r="SOW2198" s="10"/>
      <c r="SOX2198" s="10"/>
      <c r="SOY2198" s="10"/>
      <c r="SOZ2198" s="10"/>
      <c r="SPA2198" s="10"/>
      <c r="SPB2198" s="10"/>
      <c r="SPC2198" s="10"/>
      <c r="SPD2198" s="10"/>
      <c r="SPE2198" s="10"/>
      <c r="SPF2198" s="10"/>
      <c r="SPG2198" s="10"/>
      <c r="SPH2198" s="10"/>
      <c r="SPI2198" s="10"/>
      <c r="SPJ2198" s="10"/>
      <c r="SPK2198" s="10"/>
      <c r="SPL2198" s="10"/>
      <c r="SPM2198" s="10"/>
      <c r="SPN2198" s="10"/>
      <c r="SPO2198" s="10"/>
      <c r="SPP2198" s="10"/>
      <c r="SPQ2198" s="10"/>
      <c r="SPR2198" s="10"/>
      <c r="SPS2198" s="10"/>
      <c r="SPT2198" s="10"/>
      <c r="SPU2198" s="10"/>
      <c r="SPV2198" s="10"/>
      <c r="SPW2198" s="10"/>
      <c r="SPX2198" s="10"/>
      <c r="SPY2198" s="10"/>
      <c r="SPZ2198" s="10"/>
      <c r="SQA2198" s="10"/>
      <c r="SQB2198" s="10"/>
      <c r="SQC2198" s="10"/>
      <c r="SQD2198" s="10"/>
      <c r="SQE2198" s="10"/>
      <c r="SQF2198" s="10"/>
      <c r="SQG2198" s="10"/>
      <c r="SQH2198" s="10"/>
      <c r="SQI2198" s="10"/>
      <c r="SQJ2198" s="10"/>
      <c r="SQK2198" s="10"/>
      <c r="SQL2198" s="10"/>
      <c r="SQM2198" s="10"/>
      <c r="SQN2198" s="10"/>
      <c r="SQO2198" s="10"/>
      <c r="SQP2198" s="10"/>
      <c r="SQQ2198" s="10"/>
      <c r="SQR2198" s="10"/>
      <c r="SQS2198" s="10"/>
      <c r="SQT2198" s="10"/>
      <c r="SQU2198" s="10"/>
      <c r="SQV2198" s="10"/>
      <c r="SQW2198" s="10"/>
      <c r="SQX2198" s="10"/>
      <c r="SQY2198" s="10"/>
      <c r="SQZ2198" s="10"/>
      <c r="SRA2198" s="10"/>
      <c r="SRB2198" s="10"/>
      <c r="SRC2198" s="10"/>
      <c r="SRD2198" s="10"/>
      <c r="SRE2198" s="10"/>
      <c r="SRF2198" s="10"/>
      <c r="SRG2198" s="10"/>
      <c r="SRH2198" s="10"/>
      <c r="SRI2198" s="10"/>
      <c r="SRJ2198" s="10"/>
      <c r="SRK2198" s="10"/>
      <c r="SRL2198" s="10"/>
      <c r="SRM2198" s="10"/>
      <c r="SRN2198" s="10"/>
      <c r="SRO2198" s="10"/>
      <c r="SRP2198" s="10"/>
      <c r="SRQ2198" s="10"/>
      <c r="SRR2198" s="10"/>
      <c r="SRS2198" s="10"/>
      <c r="SRT2198" s="10"/>
      <c r="SRU2198" s="10"/>
      <c r="SRV2198" s="10"/>
      <c r="SRW2198" s="10"/>
      <c r="SRX2198" s="10"/>
      <c r="SRY2198" s="10"/>
      <c r="SRZ2198" s="10"/>
      <c r="SSA2198" s="10"/>
      <c r="SSB2198" s="10"/>
      <c r="SSC2198" s="10"/>
      <c r="SSD2198" s="10"/>
      <c r="SSE2198" s="10"/>
      <c r="SSF2198" s="10"/>
      <c r="SSG2198" s="10"/>
      <c r="SSH2198" s="10"/>
      <c r="SSI2198" s="10"/>
      <c r="SSJ2198" s="10"/>
      <c r="SSK2198" s="10"/>
      <c r="SSL2198" s="10"/>
      <c r="SSM2198" s="10"/>
      <c r="SSN2198" s="10"/>
      <c r="SSO2198" s="10"/>
      <c r="SSP2198" s="10"/>
      <c r="SSQ2198" s="10"/>
      <c r="SSR2198" s="10"/>
      <c r="SSS2198" s="10"/>
      <c r="SST2198" s="10"/>
      <c r="SSU2198" s="10"/>
      <c r="SSV2198" s="10"/>
      <c r="SSW2198" s="10"/>
      <c r="SSX2198" s="10"/>
      <c r="SSY2198" s="10"/>
      <c r="SSZ2198" s="10"/>
      <c r="STA2198" s="10"/>
      <c r="STB2198" s="10"/>
      <c r="STC2198" s="10"/>
      <c r="STD2198" s="10"/>
      <c r="STE2198" s="10"/>
      <c r="STF2198" s="10"/>
      <c r="STG2198" s="10"/>
      <c r="STH2198" s="10"/>
      <c r="STI2198" s="10"/>
      <c r="STJ2198" s="10"/>
      <c r="STK2198" s="10"/>
      <c r="STL2198" s="10"/>
      <c r="STM2198" s="10"/>
      <c r="STN2198" s="10"/>
      <c r="STO2198" s="10"/>
      <c r="STP2198" s="10"/>
      <c r="STQ2198" s="10"/>
      <c r="STR2198" s="10"/>
      <c r="STS2198" s="10"/>
      <c r="STT2198" s="10"/>
      <c r="STU2198" s="10"/>
      <c r="STV2198" s="10"/>
      <c r="STW2198" s="10"/>
      <c r="STX2198" s="10"/>
      <c r="STY2198" s="10"/>
      <c r="STZ2198" s="10"/>
      <c r="SUA2198" s="10"/>
      <c r="SUB2198" s="10"/>
      <c r="SUC2198" s="10"/>
      <c r="SUD2198" s="10"/>
      <c r="SUE2198" s="10"/>
      <c r="SUF2198" s="10"/>
      <c r="SUG2198" s="10"/>
      <c r="SUH2198" s="10"/>
      <c r="SUI2198" s="10"/>
      <c r="SUJ2198" s="10"/>
      <c r="SUK2198" s="10"/>
      <c r="SUL2198" s="10"/>
      <c r="SUM2198" s="10"/>
      <c r="SUN2198" s="10"/>
      <c r="SUO2198" s="10"/>
      <c r="SUP2198" s="10"/>
      <c r="SUQ2198" s="10"/>
      <c r="SUR2198" s="10"/>
      <c r="SUS2198" s="10"/>
      <c r="SUT2198" s="10"/>
      <c r="SUU2198" s="10"/>
      <c r="SUV2198" s="10"/>
      <c r="SUW2198" s="10"/>
      <c r="SUX2198" s="10"/>
      <c r="SUY2198" s="10"/>
      <c r="SUZ2198" s="10"/>
      <c r="SVA2198" s="10"/>
      <c r="SVB2198" s="10"/>
      <c r="SVC2198" s="10"/>
      <c r="SVD2198" s="10"/>
      <c r="SVE2198" s="10"/>
      <c r="SVF2198" s="10"/>
      <c r="SVG2198" s="10"/>
      <c r="SVH2198" s="10"/>
      <c r="SVI2198" s="10"/>
      <c r="SVJ2198" s="10"/>
      <c r="SVK2198" s="10"/>
      <c r="SVL2198" s="10"/>
      <c r="SVM2198" s="10"/>
      <c r="SVN2198" s="10"/>
      <c r="SVO2198" s="10"/>
      <c r="SVP2198" s="10"/>
      <c r="SVQ2198" s="10"/>
      <c r="SVR2198" s="10"/>
      <c r="SVS2198" s="10"/>
      <c r="SVT2198" s="10"/>
      <c r="SVU2198" s="10"/>
      <c r="SVV2198" s="10"/>
      <c r="SVW2198" s="10"/>
      <c r="SVX2198" s="10"/>
      <c r="SVY2198" s="10"/>
      <c r="SVZ2198" s="10"/>
      <c r="SWA2198" s="10"/>
      <c r="SWB2198" s="10"/>
      <c r="SWC2198" s="10"/>
      <c r="SWD2198" s="10"/>
      <c r="SWE2198" s="10"/>
      <c r="SWF2198" s="10"/>
      <c r="SWG2198" s="10"/>
      <c r="SWH2198" s="10"/>
      <c r="SWI2198" s="10"/>
      <c r="SWJ2198" s="10"/>
      <c r="SWK2198" s="10"/>
      <c r="SWL2198" s="10"/>
      <c r="SWM2198" s="10"/>
      <c r="SWN2198" s="10"/>
      <c r="SWO2198" s="10"/>
      <c r="SWP2198" s="10"/>
      <c r="SWQ2198" s="10"/>
      <c r="SWR2198" s="10"/>
      <c r="SWS2198" s="10"/>
      <c r="SWT2198" s="10"/>
      <c r="SWU2198" s="10"/>
      <c r="SWV2198" s="10"/>
      <c r="SWW2198" s="10"/>
      <c r="SWX2198" s="10"/>
      <c r="SWY2198" s="10"/>
      <c r="SWZ2198" s="10"/>
      <c r="SXA2198" s="10"/>
      <c r="SXB2198" s="10"/>
      <c r="SXC2198" s="10"/>
      <c r="SXD2198" s="10"/>
      <c r="SXE2198" s="10"/>
      <c r="SXF2198" s="10"/>
      <c r="SXG2198" s="10"/>
      <c r="SXH2198" s="10"/>
      <c r="SXI2198" s="10"/>
      <c r="SXJ2198" s="10"/>
      <c r="SXK2198" s="10"/>
      <c r="SXL2198" s="10"/>
      <c r="SXM2198" s="10"/>
      <c r="SXN2198" s="10"/>
      <c r="SXO2198" s="10"/>
      <c r="SXP2198" s="10"/>
      <c r="SXQ2198" s="10"/>
      <c r="SXR2198" s="10"/>
      <c r="SXS2198" s="10"/>
      <c r="SXT2198" s="10"/>
      <c r="SXU2198" s="10"/>
      <c r="SXV2198" s="10"/>
      <c r="SXW2198" s="10"/>
      <c r="SXX2198" s="10"/>
      <c r="SXY2198" s="10"/>
      <c r="SXZ2198" s="10"/>
      <c r="SYA2198" s="10"/>
      <c r="SYB2198" s="10"/>
      <c r="SYC2198" s="10"/>
      <c r="SYD2198" s="10"/>
      <c r="SYE2198" s="10"/>
      <c r="SYF2198" s="10"/>
      <c r="SYG2198" s="10"/>
      <c r="SYH2198" s="10"/>
      <c r="SYI2198" s="10"/>
      <c r="SYJ2198" s="10"/>
      <c r="SYK2198" s="10"/>
      <c r="SYL2198" s="10"/>
      <c r="SYM2198" s="10"/>
      <c r="SYN2198" s="10"/>
      <c r="SYO2198" s="10"/>
      <c r="SYP2198" s="10"/>
      <c r="SYQ2198" s="10"/>
      <c r="SYR2198" s="10"/>
      <c r="SYS2198" s="10"/>
      <c r="SYT2198" s="10"/>
      <c r="SYU2198" s="10"/>
      <c r="SYV2198" s="10"/>
      <c r="SYW2198" s="10"/>
      <c r="SYX2198" s="10"/>
      <c r="SYY2198" s="10"/>
      <c r="SYZ2198" s="10"/>
      <c r="SZA2198" s="10"/>
      <c r="SZB2198" s="10"/>
      <c r="SZC2198" s="10"/>
      <c r="SZD2198" s="10"/>
      <c r="SZE2198" s="10"/>
      <c r="SZF2198" s="10"/>
      <c r="SZG2198" s="10"/>
      <c r="SZH2198" s="10"/>
      <c r="SZI2198" s="10"/>
      <c r="SZJ2198" s="10"/>
      <c r="SZK2198" s="10"/>
      <c r="SZL2198" s="10"/>
      <c r="SZM2198" s="10"/>
      <c r="SZN2198" s="10"/>
      <c r="SZO2198" s="10"/>
      <c r="SZP2198" s="10"/>
      <c r="SZQ2198" s="10"/>
      <c r="SZR2198" s="10"/>
      <c r="SZS2198" s="10"/>
      <c r="SZT2198" s="10"/>
      <c r="SZU2198" s="10"/>
      <c r="SZV2198" s="10"/>
      <c r="SZW2198" s="10"/>
      <c r="SZX2198" s="10"/>
      <c r="SZY2198" s="10"/>
      <c r="SZZ2198" s="10"/>
      <c r="TAA2198" s="10"/>
      <c r="TAB2198" s="10"/>
      <c r="TAC2198" s="10"/>
      <c r="TAD2198" s="10"/>
      <c r="TAE2198" s="10"/>
      <c r="TAF2198" s="10"/>
      <c r="TAG2198" s="10"/>
      <c r="TAH2198" s="10"/>
      <c r="TAI2198" s="10"/>
      <c r="TAJ2198" s="10"/>
      <c r="TAK2198" s="10"/>
      <c r="TAL2198" s="10"/>
      <c r="TAM2198" s="10"/>
      <c r="TAN2198" s="10"/>
      <c r="TAO2198" s="10"/>
      <c r="TAP2198" s="10"/>
      <c r="TAQ2198" s="10"/>
      <c r="TAR2198" s="10"/>
      <c r="TAS2198" s="10"/>
      <c r="TAT2198" s="10"/>
      <c r="TAU2198" s="10"/>
      <c r="TAV2198" s="10"/>
      <c r="TAW2198" s="10"/>
      <c r="TAX2198" s="10"/>
      <c r="TAY2198" s="10"/>
      <c r="TAZ2198" s="10"/>
      <c r="TBA2198" s="10"/>
      <c r="TBB2198" s="10"/>
      <c r="TBC2198" s="10"/>
      <c r="TBD2198" s="10"/>
      <c r="TBE2198" s="10"/>
      <c r="TBF2198" s="10"/>
      <c r="TBG2198" s="10"/>
      <c r="TBH2198" s="10"/>
      <c r="TBI2198" s="10"/>
      <c r="TBJ2198" s="10"/>
      <c r="TBK2198" s="10"/>
      <c r="TBL2198" s="10"/>
      <c r="TBM2198" s="10"/>
      <c r="TBN2198" s="10"/>
      <c r="TBO2198" s="10"/>
      <c r="TBP2198" s="10"/>
      <c r="TBQ2198" s="10"/>
      <c r="TBR2198" s="10"/>
      <c r="TBS2198" s="10"/>
      <c r="TBT2198" s="10"/>
      <c r="TBU2198" s="10"/>
      <c r="TBV2198" s="10"/>
      <c r="TBW2198" s="10"/>
      <c r="TBX2198" s="10"/>
      <c r="TBY2198" s="10"/>
      <c r="TBZ2198" s="10"/>
      <c r="TCA2198" s="10"/>
      <c r="TCB2198" s="10"/>
      <c r="TCC2198" s="10"/>
      <c r="TCD2198" s="10"/>
      <c r="TCE2198" s="10"/>
      <c r="TCF2198" s="10"/>
      <c r="TCG2198" s="10"/>
      <c r="TCH2198" s="10"/>
      <c r="TCI2198" s="10"/>
      <c r="TCJ2198" s="10"/>
      <c r="TCK2198" s="10"/>
      <c r="TCL2198" s="10"/>
      <c r="TCM2198" s="10"/>
      <c r="TCN2198" s="10"/>
      <c r="TCO2198" s="10"/>
      <c r="TCP2198" s="10"/>
      <c r="TCQ2198" s="10"/>
      <c r="TCR2198" s="10"/>
      <c r="TCS2198" s="10"/>
      <c r="TCT2198" s="10"/>
      <c r="TCU2198" s="10"/>
      <c r="TCV2198" s="10"/>
      <c r="TCW2198" s="10"/>
      <c r="TCX2198" s="10"/>
      <c r="TCY2198" s="10"/>
      <c r="TCZ2198" s="10"/>
      <c r="TDA2198" s="10"/>
      <c r="TDB2198" s="10"/>
      <c r="TDC2198" s="10"/>
      <c r="TDD2198" s="10"/>
      <c r="TDE2198" s="10"/>
      <c r="TDF2198" s="10"/>
      <c r="TDG2198" s="10"/>
      <c r="TDH2198" s="10"/>
      <c r="TDI2198" s="10"/>
      <c r="TDJ2198" s="10"/>
      <c r="TDK2198" s="10"/>
      <c r="TDL2198" s="10"/>
      <c r="TDM2198" s="10"/>
      <c r="TDN2198" s="10"/>
      <c r="TDO2198" s="10"/>
      <c r="TDP2198" s="10"/>
      <c r="TDQ2198" s="10"/>
      <c r="TDR2198" s="10"/>
      <c r="TDS2198" s="10"/>
      <c r="TDT2198" s="10"/>
      <c r="TDU2198" s="10"/>
      <c r="TDV2198" s="10"/>
      <c r="TDW2198" s="10"/>
      <c r="TDX2198" s="10"/>
      <c r="TDY2198" s="10"/>
      <c r="TDZ2198" s="10"/>
      <c r="TEA2198" s="10"/>
      <c r="TEB2198" s="10"/>
      <c r="TEC2198" s="10"/>
      <c r="TED2198" s="10"/>
      <c r="TEE2198" s="10"/>
      <c r="TEF2198" s="10"/>
      <c r="TEG2198" s="10"/>
      <c r="TEH2198" s="10"/>
      <c r="TEI2198" s="10"/>
      <c r="TEJ2198" s="10"/>
      <c r="TEK2198" s="10"/>
      <c r="TEL2198" s="10"/>
      <c r="TEM2198" s="10"/>
      <c r="TEN2198" s="10"/>
      <c r="TEO2198" s="10"/>
      <c r="TEP2198" s="10"/>
      <c r="TEQ2198" s="10"/>
      <c r="TER2198" s="10"/>
      <c r="TES2198" s="10"/>
      <c r="TET2198" s="10"/>
      <c r="TEU2198" s="10"/>
      <c r="TEV2198" s="10"/>
      <c r="TEW2198" s="10"/>
      <c r="TEX2198" s="10"/>
      <c r="TEY2198" s="10"/>
      <c r="TEZ2198" s="10"/>
      <c r="TFA2198" s="10"/>
      <c r="TFB2198" s="10"/>
      <c r="TFC2198" s="10"/>
      <c r="TFD2198" s="10"/>
      <c r="TFE2198" s="10"/>
      <c r="TFF2198" s="10"/>
      <c r="TFG2198" s="10"/>
      <c r="TFH2198" s="10"/>
      <c r="TFI2198" s="10"/>
      <c r="TFJ2198" s="10"/>
      <c r="TFK2198" s="10"/>
      <c r="TFL2198" s="10"/>
      <c r="TFM2198" s="10"/>
      <c r="TFN2198" s="10"/>
      <c r="TFO2198" s="10"/>
      <c r="TFP2198" s="10"/>
      <c r="TFQ2198" s="10"/>
      <c r="TFR2198" s="10"/>
      <c r="TFS2198" s="10"/>
      <c r="TFT2198" s="10"/>
      <c r="TFU2198" s="10"/>
      <c r="TFV2198" s="10"/>
      <c r="TFW2198" s="10"/>
      <c r="TFX2198" s="10"/>
      <c r="TFY2198" s="10"/>
      <c r="TFZ2198" s="10"/>
      <c r="TGA2198" s="10"/>
      <c r="TGB2198" s="10"/>
      <c r="TGC2198" s="10"/>
      <c r="TGD2198" s="10"/>
      <c r="TGE2198" s="10"/>
      <c r="TGF2198" s="10"/>
      <c r="TGG2198" s="10"/>
      <c r="TGH2198" s="10"/>
      <c r="TGI2198" s="10"/>
      <c r="TGJ2198" s="10"/>
      <c r="TGK2198" s="10"/>
      <c r="TGL2198" s="10"/>
      <c r="TGM2198" s="10"/>
      <c r="TGN2198" s="10"/>
      <c r="TGO2198" s="10"/>
      <c r="TGP2198" s="10"/>
      <c r="TGQ2198" s="10"/>
      <c r="TGR2198" s="10"/>
      <c r="TGS2198" s="10"/>
      <c r="TGT2198" s="10"/>
      <c r="TGU2198" s="10"/>
      <c r="TGV2198" s="10"/>
      <c r="TGW2198" s="10"/>
      <c r="TGX2198" s="10"/>
      <c r="TGY2198" s="10"/>
      <c r="TGZ2198" s="10"/>
      <c r="THA2198" s="10"/>
      <c r="THB2198" s="10"/>
      <c r="THC2198" s="10"/>
      <c r="THD2198" s="10"/>
      <c r="THE2198" s="10"/>
      <c r="THF2198" s="10"/>
      <c r="THG2198" s="10"/>
      <c r="THH2198" s="10"/>
      <c r="THI2198" s="10"/>
      <c r="THJ2198" s="10"/>
      <c r="THK2198" s="10"/>
      <c r="THL2198" s="10"/>
      <c r="THM2198" s="10"/>
      <c r="THN2198" s="10"/>
      <c r="THO2198" s="10"/>
      <c r="THP2198" s="10"/>
      <c r="THQ2198" s="10"/>
      <c r="THR2198" s="10"/>
      <c r="THS2198" s="10"/>
      <c r="THT2198" s="10"/>
      <c r="THU2198" s="10"/>
      <c r="THV2198" s="10"/>
      <c r="THW2198" s="10"/>
      <c r="THX2198" s="10"/>
      <c r="THY2198" s="10"/>
      <c r="THZ2198" s="10"/>
      <c r="TIA2198" s="10"/>
      <c r="TIB2198" s="10"/>
      <c r="TIC2198" s="10"/>
      <c r="TID2198" s="10"/>
      <c r="TIE2198" s="10"/>
      <c r="TIF2198" s="10"/>
      <c r="TIG2198" s="10"/>
      <c r="TIH2198" s="10"/>
      <c r="TII2198" s="10"/>
      <c r="TIJ2198" s="10"/>
      <c r="TIK2198" s="10"/>
      <c r="TIL2198" s="10"/>
      <c r="TIM2198" s="10"/>
      <c r="TIN2198" s="10"/>
      <c r="TIO2198" s="10"/>
      <c r="TIP2198" s="10"/>
      <c r="TIQ2198" s="10"/>
      <c r="TIR2198" s="10"/>
      <c r="TIS2198" s="10"/>
      <c r="TIT2198" s="10"/>
      <c r="TIU2198" s="10"/>
      <c r="TIV2198" s="10"/>
      <c r="TIW2198" s="10"/>
      <c r="TIX2198" s="10"/>
      <c r="TIY2198" s="10"/>
      <c r="TIZ2198" s="10"/>
      <c r="TJA2198" s="10"/>
      <c r="TJB2198" s="10"/>
      <c r="TJC2198" s="10"/>
      <c r="TJD2198" s="10"/>
      <c r="TJE2198" s="10"/>
      <c r="TJF2198" s="10"/>
      <c r="TJG2198" s="10"/>
      <c r="TJH2198" s="10"/>
      <c r="TJI2198" s="10"/>
      <c r="TJJ2198" s="10"/>
      <c r="TJK2198" s="10"/>
      <c r="TJL2198" s="10"/>
      <c r="TJM2198" s="10"/>
      <c r="TJN2198" s="10"/>
      <c r="TJO2198" s="10"/>
      <c r="TJP2198" s="10"/>
      <c r="TJQ2198" s="10"/>
      <c r="TJR2198" s="10"/>
      <c r="TJS2198" s="10"/>
      <c r="TJT2198" s="10"/>
      <c r="TJU2198" s="10"/>
      <c r="TJV2198" s="10"/>
      <c r="TJW2198" s="10"/>
      <c r="TJX2198" s="10"/>
      <c r="TJY2198" s="10"/>
      <c r="TJZ2198" s="10"/>
      <c r="TKA2198" s="10"/>
      <c r="TKB2198" s="10"/>
      <c r="TKC2198" s="10"/>
      <c r="TKD2198" s="10"/>
      <c r="TKE2198" s="10"/>
      <c r="TKF2198" s="10"/>
      <c r="TKG2198" s="10"/>
      <c r="TKH2198" s="10"/>
      <c r="TKI2198" s="10"/>
      <c r="TKJ2198" s="10"/>
      <c r="TKK2198" s="10"/>
      <c r="TKL2198" s="10"/>
      <c r="TKM2198" s="10"/>
      <c r="TKN2198" s="10"/>
      <c r="TKO2198" s="10"/>
      <c r="TKP2198" s="10"/>
      <c r="TKQ2198" s="10"/>
      <c r="TKR2198" s="10"/>
      <c r="TKS2198" s="10"/>
      <c r="TKT2198" s="10"/>
      <c r="TKU2198" s="10"/>
      <c r="TKV2198" s="10"/>
      <c r="TKW2198" s="10"/>
      <c r="TKX2198" s="10"/>
      <c r="TKY2198" s="10"/>
      <c r="TKZ2198" s="10"/>
      <c r="TLA2198" s="10"/>
      <c r="TLB2198" s="10"/>
      <c r="TLC2198" s="10"/>
      <c r="TLD2198" s="10"/>
      <c r="TLE2198" s="10"/>
      <c r="TLF2198" s="10"/>
      <c r="TLG2198" s="10"/>
      <c r="TLH2198" s="10"/>
      <c r="TLI2198" s="10"/>
      <c r="TLJ2198" s="10"/>
      <c r="TLK2198" s="10"/>
      <c r="TLL2198" s="10"/>
      <c r="TLM2198" s="10"/>
      <c r="TLN2198" s="10"/>
      <c r="TLO2198" s="10"/>
      <c r="TLP2198" s="10"/>
      <c r="TLQ2198" s="10"/>
      <c r="TLR2198" s="10"/>
      <c r="TLS2198" s="10"/>
      <c r="TLT2198" s="10"/>
      <c r="TLU2198" s="10"/>
      <c r="TLV2198" s="10"/>
      <c r="TLW2198" s="10"/>
      <c r="TLX2198" s="10"/>
      <c r="TLY2198" s="10"/>
      <c r="TLZ2198" s="10"/>
      <c r="TMA2198" s="10"/>
      <c r="TMB2198" s="10"/>
      <c r="TMC2198" s="10"/>
      <c r="TMD2198" s="10"/>
      <c r="TME2198" s="10"/>
      <c r="TMF2198" s="10"/>
      <c r="TMG2198" s="10"/>
      <c r="TMH2198" s="10"/>
      <c r="TMI2198" s="10"/>
      <c r="TMJ2198" s="10"/>
      <c r="TMK2198" s="10"/>
      <c r="TML2198" s="10"/>
      <c r="TMM2198" s="10"/>
      <c r="TMN2198" s="10"/>
      <c r="TMO2198" s="10"/>
      <c r="TMP2198" s="10"/>
      <c r="TMQ2198" s="10"/>
      <c r="TMR2198" s="10"/>
      <c r="TMS2198" s="10"/>
      <c r="TMT2198" s="10"/>
      <c r="TMU2198" s="10"/>
      <c r="TMV2198" s="10"/>
      <c r="TMW2198" s="10"/>
      <c r="TMX2198" s="10"/>
      <c r="TMY2198" s="10"/>
      <c r="TMZ2198" s="10"/>
      <c r="TNA2198" s="10"/>
      <c r="TNB2198" s="10"/>
      <c r="TNC2198" s="10"/>
      <c r="TND2198" s="10"/>
      <c r="TNE2198" s="10"/>
      <c r="TNF2198" s="10"/>
      <c r="TNG2198" s="10"/>
      <c r="TNH2198" s="10"/>
      <c r="TNI2198" s="10"/>
      <c r="TNJ2198" s="10"/>
      <c r="TNK2198" s="10"/>
      <c r="TNL2198" s="10"/>
      <c r="TNM2198" s="10"/>
      <c r="TNN2198" s="10"/>
      <c r="TNO2198" s="10"/>
      <c r="TNP2198" s="10"/>
      <c r="TNQ2198" s="10"/>
      <c r="TNR2198" s="10"/>
      <c r="TNS2198" s="10"/>
      <c r="TNT2198" s="10"/>
      <c r="TNU2198" s="10"/>
      <c r="TNV2198" s="10"/>
      <c r="TNW2198" s="10"/>
      <c r="TNX2198" s="10"/>
      <c r="TNY2198" s="10"/>
      <c r="TNZ2198" s="10"/>
      <c r="TOA2198" s="10"/>
      <c r="TOB2198" s="10"/>
      <c r="TOC2198" s="10"/>
      <c r="TOD2198" s="10"/>
      <c r="TOE2198" s="10"/>
      <c r="TOF2198" s="10"/>
      <c r="TOG2198" s="10"/>
      <c r="TOH2198" s="10"/>
      <c r="TOI2198" s="10"/>
      <c r="TOJ2198" s="10"/>
      <c r="TOK2198" s="10"/>
      <c r="TOL2198" s="10"/>
      <c r="TOM2198" s="10"/>
      <c r="TON2198" s="10"/>
      <c r="TOO2198" s="10"/>
      <c r="TOP2198" s="10"/>
      <c r="TOQ2198" s="10"/>
      <c r="TOR2198" s="10"/>
      <c r="TOS2198" s="10"/>
      <c r="TOT2198" s="10"/>
      <c r="TOU2198" s="10"/>
      <c r="TOV2198" s="10"/>
      <c r="TOW2198" s="10"/>
      <c r="TOX2198" s="10"/>
      <c r="TOY2198" s="10"/>
      <c r="TOZ2198" s="10"/>
      <c r="TPA2198" s="10"/>
      <c r="TPB2198" s="10"/>
      <c r="TPC2198" s="10"/>
      <c r="TPD2198" s="10"/>
      <c r="TPE2198" s="10"/>
      <c r="TPF2198" s="10"/>
      <c r="TPG2198" s="10"/>
      <c r="TPH2198" s="10"/>
      <c r="TPI2198" s="10"/>
      <c r="TPJ2198" s="10"/>
      <c r="TPK2198" s="10"/>
      <c r="TPL2198" s="10"/>
      <c r="TPM2198" s="10"/>
      <c r="TPN2198" s="10"/>
      <c r="TPO2198" s="10"/>
      <c r="TPP2198" s="10"/>
      <c r="TPQ2198" s="10"/>
      <c r="TPR2198" s="10"/>
      <c r="TPS2198" s="10"/>
      <c r="TPT2198" s="10"/>
      <c r="TPU2198" s="10"/>
      <c r="TPV2198" s="10"/>
      <c r="TPW2198" s="10"/>
      <c r="TPX2198" s="10"/>
      <c r="TPY2198" s="10"/>
      <c r="TPZ2198" s="10"/>
      <c r="TQA2198" s="10"/>
      <c r="TQB2198" s="10"/>
      <c r="TQC2198" s="10"/>
      <c r="TQD2198" s="10"/>
      <c r="TQE2198" s="10"/>
      <c r="TQF2198" s="10"/>
      <c r="TQG2198" s="10"/>
      <c r="TQH2198" s="10"/>
      <c r="TQI2198" s="10"/>
      <c r="TQJ2198" s="10"/>
      <c r="TQK2198" s="10"/>
      <c r="TQL2198" s="10"/>
      <c r="TQM2198" s="10"/>
      <c r="TQN2198" s="10"/>
      <c r="TQO2198" s="10"/>
      <c r="TQP2198" s="10"/>
      <c r="TQQ2198" s="10"/>
      <c r="TQR2198" s="10"/>
      <c r="TQS2198" s="10"/>
      <c r="TQT2198" s="10"/>
      <c r="TQU2198" s="10"/>
      <c r="TQV2198" s="10"/>
      <c r="TQW2198" s="10"/>
      <c r="TQX2198" s="10"/>
      <c r="TQY2198" s="10"/>
      <c r="TQZ2198" s="10"/>
      <c r="TRA2198" s="10"/>
      <c r="TRB2198" s="10"/>
      <c r="TRC2198" s="10"/>
      <c r="TRD2198" s="10"/>
      <c r="TRE2198" s="10"/>
      <c r="TRF2198" s="10"/>
      <c r="TRG2198" s="10"/>
      <c r="TRH2198" s="10"/>
      <c r="TRI2198" s="10"/>
      <c r="TRJ2198" s="10"/>
      <c r="TRK2198" s="10"/>
      <c r="TRL2198" s="10"/>
      <c r="TRM2198" s="10"/>
      <c r="TRN2198" s="10"/>
      <c r="TRO2198" s="10"/>
      <c r="TRP2198" s="10"/>
      <c r="TRQ2198" s="10"/>
      <c r="TRR2198" s="10"/>
      <c r="TRS2198" s="10"/>
      <c r="TRT2198" s="10"/>
      <c r="TRU2198" s="10"/>
      <c r="TRV2198" s="10"/>
      <c r="TRW2198" s="10"/>
      <c r="TRX2198" s="10"/>
      <c r="TRY2198" s="10"/>
      <c r="TRZ2198" s="10"/>
      <c r="TSA2198" s="10"/>
      <c r="TSB2198" s="10"/>
      <c r="TSC2198" s="10"/>
      <c r="TSD2198" s="10"/>
      <c r="TSE2198" s="10"/>
      <c r="TSF2198" s="10"/>
      <c r="TSG2198" s="10"/>
      <c r="TSH2198" s="10"/>
      <c r="TSI2198" s="10"/>
      <c r="TSJ2198" s="10"/>
      <c r="TSK2198" s="10"/>
      <c r="TSL2198" s="10"/>
      <c r="TSM2198" s="10"/>
      <c r="TSN2198" s="10"/>
      <c r="TSO2198" s="10"/>
      <c r="TSP2198" s="10"/>
      <c r="TSQ2198" s="10"/>
      <c r="TSR2198" s="10"/>
      <c r="TSS2198" s="10"/>
      <c r="TST2198" s="10"/>
      <c r="TSU2198" s="10"/>
      <c r="TSV2198" s="10"/>
      <c r="TSW2198" s="10"/>
      <c r="TSX2198" s="10"/>
      <c r="TSY2198" s="10"/>
      <c r="TSZ2198" s="10"/>
      <c r="TTA2198" s="10"/>
      <c r="TTB2198" s="10"/>
      <c r="TTC2198" s="10"/>
      <c r="TTD2198" s="10"/>
      <c r="TTE2198" s="10"/>
      <c r="TTF2198" s="10"/>
      <c r="TTG2198" s="10"/>
      <c r="TTH2198" s="10"/>
      <c r="TTI2198" s="10"/>
      <c r="TTJ2198" s="10"/>
      <c r="TTK2198" s="10"/>
      <c r="TTL2198" s="10"/>
      <c r="TTM2198" s="10"/>
      <c r="TTN2198" s="10"/>
      <c r="TTO2198" s="10"/>
      <c r="TTP2198" s="10"/>
      <c r="TTQ2198" s="10"/>
      <c r="TTR2198" s="10"/>
      <c r="TTS2198" s="10"/>
      <c r="TTT2198" s="10"/>
      <c r="TTU2198" s="10"/>
      <c r="TTV2198" s="10"/>
      <c r="TTW2198" s="10"/>
      <c r="TTX2198" s="10"/>
      <c r="TTY2198" s="10"/>
      <c r="TTZ2198" s="10"/>
      <c r="TUA2198" s="10"/>
      <c r="TUB2198" s="10"/>
      <c r="TUC2198" s="10"/>
      <c r="TUD2198" s="10"/>
      <c r="TUE2198" s="10"/>
      <c r="TUF2198" s="10"/>
      <c r="TUG2198" s="10"/>
      <c r="TUH2198" s="10"/>
      <c r="TUI2198" s="10"/>
      <c r="TUJ2198" s="10"/>
      <c r="TUK2198" s="10"/>
      <c r="TUL2198" s="10"/>
      <c r="TUM2198" s="10"/>
      <c r="TUN2198" s="10"/>
      <c r="TUO2198" s="10"/>
      <c r="TUP2198" s="10"/>
      <c r="TUQ2198" s="10"/>
      <c r="TUR2198" s="10"/>
      <c r="TUS2198" s="10"/>
      <c r="TUT2198" s="10"/>
      <c r="TUU2198" s="10"/>
      <c r="TUV2198" s="10"/>
      <c r="TUW2198" s="10"/>
      <c r="TUX2198" s="10"/>
      <c r="TUY2198" s="10"/>
      <c r="TUZ2198" s="10"/>
      <c r="TVA2198" s="10"/>
      <c r="TVB2198" s="10"/>
      <c r="TVC2198" s="10"/>
      <c r="TVD2198" s="10"/>
      <c r="TVE2198" s="10"/>
      <c r="TVF2198" s="10"/>
      <c r="TVG2198" s="10"/>
      <c r="TVH2198" s="10"/>
      <c r="TVI2198" s="10"/>
      <c r="TVJ2198" s="10"/>
      <c r="TVK2198" s="10"/>
      <c r="TVL2198" s="10"/>
      <c r="TVM2198" s="10"/>
      <c r="TVN2198" s="10"/>
      <c r="TVO2198" s="10"/>
      <c r="TVP2198" s="10"/>
      <c r="TVQ2198" s="10"/>
      <c r="TVR2198" s="10"/>
      <c r="TVS2198" s="10"/>
      <c r="TVT2198" s="10"/>
      <c r="TVU2198" s="10"/>
      <c r="TVV2198" s="10"/>
      <c r="TVW2198" s="10"/>
      <c r="TVX2198" s="10"/>
      <c r="TVY2198" s="10"/>
      <c r="TVZ2198" s="10"/>
      <c r="TWA2198" s="10"/>
      <c r="TWB2198" s="10"/>
      <c r="TWC2198" s="10"/>
      <c r="TWD2198" s="10"/>
      <c r="TWE2198" s="10"/>
      <c r="TWF2198" s="10"/>
      <c r="TWG2198" s="10"/>
      <c r="TWH2198" s="10"/>
      <c r="TWI2198" s="10"/>
      <c r="TWJ2198" s="10"/>
      <c r="TWK2198" s="10"/>
      <c r="TWL2198" s="10"/>
      <c r="TWM2198" s="10"/>
      <c r="TWN2198" s="10"/>
      <c r="TWO2198" s="10"/>
      <c r="TWP2198" s="10"/>
      <c r="TWQ2198" s="10"/>
      <c r="TWR2198" s="10"/>
      <c r="TWS2198" s="10"/>
      <c r="TWT2198" s="10"/>
      <c r="TWU2198" s="10"/>
      <c r="TWV2198" s="10"/>
      <c r="TWW2198" s="10"/>
      <c r="TWX2198" s="10"/>
      <c r="TWY2198" s="10"/>
      <c r="TWZ2198" s="10"/>
      <c r="TXA2198" s="10"/>
      <c r="TXB2198" s="10"/>
      <c r="TXC2198" s="10"/>
      <c r="TXD2198" s="10"/>
      <c r="TXE2198" s="10"/>
      <c r="TXF2198" s="10"/>
      <c r="TXG2198" s="10"/>
      <c r="TXH2198" s="10"/>
      <c r="TXI2198" s="10"/>
      <c r="TXJ2198" s="10"/>
      <c r="TXK2198" s="10"/>
      <c r="TXL2198" s="10"/>
      <c r="TXM2198" s="10"/>
      <c r="TXN2198" s="10"/>
      <c r="TXO2198" s="10"/>
      <c r="TXP2198" s="10"/>
      <c r="TXQ2198" s="10"/>
      <c r="TXR2198" s="10"/>
      <c r="TXS2198" s="10"/>
      <c r="TXT2198" s="10"/>
      <c r="TXU2198" s="10"/>
      <c r="TXV2198" s="10"/>
      <c r="TXW2198" s="10"/>
      <c r="TXX2198" s="10"/>
      <c r="TXY2198" s="10"/>
      <c r="TXZ2198" s="10"/>
      <c r="TYA2198" s="10"/>
      <c r="TYB2198" s="10"/>
      <c r="TYC2198" s="10"/>
      <c r="TYD2198" s="10"/>
      <c r="TYE2198" s="10"/>
      <c r="TYF2198" s="10"/>
      <c r="TYG2198" s="10"/>
      <c r="TYH2198" s="10"/>
      <c r="TYI2198" s="10"/>
      <c r="TYJ2198" s="10"/>
      <c r="TYK2198" s="10"/>
      <c r="TYL2198" s="10"/>
      <c r="TYM2198" s="10"/>
      <c r="TYN2198" s="10"/>
      <c r="TYO2198" s="10"/>
      <c r="TYP2198" s="10"/>
      <c r="TYQ2198" s="10"/>
      <c r="TYR2198" s="10"/>
      <c r="TYS2198" s="10"/>
      <c r="TYT2198" s="10"/>
      <c r="TYU2198" s="10"/>
      <c r="TYV2198" s="10"/>
      <c r="TYW2198" s="10"/>
      <c r="TYX2198" s="10"/>
      <c r="TYY2198" s="10"/>
      <c r="TYZ2198" s="10"/>
      <c r="TZA2198" s="10"/>
      <c r="TZB2198" s="10"/>
      <c r="TZC2198" s="10"/>
      <c r="TZD2198" s="10"/>
      <c r="TZE2198" s="10"/>
      <c r="TZF2198" s="10"/>
      <c r="TZG2198" s="10"/>
      <c r="TZH2198" s="10"/>
      <c r="TZI2198" s="10"/>
      <c r="TZJ2198" s="10"/>
      <c r="TZK2198" s="10"/>
      <c r="TZL2198" s="10"/>
      <c r="TZM2198" s="10"/>
      <c r="TZN2198" s="10"/>
      <c r="TZO2198" s="10"/>
      <c r="TZP2198" s="10"/>
      <c r="TZQ2198" s="10"/>
      <c r="TZR2198" s="10"/>
      <c r="TZS2198" s="10"/>
      <c r="TZT2198" s="10"/>
      <c r="TZU2198" s="10"/>
      <c r="TZV2198" s="10"/>
      <c r="TZW2198" s="10"/>
      <c r="TZX2198" s="10"/>
      <c r="TZY2198" s="10"/>
      <c r="TZZ2198" s="10"/>
      <c r="UAA2198" s="10"/>
      <c r="UAB2198" s="10"/>
      <c r="UAC2198" s="10"/>
      <c r="UAD2198" s="10"/>
      <c r="UAE2198" s="10"/>
      <c r="UAF2198" s="10"/>
      <c r="UAG2198" s="10"/>
      <c r="UAH2198" s="10"/>
      <c r="UAI2198" s="10"/>
      <c r="UAJ2198" s="10"/>
      <c r="UAK2198" s="10"/>
      <c r="UAL2198" s="10"/>
      <c r="UAM2198" s="10"/>
      <c r="UAN2198" s="10"/>
      <c r="UAO2198" s="10"/>
      <c r="UAP2198" s="10"/>
      <c r="UAQ2198" s="10"/>
      <c r="UAR2198" s="10"/>
      <c r="UAS2198" s="10"/>
      <c r="UAT2198" s="10"/>
      <c r="UAU2198" s="10"/>
      <c r="UAV2198" s="10"/>
      <c r="UAW2198" s="10"/>
      <c r="UAX2198" s="10"/>
      <c r="UAY2198" s="10"/>
      <c r="UAZ2198" s="10"/>
      <c r="UBA2198" s="10"/>
      <c r="UBB2198" s="10"/>
      <c r="UBC2198" s="10"/>
      <c r="UBD2198" s="10"/>
      <c r="UBE2198" s="10"/>
      <c r="UBF2198" s="10"/>
      <c r="UBG2198" s="10"/>
      <c r="UBH2198" s="10"/>
      <c r="UBI2198" s="10"/>
      <c r="UBJ2198" s="10"/>
      <c r="UBK2198" s="10"/>
      <c r="UBL2198" s="10"/>
      <c r="UBM2198" s="10"/>
      <c r="UBN2198" s="10"/>
      <c r="UBO2198" s="10"/>
      <c r="UBP2198" s="10"/>
      <c r="UBQ2198" s="10"/>
      <c r="UBR2198" s="10"/>
      <c r="UBS2198" s="10"/>
      <c r="UBT2198" s="10"/>
      <c r="UBU2198" s="10"/>
      <c r="UBV2198" s="10"/>
      <c r="UBW2198" s="10"/>
      <c r="UBX2198" s="10"/>
      <c r="UBY2198" s="10"/>
      <c r="UBZ2198" s="10"/>
      <c r="UCA2198" s="10"/>
      <c r="UCB2198" s="10"/>
      <c r="UCC2198" s="10"/>
      <c r="UCD2198" s="10"/>
      <c r="UCE2198" s="10"/>
      <c r="UCF2198" s="10"/>
      <c r="UCG2198" s="10"/>
      <c r="UCH2198" s="10"/>
      <c r="UCI2198" s="10"/>
      <c r="UCJ2198" s="10"/>
      <c r="UCK2198" s="10"/>
      <c r="UCL2198" s="10"/>
      <c r="UCM2198" s="10"/>
      <c r="UCN2198" s="10"/>
      <c r="UCO2198" s="10"/>
      <c r="UCP2198" s="10"/>
      <c r="UCQ2198" s="10"/>
      <c r="UCR2198" s="10"/>
      <c r="UCS2198" s="10"/>
      <c r="UCT2198" s="10"/>
      <c r="UCU2198" s="10"/>
      <c r="UCV2198" s="10"/>
      <c r="UCW2198" s="10"/>
      <c r="UCX2198" s="10"/>
      <c r="UCY2198" s="10"/>
      <c r="UCZ2198" s="10"/>
      <c r="UDA2198" s="10"/>
      <c r="UDB2198" s="10"/>
      <c r="UDC2198" s="10"/>
      <c r="UDD2198" s="10"/>
      <c r="UDE2198" s="10"/>
      <c r="UDF2198" s="10"/>
      <c r="UDG2198" s="10"/>
      <c r="UDH2198" s="10"/>
      <c r="UDI2198" s="10"/>
      <c r="UDJ2198" s="10"/>
      <c r="UDK2198" s="10"/>
      <c r="UDL2198" s="10"/>
      <c r="UDM2198" s="10"/>
      <c r="UDN2198" s="10"/>
      <c r="UDO2198" s="10"/>
      <c r="UDP2198" s="10"/>
      <c r="UDQ2198" s="10"/>
      <c r="UDR2198" s="10"/>
      <c r="UDS2198" s="10"/>
      <c r="UDT2198" s="10"/>
      <c r="UDU2198" s="10"/>
      <c r="UDV2198" s="10"/>
      <c r="UDW2198" s="10"/>
      <c r="UDX2198" s="10"/>
      <c r="UDY2198" s="10"/>
      <c r="UDZ2198" s="10"/>
      <c r="UEA2198" s="10"/>
      <c r="UEB2198" s="10"/>
      <c r="UEC2198" s="10"/>
      <c r="UED2198" s="10"/>
      <c r="UEE2198" s="10"/>
      <c r="UEF2198" s="10"/>
      <c r="UEG2198" s="10"/>
      <c r="UEH2198" s="10"/>
      <c r="UEI2198" s="10"/>
      <c r="UEJ2198" s="10"/>
      <c r="UEK2198" s="10"/>
      <c r="UEL2198" s="10"/>
      <c r="UEM2198" s="10"/>
      <c r="UEN2198" s="10"/>
      <c r="UEO2198" s="10"/>
      <c r="UEP2198" s="10"/>
      <c r="UEQ2198" s="10"/>
      <c r="UER2198" s="10"/>
      <c r="UES2198" s="10"/>
      <c r="UET2198" s="10"/>
      <c r="UEU2198" s="10"/>
      <c r="UEV2198" s="10"/>
      <c r="UEW2198" s="10"/>
      <c r="UEX2198" s="10"/>
      <c r="UEY2198" s="10"/>
      <c r="UEZ2198" s="10"/>
      <c r="UFA2198" s="10"/>
      <c r="UFB2198" s="10"/>
      <c r="UFC2198" s="10"/>
      <c r="UFD2198" s="10"/>
      <c r="UFE2198" s="10"/>
      <c r="UFF2198" s="10"/>
      <c r="UFG2198" s="10"/>
      <c r="UFH2198" s="10"/>
      <c r="UFI2198" s="10"/>
      <c r="UFJ2198" s="10"/>
      <c r="UFK2198" s="10"/>
      <c r="UFL2198" s="10"/>
      <c r="UFM2198" s="10"/>
      <c r="UFN2198" s="10"/>
      <c r="UFO2198" s="10"/>
      <c r="UFP2198" s="10"/>
      <c r="UFQ2198" s="10"/>
      <c r="UFR2198" s="10"/>
      <c r="UFS2198" s="10"/>
      <c r="UFT2198" s="10"/>
      <c r="UFU2198" s="10"/>
      <c r="UFV2198" s="10"/>
      <c r="UFW2198" s="10"/>
      <c r="UFX2198" s="10"/>
      <c r="UFY2198" s="10"/>
      <c r="UFZ2198" s="10"/>
      <c r="UGA2198" s="10"/>
      <c r="UGB2198" s="10"/>
      <c r="UGC2198" s="10"/>
      <c r="UGD2198" s="10"/>
      <c r="UGE2198" s="10"/>
      <c r="UGF2198" s="10"/>
      <c r="UGG2198" s="10"/>
      <c r="UGH2198" s="10"/>
      <c r="UGI2198" s="10"/>
      <c r="UGJ2198" s="10"/>
      <c r="UGK2198" s="10"/>
      <c r="UGL2198" s="10"/>
      <c r="UGM2198" s="10"/>
      <c r="UGN2198" s="10"/>
      <c r="UGO2198" s="10"/>
      <c r="UGP2198" s="10"/>
      <c r="UGQ2198" s="10"/>
      <c r="UGR2198" s="10"/>
      <c r="UGS2198" s="10"/>
      <c r="UGT2198" s="10"/>
      <c r="UGU2198" s="10"/>
      <c r="UGV2198" s="10"/>
      <c r="UGW2198" s="10"/>
      <c r="UGX2198" s="10"/>
      <c r="UGY2198" s="10"/>
      <c r="UGZ2198" s="10"/>
      <c r="UHA2198" s="10"/>
      <c r="UHB2198" s="10"/>
      <c r="UHC2198" s="10"/>
      <c r="UHD2198" s="10"/>
      <c r="UHE2198" s="10"/>
      <c r="UHF2198" s="10"/>
      <c r="UHG2198" s="10"/>
      <c r="UHH2198" s="10"/>
      <c r="UHI2198" s="10"/>
      <c r="UHJ2198" s="10"/>
      <c r="UHK2198" s="10"/>
      <c r="UHL2198" s="10"/>
      <c r="UHM2198" s="10"/>
      <c r="UHN2198" s="10"/>
      <c r="UHO2198" s="10"/>
      <c r="UHP2198" s="10"/>
      <c r="UHQ2198" s="10"/>
      <c r="UHR2198" s="10"/>
      <c r="UHS2198" s="10"/>
      <c r="UHT2198" s="10"/>
      <c r="UHU2198" s="10"/>
      <c r="UHV2198" s="10"/>
      <c r="UHW2198" s="10"/>
      <c r="UHX2198" s="10"/>
      <c r="UHY2198" s="10"/>
      <c r="UHZ2198" s="10"/>
      <c r="UIA2198" s="10"/>
      <c r="UIB2198" s="10"/>
      <c r="UIC2198" s="10"/>
      <c r="UID2198" s="10"/>
      <c r="UIE2198" s="10"/>
      <c r="UIF2198" s="10"/>
      <c r="UIG2198" s="10"/>
      <c r="UIH2198" s="10"/>
      <c r="UII2198" s="10"/>
      <c r="UIJ2198" s="10"/>
      <c r="UIK2198" s="10"/>
      <c r="UIL2198" s="10"/>
      <c r="UIM2198" s="10"/>
      <c r="UIN2198" s="10"/>
      <c r="UIO2198" s="10"/>
      <c r="UIP2198" s="10"/>
      <c r="UIQ2198" s="10"/>
      <c r="UIR2198" s="10"/>
      <c r="UIS2198" s="10"/>
      <c r="UIT2198" s="10"/>
      <c r="UIU2198" s="10"/>
      <c r="UIV2198" s="10"/>
      <c r="UIW2198" s="10"/>
      <c r="UIX2198" s="10"/>
      <c r="UIY2198" s="10"/>
      <c r="UIZ2198" s="10"/>
      <c r="UJA2198" s="10"/>
      <c r="UJB2198" s="10"/>
      <c r="UJC2198" s="10"/>
      <c r="UJD2198" s="10"/>
      <c r="UJE2198" s="10"/>
      <c r="UJF2198" s="10"/>
      <c r="UJG2198" s="10"/>
      <c r="UJH2198" s="10"/>
      <c r="UJI2198" s="10"/>
      <c r="UJJ2198" s="10"/>
      <c r="UJK2198" s="10"/>
      <c r="UJL2198" s="10"/>
      <c r="UJM2198" s="10"/>
      <c r="UJN2198" s="10"/>
      <c r="UJO2198" s="10"/>
      <c r="UJP2198" s="10"/>
      <c r="UJQ2198" s="10"/>
      <c r="UJR2198" s="10"/>
      <c r="UJS2198" s="10"/>
      <c r="UJT2198" s="10"/>
      <c r="UJU2198" s="10"/>
      <c r="UJV2198" s="10"/>
      <c r="UJW2198" s="10"/>
      <c r="UJX2198" s="10"/>
      <c r="UJY2198" s="10"/>
      <c r="UJZ2198" s="10"/>
      <c r="UKA2198" s="10"/>
      <c r="UKB2198" s="10"/>
      <c r="UKC2198" s="10"/>
      <c r="UKD2198" s="10"/>
      <c r="UKE2198" s="10"/>
      <c r="UKF2198" s="10"/>
      <c r="UKG2198" s="10"/>
      <c r="UKH2198" s="10"/>
      <c r="UKI2198" s="10"/>
      <c r="UKJ2198" s="10"/>
      <c r="UKK2198" s="10"/>
      <c r="UKL2198" s="10"/>
      <c r="UKM2198" s="10"/>
      <c r="UKN2198" s="10"/>
      <c r="UKO2198" s="10"/>
      <c r="UKP2198" s="10"/>
      <c r="UKQ2198" s="10"/>
      <c r="UKR2198" s="10"/>
      <c r="UKS2198" s="10"/>
      <c r="UKT2198" s="10"/>
      <c r="UKU2198" s="10"/>
      <c r="UKV2198" s="10"/>
      <c r="UKW2198" s="10"/>
      <c r="UKX2198" s="10"/>
      <c r="UKY2198" s="10"/>
      <c r="UKZ2198" s="10"/>
      <c r="ULA2198" s="10"/>
      <c r="ULB2198" s="10"/>
      <c r="ULC2198" s="10"/>
      <c r="ULD2198" s="10"/>
      <c r="ULE2198" s="10"/>
      <c r="ULF2198" s="10"/>
      <c r="ULG2198" s="10"/>
      <c r="ULH2198" s="10"/>
      <c r="ULI2198" s="10"/>
      <c r="ULJ2198" s="10"/>
      <c r="ULK2198" s="10"/>
      <c r="ULL2198" s="10"/>
      <c r="ULM2198" s="10"/>
      <c r="ULN2198" s="10"/>
      <c r="ULO2198" s="10"/>
      <c r="ULP2198" s="10"/>
      <c r="ULQ2198" s="10"/>
      <c r="ULR2198" s="10"/>
      <c r="ULS2198" s="10"/>
      <c r="ULT2198" s="10"/>
      <c r="ULU2198" s="10"/>
      <c r="ULV2198" s="10"/>
      <c r="ULW2198" s="10"/>
      <c r="ULX2198" s="10"/>
      <c r="ULY2198" s="10"/>
      <c r="ULZ2198" s="10"/>
      <c r="UMA2198" s="10"/>
      <c r="UMB2198" s="10"/>
      <c r="UMC2198" s="10"/>
      <c r="UMD2198" s="10"/>
      <c r="UME2198" s="10"/>
      <c r="UMF2198" s="10"/>
      <c r="UMG2198" s="10"/>
      <c r="UMH2198" s="10"/>
      <c r="UMI2198" s="10"/>
      <c r="UMJ2198" s="10"/>
      <c r="UMK2198" s="10"/>
      <c r="UML2198" s="10"/>
      <c r="UMM2198" s="10"/>
      <c r="UMN2198" s="10"/>
      <c r="UMO2198" s="10"/>
      <c r="UMP2198" s="10"/>
      <c r="UMQ2198" s="10"/>
      <c r="UMR2198" s="10"/>
      <c r="UMS2198" s="10"/>
      <c r="UMT2198" s="10"/>
      <c r="UMU2198" s="10"/>
      <c r="UMV2198" s="10"/>
      <c r="UMW2198" s="10"/>
      <c r="UMX2198" s="10"/>
      <c r="UMY2198" s="10"/>
      <c r="UMZ2198" s="10"/>
      <c r="UNA2198" s="10"/>
      <c r="UNB2198" s="10"/>
      <c r="UNC2198" s="10"/>
      <c r="UND2198" s="10"/>
      <c r="UNE2198" s="10"/>
      <c r="UNF2198" s="10"/>
      <c r="UNG2198" s="10"/>
      <c r="UNH2198" s="10"/>
      <c r="UNI2198" s="10"/>
      <c r="UNJ2198" s="10"/>
      <c r="UNK2198" s="10"/>
      <c r="UNL2198" s="10"/>
      <c r="UNM2198" s="10"/>
      <c r="UNN2198" s="10"/>
      <c r="UNO2198" s="10"/>
      <c r="UNP2198" s="10"/>
      <c r="UNQ2198" s="10"/>
      <c r="UNR2198" s="10"/>
      <c r="UNS2198" s="10"/>
      <c r="UNT2198" s="10"/>
      <c r="UNU2198" s="10"/>
      <c r="UNV2198" s="10"/>
      <c r="UNW2198" s="10"/>
      <c r="UNX2198" s="10"/>
      <c r="UNY2198" s="10"/>
      <c r="UNZ2198" s="10"/>
      <c r="UOA2198" s="10"/>
      <c r="UOB2198" s="10"/>
      <c r="UOC2198" s="10"/>
      <c r="UOD2198" s="10"/>
      <c r="UOE2198" s="10"/>
      <c r="UOF2198" s="10"/>
      <c r="UOG2198" s="10"/>
      <c r="UOH2198" s="10"/>
      <c r="UOI2198" s="10"/>
      <c r="UOJ2198" s="10"/>
      <c r="UOK2198" s="10"/>
      <c r="UOL2198" s="10"/>
      <c r="UOM2198" s="10"/>
      <c r="UON2198" s="10"/>
      <c r="UOO2198" s="10"/>
      <c r="UOP2198" s="10"/>
      <c r="UOQ2198" s="10"/>
      <c r="UOR2198" s="10"/>
      <c r="UOS2198" s="10"/>
      <c r="UOT2198" s="10"/>
      <c r="UOU2198" s="10"/>
      <c r="UOV2198" s="10"/>
      <c r="UOW2198" s="10"/>
      <c r="UOX2198" s="10"/>
      <c r="UOY2198" s="10"/>
      <c r="UOZ2198" s="10"/>
      <c r="UPA2198" s="10"/>
      <c r="UPB2198" s="10"/>
      <c r="UPC2198" s="10"/>
      <c r="UPD2198" s="10"/>
      <c r="UPE2198" s="10"/>
      <c r="UPF2198" s="10"/>
      <c r="UPG2198" s="10"/>
      <c r="UPH2198" s="10"/>
      <c r="UPI2198" s="10"/>
      <c r="UPJ2198" s="10"/>
      <c r="UPK2198" s="10"/>
      <c r="UPL2198" s="10"/>
      <c r="UPM2198" s="10"/>
      <c r="UPN2198" s="10"/>
      <c r="UPO2198" s="10"/>
      <c r="UPP2198" s="10"/>
      <c r="UPQ2198" s="10"/>
      <c r="UPR2198" s="10"/>
      <c r="UPS2198" s="10"/>
      <c r="UPT2198" s="10"/>
      <c r="UPU2198" s="10"/>
      <c r="UPV2198" s="10"/>
      <c r="UPW2198" s="10"/>
      <c r="UPX2198" s="10"/>
      <c r="UPY2198" s="10"/>
      <c r="UPZ2198" s="10"/>
      <c r="UQA2198" s="10"/>
      <c r="UQB2198" s="10"/>
      <c r="UQC2198" s="10"/>
      <c r="UQD2198" s="10"/>
      <c r="UQE2198" s="10"/>
      <c r="UQF2198" s="10"/>
      <c r="UQG2198" s="10"/>
      <c r="UQH2198" s="10"/>
      <c r="UQI2198" s="10"/>
      <c r="UQJ2198" s="10"/>
      <c r="UQK2198" s="10"/>
      <c r="UQL2198" s="10"/>
      <c r="UQM2198" s="10"/>
      <c r="UQN2198" s="10"/>
      <c r="UQO2198" s="10"/>
      <c r="UQP2198" s="10"/>
      <c r="UQQ2198" s="10"/>
      <c r="UQR2198" s="10"/>
      <c r="UQS2198" s="10"/>
      <c r="UQT2198" s="10"/>
      <c r="UQU2198" s="10"/>
      <c r="UQV2198" s="10"/>
      <c r="UQW2198" s="10"/>
      <c r="UQX2198" s="10"/>
      <c r="UQY2198" s="10"/>
      <c r="UQZ2198" s="10"/>
      <c r="URA2198" s="10"/>
      <c r="URB2198" s="10"/>
      <c r="URC2198" s="10"/>
      <c r="URD2198" s="10"/>
      <c r="URE2198" s="10"/>
      <c r="URF2198" s="10"/>
      <c r="URG2198" s="10"/>
      <c r="URH2198" s="10"/>
      <c r="URI2198" s="10"/>
      <c r="URJ2198" s="10"/>
      <c r="URK2198" s="10"/>
      <c r="URL2198" s="10"/>
      <c r="URM2198" s="10"/>
      <c r="URN2198" s="10"/>
      <c r="URO2198" s="10"/>
      <c r="URP2198" s="10"/>
      <c r="URQ2198" s="10"/>
      <c r="URR2198" s="10"/>
      <c r="URS2198" s="10"/>
      <c r="URT2198" s="10"/>
      <c r="URU2198" s="10"/>
      <c r="URV2198" s="10"/>
      <c r="URW2198" s="10"/>
      <c r="URX2198" s="10"/>
      <c r="URY2198" s="10"/>
      <c r="URZ2198" s="10"/>
      <c r="USA2198" s="10"/>
      <c r="USB2198" s="10"/>
      <c r="USC2198" s="10"/>
      <c r="USD2198" s="10"/>
      <c r="USE2198" s="10"/>
      <c r="USF2198" s="10"/>
      <c r="USG2198" s="10"/>
      <c r="USH2198" s="10"/>
      <c r="USI2198" s="10"/>
      <c r="USJ2198" s="10"/>
      <c r="USK2198" s="10"/>
      <c r="USL2198" s="10"/>
      <c r="USM2198" s="10"/>
      <c r="USN2198" s="10"/>
      <c r="USO2198" s="10"/>
      <c r="USP2198" s="10"/>
      <c r="USQ2198" s="10"/>
      <c r="USR2198" s="10"/>
      <c r="USS2198" s="10"/>
      <c r="UST2198" s="10"/>
      <c r="USU2198" s="10"/>
      <c r="USV2198" s="10"/>
      <c r="USW2198" s="10"/>
      <c r="USX2198" s="10"/>
      <c r="USY2198" s="10"/>
      <c r="USZ2198" s="10"/>
      <c r="UTA2198" s="10"/>
      <c r="UTB2198" s="10"/>
      <c r="UTC2198" s="10"/>
      <c r="UTD2198" s="10"/>
      <c r="UTE2198" s="10"/>
      <c r="UTF2198" s="10"/>
      <c r="UTG2198" s="10"/>
      <c r="UTH2198" s="10"/>
      <c r="UTI2198" s="10"/>
      <c r="UTJ2198" s="10"/>
      <c r="UTK2198" s="10"/>
      <c r="UTL2198" s="10"/>
      <c r="UTM2198" s="10"/>
      <c r="UTN2198" s="10"/>
      <c r="UTO2198" s="10"/>
      <c r="UTP2198" s="10"/>
      <c r="UTQ2198" s="10"/>
      <c r="UTR2198" s="10"/>
      <c r="UTS2198" s="10"/>
      <c r="UTT2198" s="10"/>
      <c r="UTU2198" s="10"/>
      <c r="UTV2198" s="10"/>
      <c r="UTW2198" s="10"/>
      <c r="UTX2198" s="10"/>
      <c r="UTY2198" s="10"/>
      <c r="UTZ2198" s="10"/>
      <c r="UUA2198" s="10"/>
      <c r="UUB2198" s="10"/>
      <c r="UUC2198" s="10"/>
      <c r="UUD2198" s="10"/>
      <c r="UUE2198" s="10"/>
      <c r="UUF2198" s="10"/>
      <c r="UUG2198" s="10"/>
      <c r="UUH2198" s="10"/>
      <c r="UUI2198" s="10"/>
      <c r="UUJ2198" s="10"/>
      <c r="UUK2198" s="10"/>
      <c r="UUL2198" s="10"/>
      <c r="UUM2198" s="10"/>
      <c r="UUN2198" s="10"/>
      <c r="UUO2198" s="10"/>
      <c r="UUP2198" s="10"/>
      <c r="UUQ2198" s="10"/>
      <c r="UUR2198" s="10"/>
      <c r="UUS2198" s="10"/>
      <c r="UUT2198" s="10"/>
      <c r="UUU2198" s="10"/>
      <c r="UUV2198" s="10"/>
      <c r="UUW2198" s="10"/>
      <c r="UUX2198" s="10"/>
      <c r="UUY2198" s="10"/>
      <c r="UUZ2198" s="10"/>
      <c r="UVA2198" s="10"/>
      <c r="UVB2198" s="10"/>
      <c r="UVC2198" s="10"/>
      <c r="UVD2198" s="10"/>
      <c r="UVE2198" s="10"/>
      <c r="UVF2198" s="10"/>
      <c r="UVG2198" s="10"/>
      <c r="UVH2198" s="10"/>
      <c r="UVI2198" s="10"/>
      <c r="UVJ2198" s="10"/>
      <c r="UVK2198" s="10"/>
      <c r="UVL2198" s="10"/>
      <c r="UVM2198" s="10"/>
      <c r="UVN2198" s="10"/>
      <c r="UVO2198" s="10"/>
      <c r="UVP2198" s="10"/>
      <c r="UVQ2198" s="10"/>
      <c r="UVR2198" s="10"/>
      <c r="UVS2198" s="10"/>
      <c r="UVT2198" s="10"/>
      <c r="UVU2198" s="10"/>
      <c r="UVV2198" s="10"/>
      <c r="UVW2198" s="10"/>
      <c r="UVX2198" s="10"/>
      <c r="UVY2198" s="10"/>
      <c r="UVZ2198" s="10"/>
      <c r="UWA2198" s="10"/>
      <c r="UWB2198" s="10"/>
      <c r="UWC2198" s="10"/>
      <c r="UWD2198" s="10"/>
      <c r="UWE2198" s="10"/>
      <c r="UWF2198" s="10"/>
      <c r="UWG2198" s="10"/>
      <c r="UWH2198" s="10"/>
      <c r="UWI2198" s="10"/>
      <c r="UWJ2198" s="10"/>
      <c r="UWK2198" s="10"/>
      <c r="UWL2198" s="10"/>
      <c r="UWM2198" s="10"/>
      <c r="UWN2198" s="10"/>
      <c r="UWO2198" s="10"/>
      <c r="UWP2198" s="10"/>
      <c r="UWQ2198" s="10"/>
      <c r="UWR2198" s="10"/>
      <c r="UWS2198" s="10"/>
      <c r="UWT2198" s="10"/>
      <c r="UWU2198" s="10"/>
      <c r="UWV2198" s="10"/>
      <c r="UWW2198" s="10"/>
      <c r="UWX2198" s="10"/>
      <c r="UWY2198" s="10"/>
      <c r="UWZ2198" s="10"/>
      <c r="UXA2198" s="10"/>
      <c r="UXB2198" s="10"/>
      <c r="UXC2198" s="10"/>
      <c r="UXD2198" s="10"/>
      <c r="UXE2198" s="10"/>
      <c r="UXF2198" s="10"/>
      <c r="UXG2198" s="10"/>
      <c r="UXH2198" s="10"/>
      <c r="UXI2198" s="10"/>
      <c r="UXJ2198" s="10"/>
      <c r="UXK2198" s="10"/>
      <c r="UXL2198" s="10"/>
      <c r="UXM2198" s="10"/>
      <c r="UXN2198" s="10"/>
      <c r="UXO2198" s="10"/>
      <c r="UXP2198" s="10"/>
      <c r="UXQ2198" s="10"/>
      <c r="UXR2198" s="10"/>
      <c r="UXS2198" s="10"/>
      <c r="UXT2198" s="10"/>
      <c r="UXU2198" s="10"/>
      <c r="UXV2198" s="10"/>
      <c r="UXW2198" s="10"/>
      <c r="UXX2198" s="10"/>
      <c r="UXY2198" s="10"/>
      <c r="UXZ2198" s="10"/>
      <c r="UYA2198" s="10"/>
      <c r="UYB2198" s="10"/>
      <c r="UYC2198" s="10"/>
      <c r="UYD2198" s="10"/>
      <c r="UYE2198" s="10"/>
      <c r="UYF2198" s="10"/>
      <c r="UYG2198" s="10"/>
      <c r="UYH2198" s="10"/>
      <c r="UYI2198" s="10"/>
      <c r="UYJ2198" s="10"/>
      <c r="UYK2198" s="10"/>
      <c r="UYL2198" s="10"/>
      <c r="UYM2198" s="10"/>
      <c r="UYN2198" s="10"/>
      <c r="UYO2198" s="10"/>
      <c r="UYP2198" s="10"/>
      <c r="UYQ2198" s="10"/>
      <c r="UYR2198" s="10"/>
      <c r="UYS2198" s="10"/>
      <c r="UYT2198" s="10"/>
      <c r="UYU2198" s="10"/>
      <c r="UYV2198" s="10"/>
      <c r="UYW2198" s="10"/>
      <c r="UYX2198" s="10"/>
      <c r="UYY2198" s="10"/>
      <c r="UYZ2198" s="10"/>
      <c r="UZA2198" s="10"/>
      <c r="UZB2198" s="10"/>
      <c r="UZC2198" s="10"/>
      <c r="UZD2198" s="10"/>
      <c r="UZE2198" s="10"/>
      <c r="UZF2198" s="10"/>
      <c r="UZG2198" s="10"/>
      <c r="UZH2198" s="10"/>
      <c r="UZI2198" s="10"/>
      <c r="UZJ2198" s="10"/>
      <c r="UZK2198" s="10"/>
      <c r="UZL2198" s="10"/>
      <c r="UZM2198" s="10"/>
      <c r="UZN2198" s="10"/>
      <c r="UZO2198" s="10"/>
      <c r="UZP2198" s="10"/>
      <c r="UZQ2198" s="10"/>
      <c r="UZR2198" s="10"/>
      <c r="UZS2198" s="10"/>
      <c r="UZT2198" s="10"/>
      <c r="UZU2198" s="10"/>
      <c r="UZV2198" s="10"/>
      <c r="UZW2198" s="10"/>
      <c r="UZX2198" s="10"/>
      <c r="UZY2198" s="10"/>
      <c r="UZZ2198" s="10"/>
      <c r="VAA2198" s="10"/>
      <c r="VAB2198" s="10"/>
      <c r="VAC2198" s="10"/>
      <c r="VAD2198" s="10"/>
      <c r="VAE2198" s="10"/>
      <c r="VAF2198" s="10"/>
      <c r="VAG2198" s="10"/>
      <c r="VAH2198" s="10"/>
      <c r="VAI2198" s="10"/>
      <c r="VAJ2198" s="10"/>
      <c r="VAK2198" s="10"/>
      <c r="VAL2198" s="10"/>
      <c r="VAM2198" s="10"/>
      <c r="VAN2198" s="10"/>
      <c r="VAO2198" s="10"/>
      <c r="VAP2198" s="10"/>
      <c r="VAQ2198" s="10"/>
      <c r="VAR2198" s="10"/>
      <c r="VAS2198" s="10"/>
      <c r="VAT2198" s="10"/>
      <c r="VAU2198" s="10"/>
      <c r="VAV2198" s="10"/>
      <c r="VAW2198" s="10"/>
      <c r="VAX2198" s="10"/>
      <c r="VAY2198" s="10"/>
      <c r="VAZ2198" s="10"/>
      <c r="VBA2198" s="10"/>
      <c r="VBB2198" s="10"/>
      <c r="VBC2198" s="10"/>
      <c r="VBD2198" s="10"/>
      <c r="VBE2198" s="10"/>
      <c r="VBF2198" s="10"/>
      <c r="VBG2198" s="10"/>
      <c r="VBH2198" s="10"/>
      <c r="VBI2198" s="10"/>
      <c r="VBJ2198" s="10"/>
      <c r="VBK2198" s="10"/>
      <c r="VBL2198" s="10"/>
      <c r="VBM2198" s="10"/>
      <c r="VBN2198" s="10"/>
      <c r="VBO2198" s="10"/>
      <c r="VBP2198" s="10"/>
      <c r="VBQ2198" s="10"/>
      <c r="VBR2198" s="10"/>
      <c r="VBS2198" s="10"/>
      <c r="VBT2198" s="10"/>
      <c r="VBU2198" s="10"/>
      <c r="VBV2198" s="10"/>
      <c r="VBW2198" s="10"/>
      <c r="VBX2198" s="10"/>
      <c r="VBY2198" s="10"/>
      <c r="VBZ2198" s="10"/>
      <c r="VCA2198" s="10"/>
      <c r="VCB2198" s="10"/>
      <c r="VCC2198" s="10"/>
      <c r="VCD2198" s="10"/>
      <c r="VCE2198" s="10"/>
      <c r="VCF2198" s="10"/>
      <c r="VCG2198" s="10"/>
      <c r="VCH2198" s="10"/>
      <c r="VCI2198" s="10"/>
      <c r="VCJ2198" s="10"/>
      <c r="VCK2198" s="10"/>
      <c r="VCL2198" s="10"/>
      <c r="VCM2198" s="10"/>
      <c r="VCN2198" s="10"/>
      <c r="VCO2198" s="10"/>
      <c r="VCP2198" s="10"/>
      <c r="VCQ2198" s="10"/>
      <c r="VCR2198" s="10"/>
      <c r="VCS2198" s="10"/>
      <c r="VCT2198" s="10"/>
      <c r="VCU2198" s="10"/>
      <c r="VCV2198" s="10"/>
      <c r="VCW2198" s="10"/>
      <c r="VCX2198" s="10"/>
      <c r="VCY2198" s="10"/>
      <c r="VCZ2198" s="10"/>
      <c r="VDA2198" s="10"/>
      <c r="VDB2198" s="10"/>
      <c r="VDC2198" s="10"/>
      <c r="VDD2198" s="10"/>
      <c r="VDE2198" s="10"/>
      <c r="VDF2198" s="10"/>
      <c r="VDG2198" s="10"/>
      <c r="VDH2198" s="10"/>
      <c r="VDI2198" s="10"/>
      <c r="VDJ2198" s="10"/>
      <c r="VDK2198" s="10"/>
      <c r="VDL2198" s="10"/>
      <c r="VDM2198" s="10"/>
      <c r="VDN2198" s="10"/>
      <c r="VDO2198" s="10"/>
      <c r="VDP2198" s="10"/>
      <c r="VDQ2198" s="10"/>
      <c r="VDR2198" s="10"/>
      <c r="VDS2198" s="10"/>
      <c r="VDT2198" s="10"/>
      <c r="VDU2198" s="10"/>
      <c r="VDV2198" s="10"/>
      <c r="VDW2198" s="10"/>
      <c r="VDX2198" s="10"/>
      <c r="VDY2198" s="10"/>
      <c r="VDZ2198" s="10"/>
      <c r="VEA2198" s="10"/>
      <c r="VEB2198" s="10"/>
      <c r="VEC2198" s="10"/>
      <c r="VED2198" s="10"/>
      <c r="VEE2198" s="10"/>
      <c r="VEF2198" s="10"/>
      <c r="VEG2198" s="10"/>
      <c r="VEH2198" s="10"/>
      <c r="VEI2198" s="10"/>
      <c r="VEJ2198" s="10"/>
      <c r="VEK2198" s="10"/>
      <c r="VEL2198" s="10"/>
      <c r="VEM2198" s="10"/>
      <c r="VEN2198" s="10"/>
      <c r="VEO2198" s="10"/>
      <c r="VEP2198" s="10"/>
      <c r="VEQ2198" s="10"/>
      <c r="VER2198" s="10"/>
      <c r="VES2198" s="10"/>
      <c r="VET2198" s="10"/>
      <c r="VEU2198" s="10"/>
      <c r="VEV2198" s="10"/>
      <c r="VEW2198" s="10"/>
      <c r="VEX2198" s="10"/>
      <c r="VEY2198" s="10"/>
      <c r="VEZ2198" s="10"/>
      <c r="VFA2198" s="10"/>
      <c r="VFB2198" s="10"/>
      <c r="VFC2198" s="10"/>
      <c r="VFD2198" s="10"/>
      <c r="VFE2198" s="10"/>
      <c r="VFF2198" s="10"/>
      <c r="VFG2198" s="10"/>
      <c r="VFH2198" s="10"/>
      <c r="VFI2198" s="10"/>
      <c r="VFJ2198" s="10"/>
      <c r="VFK2198" s="10"/>
      <c r="VFL2198" s="10"/>
      <c r="VFM2198" s="10"/>
      <c r="VFN2198" s="10"/>
      <c r="VFO2198" s="10"/>
      <c r="VFP2198" s="10"/>
      <c r="VFQ2198" s="10"/>
      <c r="VFR2198" s="10"/>
      <c r="VFS2198" s="10"/>
      <c r="VFT2198" s="10"/>
      <c r="VFU2198" s="10"/>
      <c r="VFV2198" s="10"/>
      <c r="VFW2198" s="10"/>
      <c r="VFX2198" s="10"/>
      <c r="VFY2198" s="10"/>
      <c r="VFZ2198" s="10"/>
      <c r="VGA2198" s="10"/>
      <c r="VGB2198" s="10"/>
      <c r="VGC2198" s="10"/>
      <c r="VGD2198" s="10"/>
      <c r="VGE2198" s="10"/>
      <c r="VGF2198" s="10"/>
      <c r="VGG2198" s="10"/>
      <c r="VGH2198" s="10"/>
      <c r="VGI2198" s="10"/>
      <c r="VGJ2198" s="10"/>
      <c r="VGK2198" s="10"/>
      <c r="VGL2198" s="10"/>
      <c r="VGM2198" s="10"/>
      <c r="VGN2198" s="10"/>
      <c r="VGO2198" s="10"/>
      <c r="VGP2198" s="10"/>
      <c r="VGQ2198" s="10"/>
      <c r="VGR2198" s="10"/>
      <c r="VGS2198" s="10"/>
      <c r="VGT2198" s="10"/>
      <c r="VGU2198" s="10"/>
      <c r="VGV2198" s="10"/>
      <c r="VGW2198" s="10"/>
      <c r="VGX2198" s="10"/>
      <c r="VGY2198" s="10"/>
      <c r="VGZ2198" s="10"/>
      <c r="VHA2198" s="10"/>
      <c r="VHB2198" s="10"/>
      <c r="VHC2198" s="10"/>
      <c r="VHD2198" s="10"/>
      <c r="VHE2198" s="10"/>
      <c r="VHF2198" s="10"/>
      <c r="VHG2198" s="10"/>
      <c r="VHH2198" s="10"/>
      <c r="VHI2198" s="10"/>
      <c r="VHJ2198" s="10"/>
      <c r="VHK2198" s="10"/>
      <c r="VHL2198" s="10"/>
      <c r="VHM2198" s="10"/>
      <c r="VHN2198" s="10"/>
      <c r="VHO2198" s="10"/>
      <c r="VHP2198" s="10"/>
      <c r="VHQ2198" s="10"/>
      <c r="VHR2198" s="10"/>
      <c r="VHS2198" s="10"/>
      <c r="VHT2198" s="10"/>
      <c r="VHU2198" s="10"/>
      <c r="VHV2198" s="10"/>
      <c r="VHW2198" s="10"/>
      <c r="VHX2198" s="10"/>
      <c r="VHY2198" s="10"/>
      <c r="VHZ2198" s="10"/>
      <c r="VIA2198" s="10"/>
      <c r="VIB2198" s="10"/>
      <c r="VIC2198" s="10"/>
      <c r="VID2198" s="10"/>
      <c r="VIE2198" s="10"/>
      <c r="VIF2198" s="10"/>
      <c r="VIG2198" s="10"/>
      <c r="VIH2198" s="10"/>
      <c r="VII2198" s="10"/>
      <c r="VIJ2198" s="10"/>
      <c r="VIK2198" s="10"/>
      <c r="VIL2198" s="10"/>
      <c r="VIM2198" s="10"/>
      <c r="VIN2198" s="10"/>
      <c r="VIO2198" s="10"/>
      <c r="VIP2198" s="10"/>
      <c r="VIQ2198" s="10"/>
      <c r="VIR2198" s="10"/>
      <c r="VIS2198" s="10"/>
      <c r="VIT2198" s="10"/>
      <c r="VIU2198" s="10"/>
      <c r="VIV2198" s="10"/>
      <c r="VIW2198" s="10"/>
      <c r="VIX2198" s="10"/>
      <c r="VIY2198" s="10"/>
      <c r="VIZ2198" s="10"/>
      <c r="VJA2198" s="10"/>
      <c r="VJB2198" s="10"/>
      <c r="VJC2198" s="10"/>
      <c r="VJD2198" s="10"/>
      <c r="VJE2198" s="10"/>
      <c r="VJF2198" s="10"/>
      <c r="VJG2198" s="10"/>
      <c r="VJH2198" s="10"/>
      <c r="VJI2198" s="10"/>
      <c r="VJJ2198" s="10"/>
      <c r="VJK2198" s="10"/>
      <c r="VJL2198" s="10"/>
      <c r="VJM2198" s="10"/>
      <c r="VJN2198" s="10"/>
      <c r="VJO2198" s="10"/>
      <c r="VJP2198" s="10"/>
      <c r="VJQ2198" s="10"/>
      <c r="VJR2198" s="10"/>
      <c r="VJS2198" s="10"/>
      <c r="VJT2198" s="10"/>
      <c r="VJU2198" s="10"/>
      <c r="VJV2198" s="10"/>
      <c r="VJW2198" s="10"/>
      <c r="VJX2198" s="10"/>
      <c r="VJY2198" s="10"/>
      <c r="VJZ2198" s="10"/>
      <c r="VKA2198" s="10"/>
      <c r="VKB2198" s="10"/>
      <c r="VKC2198" s="10"/>
      <c r="VKD2198" s="10"/>
      <c r="VKE2198" s="10"/>
      <c r="VKF2198" s="10"/>
      <c r="VKG2198" s="10"/>
      <c r="VKH2198" s="10"/>
      <c r="VKI2198" s="10"/>
      <c r="VKJ2198" s="10"/>
      <c r="VKK2198" s="10"/>
      <c r="VKL2198" s="10"/>
      <c r="VKM2198" s="10"/>
      <c r="VKN2198" s="10"/>
      <c r="VKO2198" s="10"/>
      <c r="VKP2198" s="10"/>
      <c r="VKQ2198" s="10"/>
      <c r="VKR2198" s="10"/>
      <c r="VKS2198" s="10"/>
      <c r="VKT2198" s="10"/>
      <c r="VKU2198" s="10"/>
      <c r="VKV2198" s="10"/>
      <c r="VKW2198" s="10"/>
      <c r="VKX2198" s="10"/>
      <c r="VKY2198" s="10"/>
      <c r="VKZ2198" s="10"/>
      <c r="VLA2198" s="10"/>
      <c r="VLB2198" s="10"/>
      <c r="VLC2198" s="10"/>
      <c r="VLD2198" s="10"/>
      <c r="VLE2198" s="10"/>
      <c r="VLF2198" s="10"/>
      <c r="VLG2198" s="10"/>
      <c r="VLH2198" s="10"/>
      <c r="VLI2198" s="10"/>
      <c r="VLJ2198" s="10"/>
      <c r="VLK2198" s="10"/>
      <c r="VLL2198" s="10"/>
      <c r="VLM2198" s="10"/>
      <c r="VLN2198" s="10"/>
      <c r="VLO2198" s="10"/>
      <c r="VLP2198" s="10"/>
      <c r="VLQ2198" s="10"/>
      <c r="VLR2198" s="10"/>
      <c r="VLS2198" s="10"/>
      <c r="VLT2198" s="10"/>
      <c r="VLU2198" s="10"/>
      <c r="VLV2198" s="10"/>
      <c r="VLW2198" s="10"/>
      <c r="VLX2198" s="10"/>
      <c r="VLY2198" s="10"/>
      <c r="VLZ2198" s="10"/>
      <c r="VMA2198" s="10"/>
      <c r="VMB2198" s="10"/>
      <c r="VMC2198" s="10"/>
      <c r="VMD2198" s="10"/>
      <c r="VME2198" s="10"/>
      <c r="VMF2198" s="10"/>
      <c r="VMG2198" s="10"/>
      <c r="VMH2198" s="10"/>
      <c r="VMI2198" s="10"/>
      <c r="VMJ2198" s="10"/>
      <c r="VMK2198" s="10"/>
      <c r="VML2198" s="10"/>
      <c r="VMM2198" s="10"/>
      <c r="VMN2198" s="10"/>
      <c r="VMO2198" s="10"/>
      <c r="VMP2198" s="10"/>
      <c r="VMQ2198" s="10"/>
      <c r="VMR2198" s="10"/>
      <c r="VMS2198" s="10"/>
      <c r="VMT2198" s="10"/>
      <c r="VMU2198" s="10"/>
      <c r="VMV2198" s="10"/>
      <c r="VMW2198" s="10"/>
      <c r="VMX2198" s="10"/>
      <c r="VMY2198" s="10"/>
      <c r="VMZ2198" s="10"/>
      <c r="VNA2198" s="10"/>
      <c r="VNB2198" s="10"/>
      <c r="VNC2198" s="10"/>
      <c r="VND2198" s="10"/>
      <c r="VNE2198" s="10"/>
      <c r="VNF2198" s="10"/>
      <c r="VNG2198" s="10"/>
      <c r="VNH2198" s="10"/>
      <c r="VNI2198" s="10"/>
      <c r="VNJ2198" s="10"/>
      <c r="VNK2198" s="10"/>
      <c r="VNL2198" s="10"/>
      <c r="VNM2198" s="10"/>
      <c r="VNN2198" s="10"/>
      <c r="VNO2198" s="10"/>
      <c r="VNP2198" s="10"/>
      <c r="VNQ2198" s="10"/>
      <c r="VNR2198" s="10"/>
      <c r="VNS2198" s="10"/>
      <c r="VNT2198" s="10"/>
      <c r="VNU2198" s="10"/>
      <c r="VNV2198" s="10"/>
      <c r="VNW2198" s="10"/>
      <c r="VNX2198" s="10"/>
      <c r="VNY2198" s="10"/>
      <c r="VNZ2198" s="10"/>
      <c r="VOA2198" s="10"/>
      <c r="VOB2198" s="10"/>
      <c r="VOC2198" s="10"/>
      <c r="VOD2198" s="10"/>
      <c r="VOE2198" s="10"/>
      <c r="VOF2198" s="10"/>
      <c r="VOG2198" s="10"/>
      <c r="VOH2198" s="10"/>
      <c r="VOI2198" s="10"/>
      <c r="VOJ2198" s="10"/>
      <c r="VOK2198" s="10"/>
      <c r="VOL2198" s="10"/>
      <c r="VOM2198" s="10"/>
      <c r="VON2198" s="10"/>
      <c r="VOO2198" s="10"/>
      <c r="VOP2198" s="10"/>
      <c r="VOQ2198" s="10"/>
      <c r="VOR2198" s="10"/>
      <c r="VOS2198" s="10"/>
      <c r="VOT2198" s="10"/>
      <c r="VOU2198" s="10"/>
      <c r="VOV2198" s="10"/>
      <c r="VOW2198" s="10"/>
      <c r="VOX2198" s="10"/>
      <c r="VOY2198" s="10"/>
      <c r="VOZ2198" s="10"/>
      <c r="VPA2198" s="10"/>
      <c r="VPB2198" s="10"/>
      <c r="VPC2198" s="10"/>
      <c r="VPD2198" s="10"/>
      <c r="VPE2198" s="10"/>
      <c r="VPF2198" s="10"/>
      <c r="VPG2198" s="10"/>
      <c r="VPH2198" s="10"/>
      <c r="VPI2198" s="10"/>
      <c r="VPJ2198" s="10"/>
      <c r="VPK2198" s="10"/>
      <c r="VPL2198" s="10"/>
      <c r="VPM2198" s="10"/>
      <c r="VPN2198" s="10"/>
      <c r="VPO2198" s="10"/>
      <c r="VPP2198" s="10"/>
      <c r="VPQ2198" s="10"/>
      <c r="VPR2198" s="10"/>
      <c r="VPS2198" s="10"/>
      <c r="VPT2198" s="10"/>
      <c r="VPU2198" s="10"/>
      <c r="VPV2198" s="10"/>
      <c r="VPW2198" s="10"/>
      <c r="VPX2198" s="10"/>
      <c r="VPY2198" s="10"/>
      <c r="VPZ2198" s="10"/>
      <c r="VQA2198" s="10"/>
      <c r="VQB2198" s="10"/>
      <c r="VQC2198" s="10"/>
      <c r="VQD2198" s="10"/>
      <c r="VQE2198" s="10"/>
      <c r="VQF2198" s="10"/>
      <c r="VQG2198" s="10"/>
      <c r="VQH2198" s="10"/>
      <c r="VQI2198" s="10"/>
      <c r="VQJ2198" s="10"/>
      <c r="VQK2198" s="10"/>
      <c r="VQL2198" s="10"/>
      <c r="VQM2198" s="10"/>
      <c r="VQN2198" s="10"/>
      <c r="VQO2198" s="10"/>
      <c r="VQP2198" s="10"/>
      <c r="VQQ2198" s="10"/>
      <c r="VQR2198" s="10"/>
      <c r="VQS2198" s="10"/>
      <c r="VQT2198" s="10"/>
      <c r="VQU2198" s="10"/>
      <c r="VQV2198" s="10"/>
      <c r="VQW2198" s="10"/>
      <c r="VQX2198" s="10"/>
      <c r="VQY2198" s="10"/>
      <c r="VQZ2198" s="10"/>
      <c r="VRA2198" s="10"/>
      <c r="VRB2198" s="10"/>
      <c r="VRC2198" s="10"/>
      <c r="VRD2198" s="10"/>
      <c r="VRE2198" s="10"/>
      <c r="VRF2198" s="10"/>
      <c r="VRG2198" s="10"/>
      <c r="VRH2198" s="10"/>
      <c r="VRI2198" s="10"/>
      <c r="VRJ2198" s="10"/>
      <c r="VRK2198" s="10"/>
      <c r="VRL2198" s="10"/>
      <c r="VRM2198" s="10"/>
      <c r="VRN2198" s="10"/>
      <c r="VRO2198" s="10"/>
      <c r="VRP2198" s="10"/>
      <c r="VRQ2198" s="10"/>
      <c r="VRR2198" s="10"/>
      <c r="VRS2198" s="10"/>
      <c r="VRT2198" s="10"/>
      <c r="VRU2198" s="10"/>
      <c r="VRV2198" s="10"/>
      <c r="VRW2198" s="10"/>
      <c r="VRX2198" s="10"/>
      <c r="VRY2198" s="10"/>
      <c r="VRZ2198" s="10"/>
      <c r="VSA2198" s="10"/>
      <c r="VSB2198" s="10"/>
      <c r="VSC2198" s="10"/>
      <c r="VSD2198" s="10"/>
      <c r="VSE2198" s="10"/>
      <c r="VSF2198" s="10"/>
      <c r="VSG2198" s="10"/>
      <c r="VSH2198" s="10"/>
      <c r="VSI2198" s="10"/>
      <c r="VSJ2198" s="10"/>
      <c r="VSK2198" s="10"/>
      <c r="VSL2198" s="10"/>
      <c r="VSM2198" s="10"/>
      <c r="VSN2198" s="10"/>
      <c r="VSO2198" s="10"/>
      <c r="VSP2198" s="10"/>
      <c r="VSQ2198" s="10"/>
      <c r="VSR2198" s="10"/>
      <c r="VSS2198" s="10"/>
      <c r="VST2198" s="10"/>
      <c r="VSU2198" s="10"/>
      <c r="VSV2198" s="10"/>
      <c r="VSW2198" s="10"/>
      <c r="VSX2198" s="10"/>
      <c r="VSY2198" s="10"/>
      <c r="VSZ2198" s="10"/>
      <c r="VTA2198" s="10"/>
      <c r="VTB2198" s="10"/>
      <c r="VTC2198" s="10"/>
      <c r="VTD2198" s="10"/>
      <c r="VTE2198" s="10"/>
      <c r="VTF2198" s="10"/>
      <c r="VTG2198" s="10"/>
      <c r="VTH2198" s="10"/>
      <c r="VTI2198" s="10"/>
      <c r="VTJ2198" s="10"/>
      <c r="VTK2198" s="10"/>
      <c r="VTL2198" s="10"/>
      <c r="VTM2198" s="10"/>
      <c r="VTN2198" s="10"/>
      <c r="VTO2198" s="10"/>
      <c r="VTP2198" s="10"/>
      <c r="VTQ2198" s="10"/>
      <c r="VTR2198" s="10"/>
      <c r="VTS2198" s="10"/>
      <c r="VTT2198" s="10"/>
      <c r="VTU2198" s="10"/>
      <c r="VTV2198" s="10"/>
      <c r="VTW2198" s="10"/>
      <c r="VTX2198" s="10"/>
      <c r="VTY2198" s="10"/>
      <c r="VTZ2198" s="10"/>
      <c r="VUA2198" s="10"/>
      <c r="VUB2198" s="10"/>
      <c r="VUC2198" s="10"/>
      <c r="VUD2198" s="10"/>
      <c r="VUE2198" s="10"/>
      <c r="VUF2198" s="10"/>
      <c r="VUG2198" s="10"/>
      <c r="VUH2198" s="10"/>
      <c r="VUI2198" s="10"/>
      <c r="VUJ2198" s="10"/>
      <c r="VUK2198" s="10"/>
      <c r="VUL2198" s="10"/>
      <c r="VUM2198" s="10"/>
      <c r="VUN2198" s="10"/>
      <c r="VUO2198" s="10"/>
      <c r="VUP2198" s="10"/>
      <c r="VUQ2198" s="10"/>
      <c r="VUR2198" s="10"/>
      <c r="VUS2198" s="10"/>
      <c r="VUT2198" s="10"/>
      <c r="VUU2198" s="10"/>
      <c r="VUV2198" s="10"/>
      <c r="VUW2198" s="10"/>
      <c r="VUX2198" s="10"/>
      <c r="VUY2198" s="10"/>
      <c r="VUZ2198" s="10"/>
      <c r="VVA2198" s="10"/>
      <c r="VVB2198" s="10"/>
      <c r="VVC2198" s="10"/>
      <c r="VVD2198" s="10"/>
      <c r="VVE2198" s="10"/>
      <c r="VVF2198" s="10"/>
      <c r="VVG2198" s="10"/>
      <c r="VVH2198" s="10"/>
      <c r="VVI2198" s="10"/>
      <c r="VVJ2198" s="10"/>
      <c r="VVK2198" s="10"/>
      <c r="VVL2198" s="10"/>
      <c r="VVM2198" s="10"/>
      <c r="VVN2198" s="10"/>
      <c r="VVO2198" s="10"/>
      <c r="VVP2198" s="10"/>
      <c r="VVQ2198" s="10"/>
      <c r="VVR2198" s="10"/>
      <c r="VVS2198" s="10"/>
      <c r="VVT2198" s="10"/>
      <c r="VVU2198" s="10"/>
      <c r="VVV2198" s="10"/>
      <c r="VVW2198" s="10"/>
      <c r="VVX2198" s="10"/>
      <c r="VVY2198" s="10"/>
      <c r="VVZ2198" s="10"/>
      <c r="VWA2198" s="10"/>
      <c r="VWB2198" s="10"/>
      <c r="VWC2198" s="10"/>
      <c r="VWD2198" s="10"/>
      <c r="VWE2198" s="10"/>
      <c r="VWF2198" s="10"/>
      <c r="VWG2198" s="10"/>
      <c r="VWH2198" s="10"/>
      <c r="VWI2198" s="10"/>
      <c r="VWJ2198" s="10"/>
      <c r="VWK2198" s="10"/>
      <c r="VWL2198" s="10"/>
      <c r="VWM2198" s="10"/>
      <c r="VWN2198" s="10"/>
      <c r="VWO2198" s="10"/>
      <c r="VWP2198" s="10"/>
      <c r="VWQ2198" s="10"/>
      <c r="VWR2198" s="10"/>
      <c r="VWS2198" s="10"/>
      <c r="VWT2198" s="10"/>
      <c r="VWU2198" s="10"/>
      <c r="VWV2198" s="10"/>
      <c r="VWW2198" s="10"/>
      <c r="VWX2198" s="10"/>
      <c r="VWY2198" s="10"/>
      <c r="VWZ2198" s="10"/>
      <c r="VXA2198" s="10"/>
      <c r="VXB2198" s="10"/>
      <c r="VXC2198" s="10"/>
      <c r="VXD2198" s="10"/>
      <c r="VXE2198" s="10"/>
      <c r="VXF2198" s="10"/>
      <c r="VXG2198" s="10"/>
      <c r="VXH2198" s="10"/>
      <c r="VXI2198" s="10"/>
      <c r="VXJ2198" s="10"/>
      <c r="VXK2198" s="10"/>
      <c r="VXL2198" s="10"/>
      <c r="VXM2198" s="10"/>
      <c r="VXN2198" s="10"/>
      <c r="VXO2198" s="10"/>
      <c r="VXP2198" s="10"/>
      <c r="VXQ2198" s="10"/>
      <c r="VXR2198" s="10"/>
      <c r="VXS2198" s="10"/>
      <c r="VXT2198" s="10"/>
      <c r="VXU2198" s="10"/>
      <c r="VXV2198" s="10"/>
      <c r="VXW2198" s="10"/>
      <c r="VXX2198" s="10"/>
      <c r="VXY2198" s="10"/>
      <c r="VXZ2198" s="10"/>
      <c r="VYA2198" s="10"/>
      <c r="VYB2198" s="10"/>
      <c r="VYC2198" s="10"/>
      <c r="VYD2198" s="10"/>
      <c r="VYE2198" s="10"/>
      <c r="VYF2198" s="10"/>
      <c r="VYG2198" s="10"/>
      <c r="VYH2198" s="10"/>
      <c r="VYI2198" s="10"/>
      <c r="VYJ2198" s="10"/>
      <c r="VYK2198" s="10"/>
      <c r="VYL2198" s="10"/>
      <c r="VYM2198" s="10"/>
      <c r="VYN2198" s="10"/>
      <c r="VYO2198" s="10"/>
      <c r="VYP2198" s="10"/>
      <c r="VYQ2198" s="10"/>
      <c r="VYR2198" s="10"/>
      <c r="VYS2198" s="10"/>
      <c r="VYT2198" s="10"/>
      <c r="VYU2198" s="10"/>
      <c r="VYV2198" s="10"/>
      <c r="VYW2198" s="10"/>
      <c r="VYX2198" s="10"/>
      <c r="VYY2198" s="10"/>
      <c r="VYZ2198" s="10"/>
      <c r="VZA2198" s="10"/>
      <c r="VZB2198" s="10"/>
      <c r="VZC2198" s="10"/>
      <c r="VZD2198" s="10"/>
      <c r="VZE2198" s="10"/>
      <c r="VZF2198" s="10"/>
      <c r="VZG2198" s="10"/>
      <c r="VZH2198" s="10"/>
      <c r="VZI2198" s="10"/>
      <c r="VZJ2198" s="10"/>
      <c r="VZK2198" s="10"/>
      <c r="VZL2198" s="10"/>
      <c r="VZM2198" s="10"/>
      <c r="VZN2198" s="10"/>
      <c r="VZO2198" s="10"/>
      <c r="VZP2198" s="10"/>
      <c r="VZQ2198" s="10"/>
      <c r="VZR2198" s="10"/>
      <c r="VZS2198" s="10"/>
      <c r="VZT2198" s="10"/>
      <c r="VZU2198" s="10"/>
      <c r="VZV2198" s="10"/>
      <c r="VZW2198" s="10"/>
      <c r="VZX2198" s="10"/>
      <c r="VZY2198" s="10"/>
      <c r="VZZ2198" s="10"/>
      <c r="WAA2198" s="10"/>
      <c r="WAB2198" s="10"/>
      <c r="WAC2198" s="10"/>
      <c r="WAD2198" s="10"/>
      <c r="WAE2198" s="10"/>
      <c r="WAF2198" s="10"/>
      <c r="WAG2198" s="10"/>
      <c r="WAH2198" s="10"/>
      <c r="WAI2198" s="10"/>
      <c r="WAJ2198" s="10"/>
      <c r="WAK2198" s="10"/>
      <c r="WAL2198" s="10"/>
      <c r="WAM2198" s="10"/>
      <c r="WAN2198" s="10"/>
      <c r="WAO2198" s="10"/>
      <c r="WAP2198" s="10"/>
      <c r="WAQ2198" s="10"/>
      <c r="WAR2198" s="10"/>
      <c r="WAS2198" s="10"/>
      <c r="WAT2198" s="10"/>
      <c r="WAU2198" s="10"/>
      <c r="WAV2198" s="10"/>
      <c r="WAW2198" s="10"/>
      <c r="WAX2198" s="10"/>
      <c r="WAY2198" s="10"/>
      <c r="WAZ2198" s="10"/>
      <c r="WBA2198" s="10"/>
      <c r="WBB2198" s="10"/>
      <c r="WBC2198" s="10"/>
      <c r="WBD2198" s="10"/>
      <c r="WBE2198" s="10"/>
      <c r="WBF2198" s="10"/>
      <c r="WBG2198" s="10"/>
      <c r="WBH2198" s="10"/>
      <c r="WBI2198" s="10"/>
      <c r="WBJ2198" s="10"/>
      <c r="WBK2198" s="10"/>
      <c r="WBL2198" s="10"/>
      <c r="WBM2198" s="10"/>
      <c r="WBN2198" s="10"/>
      <c r="WBO2198" s="10"/>
      <c r="WBP2198" s="10"/>
      <c r="WBQ2198" s="10"/>
      <c r="WBR2198" s="10"/>
      <c r="WBS2198" s="10"/>
      <c r="WBT2198" s="10"/>
      <c r="WBU2198" s="10"/>
      <c r="WBV2198" s="10"/>
      <c r="WBW2198" s="10"/>
      <c r="WBX2198" s="10"/>
      <c r="WBY2198" s="10"/>
      <c r="WBZ2198" s="10"/>
      <c r="WCA2198" s="10"/>
      <c r="WCB2198" s="10"/>
      <c r="WCC2198" s="10"/>
      <c r="WCD2198" s="10"/>
      <c r="WCE2198" s="10"/>
      <c r="WCF2198" s="10"/>
      <c r="WCG2198" s="10"/>
      <c r="WCH2198" s="10"/>
      <c r="WCI2198" s="10"/>
      <c r="WCJ2198" s="10"/>
      <c r="WCK2198" s="10"/>
      <c r="WCL2198" s="10"/>
      <c r="WCM2198" s="10"/>
      <c r="WCN2198" s="10"/>
      <c r="WCO2198" s="10"/>
      <c r="WCP2198" s="10"/>
      <c r="WCQ2198" s="10"/>
      <c r="WCR2198" s="10"/>
      <c r="WCS2198" s="10"/>
      <c r="WCT2198" s="10"/>
      <c r="WCU2198" s="10"/>
      <c r="WCV2198" s="10"/>
      <c r="WCW2198" s="10"/>
      <c r="WCX2198" s="10"/>
      <c r="WCY2198" s="10"/>
      <c r="WCZ2198" s="10"/>
      <c r="WDA2198" s="10"/>
      <c r="WDB2198" s="10"/>
      <c r="WDC2198" s="10"/>
      <c r="WDD2198" s="10"/>
      <c r="WDE2198" s="10"/>
      <c r="WDF2198" s="10"/>
      <c r="WDG2198" s="10"/>
      <c r="WDH2198" s="10"/>
      <c r="WDI2198" s="10"/>
      <c r="WDJ2198" s="10"/>
      <c r="WDK2198" s="10"/>
      <c r="WDL2198" s="10"/>
      <c r="WDM2198" s="10"/>
      <c r="WDN2198" s="10"/>
      <c r="WDO2198" s="10"/>
      <c r="WDP2198" s="10"/>
      <c r="WDQ2198" s="10"/>
      <c r="WDR2198" s="10"/>
      <c r="WDS2198" s="10"/>
      <c r="WDT2198" s="10"/>
      <c r="WDU2198" s="10"/>
      <c r="WDV2198" s="10"/>
      <c r="WDW2198" s="10"/>
      <c r="WDX2198" s="10"/>
      <c r="WDY2198" s="10"/>
      <c r="WDZ2198" s="10"/>
      <c r="WEA2198" s="10"/>
      <c r="WEB2198" s="10"/>
      <c r="WEC2198" s="10"/>
      <c r="WED2198" s="10"/>
      <c r="WEE2198" s="10"/>
      <c r="WEF2198" s="10"/>
      <c r="WEG2198" s="10"/>
      <c r="WEH2198" s="10"/>
      <c r="WEI2198" s="10"/>
      <c r="WEJ2198" s="10"/>
      <c r="WEK2198" s="10"/>
      <c r="WEL2198" s="10"/>
      <c r="WEM2198" s="10"/>
      <c r="WEN2198" s="10"/>
      <c r="WEO2198" s="10"/>
      <c r="WEP2198" s="10"/>
      <c r="WEQ2198" s="10"/>
      <c r="WER2198" s="10"/>
      <c r="WES2198" s="10"/>
      <c r="WET2198" s="10"/>
      <c r="WEU2198" s="10"/>
      <c r="WEV2198" s="10"/>
      <c r="WEW2198" s="10"/>
      <c r="WEX2198" s="10"/>
      <c r="WEY2198" s="10"/>
      <c r="WEZ2198" s="10"/>
      <c r="WFA2198" s="10"/>
      <c r="WFB2198" s="10"/>
      <c r="WFC2198" s="10"/>
      <c r="WFD2198" s="10"/>
      <c r="WFE2198" s="10"/>
      <c r="WFF2198" s="10"/>
      <c r="WFG2198" s="10"/>
      <c r="WFH2198" s="10"/>
      <c r="WFI2198" s="10"/>
      <c r="WFJ2198" s="10"/>
      <c r="WFK2198" s="10"/>
      <c r="WFL2198" s="10"/>
      <c r="WFM2198" s="10"/>
      <c r="WFN2198" s="10"/>
      <c r="WFO2198" s="10"/>
      <c r="WFP2198" s="10"/>
      <c r="WFQ2198" s="10"/>
      <c r="WFR2198" s="10"/>
      <c r="WFS2198" s="10"/>
      <c r="WFT2198" s="10"/>
      <c r="WFU2198" s="10"/>
      <c r="WFV2198" s="10"/>
      <c r="WFW2198" s="10"/>
      <c r="WFX2198" s="10"/>
      <c r="WFY2198" s="10"/>
      <c r="WFZ2198" s="10"/>
      <c r="WGA2198" s="10"/>
      <c r="WGB2198" s="10"/>
      <c r="WGC2198" s="10"/>
      <c r="WGD2198" s="10"/>
      <c r="WGE2198" s="10"/>
      <c r="WGF2198" s="10"/>
      <c r="WGG2198" s="10"/>
      <c r="WGH2198" s="10"/>
      <c r="WGI2198" s="10"/>
      <c r="WGJ2198" s="10"/>
      <c r="WGK2198" s="10"/>
      <c r="WGL2198" s="10"/>
      <c r="WGM2198" s="10"/>
      <c r="WGN2198" s="10"/>
      <c r="WGO2198" s="10"/>
      <c r="WGP2198" s="10"/>
      <c r="WGQ2198" s="10"/>
      <c r="WGR2198" s="10"/>
      <c r="WGS2198" s="10"/>
      <c r="WGT2198" s="10"/>
      <c r="WGU2198" s="10"/>
      <c r="WGV2198" s="10"/>
      <c r="WGW2198" s="10"/>
      <c r="WGX2198" s="10"/>
      <c r="WGY2198" s="10"/>
      <c r="WGZ2198" s="10"/>
      <c r="WHA2198" s="10"/>
      <c r="WHB2198" s="10"/>
      <c r="WHC2198" s="10"/>
      <c r="WHD2198" s="10"/>
      <c r="WHE2198" s="10"/>
      <c r="WHF2198" s="10"/>
      <c r="WHG2198" s="10"/>
      <c r="WHH2198" s="10"/>
      <c r="WHI2198" s="10"/>
      <c r="WHJ2198" s="10"/>
      <c r="WHK2198" s="10"/>
      <c r="WHL2198" s="10"/>
      <c r="WHM2198" s="10"/>
      <c r="WHN2198" s="10"/>
      <c r="WHO2198" s="10"/>
      <c r="WHP2198" s="10"/>
      <c r="WHQ2198" s="10"/>
      <c r="WHR2198" s="10"/>
      <c r="WHS2198" s="10"/>
      <c r="WHT2198" s="10"/>
      <c r="WHU2198" s="10"/>
      <c r="WHV2198" s="10"/>
      <c r="WHW2198" s="10"/>
      <c r="WHX2198" s="10"/>
      <c r="WHY2198" s="10"/>
      <c r="WHZ2198" s="10"/>
      <c r="WIA2198" s="10"/>
      <c r="WIB2198" s="10"/>
      <c r="WIC2198" s="10"/>
      <c r="WID2198" s="10"/>
      <c r="WIE2198" s="10"/>
      <c r="WIF2198" s="10"/>
      <c r="WIG2198" s="10"/>
      <c r="WIH2198" s="10"/>
      <c r="WII2198" s="10"/>
      <c r="WIJ2198" s="10"/>
      <c r="WIK2198" s="10"/>
      <c r="WIL2198" s="10"/>
      <c r="WIM2198" s="10"/>
      <c r="WIN2198" s="10"/>
      <c r="WIO2198" s="10"/>
      <c r="WIP2198" s="10"/>
      <c r="WIQ2198" s="10"/>
      <c r="WIR2198" s="10"/>
      <c r="WIS2198" s="10"/>
      <c r="WIT2198" s="10"/>
      <c r="WIU2198" s="10"/>
      <c r="WIV2198" s="10"/>
      <c r="WIW2198" s="10"/>
      <c r="WIX2198" s="10"/>
      <c r="WIY2198" s="10"/>
      <c r="WIZ2198" s="10"/>
      <c r="WJA2198" s="10"/>
      <c r="WJB2198" s="10"/>
      <c r="WJC2198" s="10"/>
      <c r="WJD2198" s="10"/>
      <c r="WJE2198" s="10"/>
      <c r="WJF2198" s="10"/>
      <c r="WJG2198" s="10"/>
      <c r="WJH2198" s="10"/>
      <c r="WJI2198" s="10"/>
      <c r="WJJ2198" s="10"/>
      <c r="WJK2198" s="10"/>
      <c r="WJL2198" s="10"/>
      <c r="WJM2198" s="10"/>
      <c r="WJN2198" s="10"/>
      <c r="WJO2198" s="10"/>
      <c r="WJP2198" s="10"/>
      <c r="WJQ2198" s="10"/>
      <c r="WJR2198" s="10"/>
      <c r="WJS2198" s="10"/>
      <c r="WJT2198" s="10"/>
      <c r="WJU2198" s="10"/>
      <c r="WJV2198" s="10"/>
      <c r="WJW2198" s="10"/>
      <c r="WJX2198" s="10"/>
      <c r="WJY2198" s="10"/>
      <c r="WJZ2198" s="10"/>
      <c r="WKA2198" s="10"/>
      <c r="WKB2198" s="10"/>
      <c r="WKC2198" s="10"/>
      <c r="WKD2198" s="10"/>
      <c r="WKE2198" s="10"/>
      <c r="WKF2198" s="10"/>
      <c r="WKG2198" s="10"/>
      <c r="WKH2198" s="10"/>
      <c r="WKI2198" s="10"/>
      <c r="WKJ2198" s="10"/>
      <c r="WKK2198" s="10"/>
      <c r="WKL2198" s="10"/>
      <c r="WKM2198" s="10"/>
      <c r="WKN2198" s="10"/>
      <c r="WKO2198" s="10"/>
      <c r="WKP2198" s="10"/>
      <c r="WKQ2198" s="10"/>
      <c r="WKR2198" s="10"/>
      <c r="WKS2198" s="10"/>
      <c r="WKT2198" s="10"/>
      <c r="WKU2198" s="10"/>
      <c r="WKV2198" s="10"/>
      <c r="WKW2198" s="10"/>
      <c r="WKX2198" s="10"/>
      <c r="WKY2198" s="10"/>
      <c r="WKZ2198" s="10"/>
      <c r="WLA2198" s="10"/>
      <c r="WLB2198" s="10"/>
      <c r="WLC2198" s="10"/>
      <c r="WLD2198" s="10"/>
      <c r="WLE2198" s="10"/>
      <c r="WLF2198" s="10"/>
      <c r="WLG2198" s="10"/>
      <c r="WLH2198" s="10"/>
      <c r="WLI2198" s="10"/>
      <c r="WLJ2198" s="10"/>
      <c r="WLK2198" s="10"/>
      <c r="WLL2198" s="10"/>
      <c r="WLM2198" s="10"/>
      <c r="WLN2198" s="10"/>
      <c r="WLO2198" s="10"/>
      <c r="WLP2198" s="10"/>
      <c r="WLQ2198" s="10"/>
      <c r="WLR2198" s="10"/>
      <c r="WLS2198" s="10"/>
      <c r="WLT2198" s="10"/>
      <c r="WLU2198" s="10"/>
      <c r="WLV2198" s="10"/>
      <c r="WLW2198" s="10"/>
      <c r="WLX2198" s="10"/>
      <c r="WLY2198" s="10"/>
      <c r="WLZ2198" s="10"/>
      <c r="WMA2198" s="10"/>
      <c r="WMB2198" s="10"/>
      <c r="WMC2198" s="10"/>
      <c r="WMD2198" s="10"/>
      <c r="WME2198" s="10"/>
      <c r="WMF2198" s="10"/>
      <c r="WMG2198" s="10"/>
      <c r="WMH2198" s="10"/>
      <c r="WMI2198" s="10"/>
      <c r="WMJ2198" s="10"/>
      <c r="WMK2198" s="10"/>
      <c r="WML2198" s="10"/>
      <c r="WMM2198" s="10"/>
      <c r="WMN2198" s="10"/>
      <c r="WMO2198" s="10"/>
      <c r="WMP2198" s="10"/>
      <c r="WMQ2198" s="10"/>
      <c r="WMR2198" s="10"/>
      <c r="WMS2198" s="10"/>
      <c r="WMT2198" s="10"/>
      <c r="WMU2198" s="10"/>
      <c r="WMV2198" s="10"/>
      <c r="WMW2198" s="10"/>
      <c r="WMX2198" s="10"/>
      <c r="WMY2198" s="10"/>
      <c r="WMZ2198" s="10"/>
      <c r="WNA2198" s="10"/>
      <c r="WNB2198" s="10"/>
      <c r="WNC2198" s="10"/>
      <c r="WND2198" s="10"/>
      <c r="WNE2198" s="10"/>
      <c r="WNF2198" s="10"/>
      <c r="WNG2198" s="10"/>
      <c r="WNH2198" s="10"/>
      <c r="WNI2198" s="10"/>
      <c r="WNJ2198" s="10"/>
      <c r="WNK2198" s="10"/>
      <c r="WNL2198" s="10"/>
      <c r="WNM2198" s="10"/>
      <c r="WNN2198" s="10"/>
      <c r="WNO2198" s="10"/>
      <c r="WNP2198" s="10"/>
      <c r="WNQ2198" s="10"/>
      <c r="WNR2198" s="10"/>
      <c r="WNS2198" s="10"/>
      <c r="WNT2198" s="10"/>
      <c r="WNU2198" s="10"/>
      <c r="WNV2198" s="10"/>
      <c r="WNW2198" s="10"/>
      <c r="WNX2198" s="10"/>
      <c r="WNY2198" s="10"/>
      <c r="WNZ2198" s="10"/>
      <c r="WOA2198" s="10"/>
      <c r="WOB2198" s="10"/>
      <c r="WOC2198" s="10"/>
      <c r="WOD2198" s="10"/>
      <c r="WOE2198" s="10"/>
      <c r="WOF2198" s="10"/>
      <c r="WOG2198" s="10"/>
      <c r="WOH2198" s="10"/>
      <c r="WOI2198" s="10"/>
      <c r="WOJ2198" s="10"/>
      <c r="WOK2198" s="10"/>
      <c r="WOL2198" s="10"/>
      <c r="WOM2198" s="10"/>
      <c r="WON2198" s="10"/>
      <c r="WOO2198" s="10"/>
      <c r="WOP2198" s="10"/>
      <c r="WOQ2198" s="10"/>
      <c r="WOR2198" s="10"/>
      <c r="WOS2198" s="10"/>
      <c r="WOT2198" s="10"/>
      <c r="WOU2198" s="10"/>
      <c r="WOV2198" s="10"/>
      <c r="WOW2198" s="10"/>
      <c r="WOX2198" s="10"/>
      <c r="WOY2198" s="10"/>
      <c r="WOZ2198" s="10"/>
      <c r="WPA2198" s="10"/>
      <c r="WPB2198" s="10"/>
      <c r="WPC2198" s="10"/>
      <c r="WPD2198" s="10"/>
      <c r="WPE2198" s="10"/>
      <c r="WPF2198" s="10"/>
      <c r="WPG2198" s="10"/>
      <c r="WPH2198" s="10"/>
      <c r="WPI2198" s="10"/>
      <c r="WPJ2198" s="10"/>
      <c r="WPK2198" s="10"/>
      <c r="WPL2198" s="10"/>
      <c r="WPM2198" s="10"/>
      <c r="WPN2198" s="10"/>
      <c r="WPO2198" s="10"/>
      <c r="WPP2198" s="10"/>
      <c r="WPQ2198" s="10"/>
      <c r="WPR2198" s="10"/>
      <c r="WPS2198" s="10"/>
      <c r="WPT2198" s="10"/>
      <c r="WPU2198" s="10"/>
      <c r="WPV2198" s="10"/>
      <c r="WPW2198" s="10"/>
      <c r="WPX2198" s="10"/>
      <c r="WPY2198" s="10"/>
      <c r="WPZ2198" s="10"/>
      <c r="WQA2198" s="10"/>
      <c r="WQB2198" s="10"/>
      <c r="WQC2198" s="10"/>
      <c r="WQD2198" s="10"/>
      <c r="WQE2198" s="10"/>
      <c r="WQF2198" s="10"/>
      <c r="WQG2198" s="10"/>
      <c r="WQH2198" s="10"/>
      <c r="WQI2198" s="10"/>
      <c r="WQJ2198" s="10"/>
      <c r="WQK2198" s="10"/>
      <c r="WQL2198" s="10"/>
      <c r="WQM2198" s="10"/>
      <c r="WQN2198" s="10"/>
      <c r="WQO2198" s="10"/>
      <c r="WQP2198" s="10"/>
      <c r="WQQ2198" s="10"/>
      <c r="WQR2198" s="10"/>
      <c r="WQS2198" s="10"/>
      <c r="WQT2198" s="10"/>
      <c r="WQU2198" s="10"/>
      <c r="WQV2198" s="10"/>
      <c r="WQW2198" s="10"/>
      <c r="WQX2198" s="10"/>
      <c r="WQY2198" s="10"/>
      <c r="WQZ2198" s="10"/>
      <c r="WRA2198" s="10"/>
      <c r="WRB2198" s="10"/>
      <c r="WRC2198" s="10"/>
      <c r="WRD2198" s="10"/>
      <c r="WRE2198" s="10"/>
      <c r="WRF2198" s="10"/>
      <c r="WRG2198" s="10"/>
      <c r="WRH2198" s="10"/>
      <c r="WRI2198" s="10"/>
      <c r="WRJ2198" s="10"/>
      <c r="WRK2198" s="10"/>
      <c r="WRL2198" s="10"/>
      <c r="WRM2198" s="10"/>
      <c r="WRN2198" s="10"/>
      <c r="WRO2198" s="10"/>
      <c r="WRP2198" s="10"/>
      <c r="WRQ2198" s="10"/>
      <c r="WRR2198" s="10"/>
      <c r="WRS2198" s="10"/>
      <c r="WRT2198" s="10"/>
      <c r="WRU2198" s="10"/>
      <c r="WRV2198" s="10"/>
      <c r="WRW2198" s="10"/>
      <c r="WRX2198" s="10"/>
      <c r="WRY2198" s="10"/>
      <c r="WRZ2198" s="10"/>
      <c r="WSA2198" s="10"/>
      <c r="WSB2198" s="10"/>
      <c r="WSC2198" s="10"/>
      <c r="WSD2198" s="10"/>
      <c r="WSE2198" s="10"/>
      <c r="WSF2198" s="10"/>
      <c r="WSG2198" s="10"/>
      <c r="WSH2198" s="10"/>
      <c r="WSI2198" s="10"/>
      <c r="WSJ2198" s="10"/>
      <c r="WSK2198" s="10"/>
      <c r="WSL2198" s="10"/>
      <c r="WSM2198" s="10"/>
      <c r="WSN2198" s="10"/>
      <c r="WSO2198" s="10"/>
      <c r="WSP2198" s="10"/>
      <c r="WSQ2198" s="10"/>
      <c r="WSR2198" s="10"/>
      <c r="WSS2198" s="10"/>
      <c r="WST2198" s="10"/>
      <c r="WSU2198" s="10"/>
      <c r="WSV2198" s="10"/>
      <c r="WSW2198" s="10"/>
      <c r="WSX2198" s="10"/>
      <c r="WSY2198" s="10"/>
      <c r="WSZ2198" s="10"/>
      <c r="WTA2198" s="10"/>
      <c r="WTB2198" s="10"/>
      <c r="WTC2198" s="10"/>
      <c r="WTD2198" s="10"/>
      <c r="WTE2198" s="10"/>
      <c r="WTF2198" s="10"/>
      <c r="WTG2198" s="10"/>
      <c r="WTH2198" s="10"/>
      <c r="WTI2198" s="10"/>
      <c r="WTJ2198" s="10"/>
      <c r="WTK2198" s="10"/>
      <c r="WTL2198" s="10"/>
      <c r="WTM2198" s="10"/>
      <c r="WTN2198" s="10"/>
      <c r="WTO2198" s="10"/>
      <c r="WTP2198" s="10"/>
      <c r="WTQ2198" s="10"/>
      <c r="WTR2198" s="10"/>
      <c r="WTS2198" s="10"/>
      <c r="WTT2198" s="10"/>
      <c r="WTU2198" s="10"/>
      <c r="WTV2198" s="10"/>
      <c r="WTW2198" s="10"/>
      <c r="WTX2198" s="10"/>
      <c r="WTY2198" s="10"/>
      <c r="WTZ2198" s="10"/>
      <c r="WUA2198" s="10"/>
      <c r="WUB2198" s="10"/>
      <c r="WUC2198" s="10"/>
      <c r="WUD2198" s="10"/>
      <c r="WUE2198" s="10"/>
      <c r="WUF2198" s="10"/>
      <c r="WUG2198" s="10"/>
      <c r="WUH2198" s="10"/>
      <c r="WUI2198" s="10"/>
      <c r="WUJ2198" s="10"/>
      <c r="WUK2198" s="10"/>
      <c r="WUL2198" s="10"/>
      <c r="WUM2198" s="10"/>
      <c r="WUN2198" s="10"/>
      <c r="WUO2198" s="10"/>
      <c r="WUP2198" s="10"/>
      <c r="WUQ2198" s="10"/>
      <c r="WUR2198" s="10"/>
      <c r="WUS2198" s="10"/>
      <c r="WUT2198" s="10"/>
      <c r="WUU2198" s="10"/>
      <c r="WUV2198" s="10"/>
      <c r="WUW2198" s="10"/>
      <c r="WUX2198" s="10"/>
      <c r="WUY2198" s="10"/>
      <c r="WUZ2198" s="10"/>
      <c r="WVA2198" s="10"/>
      <c r="WVB2198" s="10"/>
      <c r="WVC2198" s="10"/>
      <c r="WVD2198" s="10"/>
      <c r="WVE2198" s="10"/>
      <c r="WVF2198" s="10"/>
      <c r="WVG2198" s="10"/>
      <c r="WVH2198" s="10"/>
      <c r="WVI2198" s="10"/>
      <c r="WVJ2198" s="10"/>
      <c r="WVK2198" s="10"/>
      <c r="WVL2198" s="10"/>
      <c r="WVM2198" s="10"/>
      <c r="WVN2198" s="10"/>
      <c r="WVO2198" s="10"/>
      <c r="WVP2198" s="10"/>
      <c r="WVQ2198" s="10"/>
      <c r="WVR2198" s="10"/>
      <c r="WVS2198" s="10"/>
      <c r="WVT2198" s="10"/>
      <c r="WVU2198" s="10"/>
      <c r="WVV2198" s="10"/>
      <c r="WVW2198" s="10"/>
      <c r="WVX2198" s="10"/>
      <c r="WVY2198" s="10"/>
      <c r="WVZ2198" s="10"/>
      <c r="WWA2198" s="10"/>
      <c r="WWB2198" s="10"/>
      <c r="WWC2198" s="10"/>
      <c r="WWD2198" s="10"/>
      <c r="WWE2198" s="10"/>
      <c r="WWF2198" s="10"/>
      <c r="WWG2198" s="10"/>
      <c r="WWH2198" s="10"/>
      <c r="WWI2198" s="10"/>
      <c r="WWJ2198" s="10"/>
      <c r="WWK2198" s="10"/>
      <c r="WWL2198" s="10"/>
      <c r="WWM2198" s="10"/>
      <c r="WWN2198" s="10"/>
      <c r="WWO2198" s="10"/>
      <c r="WWP2198" s="10"/>
      <c r="WWQ2198" s="10"/>
      <c r="WWR2198" s="10"/>
      <c r="WWS2198" s="10"/>
      <c r="WWT2198" s="10"/>
      <c r="WWU2198" s="10"/>
      <c r="WWV2198" s="10"/>
      <c r="WWW2198" s="10"/>
      <c r="WWX2198" s="10"/>
      <c r="WWY2198" s="10"/>
      <c r="WWZ2198" s="10"/>
      <c r="WXA2198" s="10"/>
      <c r="WXB2198" s="10"/>
      <c r="WXC2198" s="10"/>
      <c r="WXD2198" s="10"/>
      <c r="WXE2198" s="10"/>
      <c r="WXF2198" s="10"/>
      <c r="WXG2198" s="10"/>
      <c r="WXH2198" s="10"/>
      <c r="WXI2198" s="10"/>
      <c r="WXJ2198" s="10"/>
      <c r="WXK2198" s="10"/>
      <c r="WXL2198" s="10"/>
      <c r="WXM2198" s="10"/>
      <c r="WXN2198" s="10"/>
      <c r="WXO2198" s="10"/>
      <c r="WXP2198" s="10"/>
      <c r="WXQ2198" s="10"/>
      <c r="WXR2198" s="10"/>
      <c r="WXS2198" s="10"/>
      <c r="WXT2198" s="10"/>
      <c r="WXU2198" s="10"/>
      <c r="WXV2198" s="10"/>
      <c r="WXW2198" s="10"/>
      <c r="WXX2198" s="10"/>
      <c r="WXY2198" s="10"/>
      <c r="WXZ2198" s="10"/>
      <c r="WYA2198" s="10"/>
      <c r="WYB2198" s="10"/>
      <c r="WYC2198" s="10"/>
      <c r="WYD2198" s="10"/>
      <c r="WYE2198" s="10"/>
      <c r="WYF2198" s="10"/>
      <c r="WYG2198" s="10"/>
      <c r="WYH2198" s="10"/>
      <c r="WYI2198" s="10"/>
      <c r="WYJ2198" s="10"/>
      <c r="WYK2198" s="10"/>
      <c r="WYL2198" s="10"/>
      <c r="WYM2198" s="10"/>
      <c r="WYN2198" s="10"/>
      <c r="WYO2198" s="10"/>
      <c r="WYP2198" s="10"/>
      <c r="WYQ2198" s="10"/>
      <c r="WYR2198" s="10"/>
      <c r="WYS2198" s="10"/>
      <c r="WYT2198" s="10"/>
      <c r="WYU2198" s="10"/>
      <c r="WYV2198" s="10"/>
      <c r="WYW2198" s="10"/>
      <c r="WYX2198" s="10"/>
      <c r="WYY2198" s="10"/>
      <c r="WYZ2198" s="10"/>
      <c r="WZA2198" s="10"/>
      <c r="WZB2198" s="10"/>
      <c r="WZC2198" s="10"/>
      <c r="WZD2198" s="10"/>
      <c r="WZE2198" s="10"/>
      <c r="WZF2198" s="10"/>
      <c r="WZG2198" s="10"/>
      <c r="WZH2198" s="10"/>
      <c r="WZI2198" s="10"/>
      <c r="WZJ2198" s="10"/>
      <c r="WZK2198" s="10"/>
      <c r="WZL2198" s="10"/>
      <c r="WZM2198" s="10"/>
      <c r="WZN2198" s="10"/>
      <c r="WZO2198" s="10"/>
      <c r="WZP2198" s="10"/>
      <c r="WZQ2198" s="10"/>
      <c r="WZR2198" s="10"/>
      <c r="WZS2198" s="10"/>
      <c r="WZT2198" s="10"/>
      <c r="WZU2198" s="10"/>
      <c r="WZV2198" s="10"/>
      <c r="WZW2198" s="10"/>
      <c r="WZX2198" s="10"/>
      <c r="WZY2198" s="10"/>
      <c r="WZZ2198" s="10"/>
      <c r="XAA2198" s="10"/>
      <c r="XAB2198" s="10"/>
      <c r="XAC2198" s="10"/>
      <c r="XAD2198" s="10"/>
      <c r="XAE2198" s="10"/>
      <c r="XAF2198" s="10"/>
      <c r="XAG2198" s="10"/>
      <c r="XAH2198" s="10"/>
      <c r="XAI2198" s="10"/>
      <c r="XAJ2198" s="10"/>
      <c r="XAK2198" s="10"/>
      <c r="XAL2198" s="10"/>
      <c r="XAM2198" s="10"/>
      <c r="XAN2198" s="10"/>
      <c r="XAO2198" s="10"/>
      <c r="XAP2198" s="10"/>
      <c r="XAQ2198" s="10"/>
      <c r="XAR2198" s="10"/>
      <c r="XAS2198" s="10"/>
      <c r="XAT2198" s="10"/>
      <c r="XAU2198" s="10"/>
      <c r="XAV2198" s="10"/>
      <c r="XAW2198" s="10"/>
      <c r="XAX2198" s="10"/>
      <c r="XAY2198" s="10"/>
      <c r="XAZ2198" s="10"/>
      <c r="XBA2198" s="10"/>
      <c r="XBB2198" s="10"/>
      <c r="XBC2198" s="10"/>
      <c r="XBD2198" s="10"/>
      <c r="XBE2198" s="10"/>
      <c r="XBF2198" s="10"/>
      <c r="XBG2198" s="10"/>
      <c r="XBH2198" s="10"/>
      <c r="XBI2198" s="10"/>
      <c r="XBJ2198" s="10"/>
      <c r="XBK2198" s="10"/>
      <c r="XBL2198" s="10"/>
      <c r="XBM2198" s="10"/>
      <c r="XBN2198" s="10"/>
      <c r="XBO2198" s="10"/>
      <c r="XBP2198" s="10"/>
      <c r="XBQ2198" s="10"/>
      <c r="XBR2198" s="10"/>
      <c r="XBS2198" s="10"/>
      <c r="XBT2198" s="10"/>
      <c r="XBU2198" s="10"/>
      <c r="XBV2198" s="10"/>
      <c r="XBW2198" s="10"/>
      <c r="XBX2198" s="10"/>
      <c r="XBY2198" s="10"/>
      <c r="XBZ2198" s="10"/>
      <c r="XCA2198" s="10"/>
      <c r="XCB2198" s="10"/>
      <c r="XCC2198" s="10"/>
      <c r="XCD2198" s="10"/>
      <c r="XCE2198" s="10"/>
      <c r="XCF2198" s="10"/>
      <c r="XCG2198" s="10"/>
      <c r="XCH2198" s="10"/>
      <c r="XCI2198" s="10"/>
      <c r="XCJ2198" s="10"/>
      <c r="XCK2198" s="10"/>
      <c r="XCL2198" s="10"/>
      <c r="XCM2198" s="10"/>
      <c r="XCN2198" s="10"/>
      <c r="XCO2198" s="10"/>
      <c r="XCP2198" s="10"/>
      <c r="XCQ2198" s="10"/>
      <c r="XCR2198" s="10"/>
      <c r="XCS2198" s="10"/>
      <c r="XCT2198" s="10"/>
      <c r="XCU2198" s="10"/>
      <c r="XCV2198" s="10"/>
      <c r="XCW2198" s="10"/>
      <c r="XCX2198" s="10"/>
      <c r="XCY2198" s="10"/>
      <c r="XCZ2198" s="10"/>
      <c r="XDA2198" s="10"/>
      <c r="XDB2198" s="10"/>
      <c r="XDC2198" s="10"/>
      <c r="XDD2198" s="10"/>
      <c r="XDE2198" s="10"/>
      <c r="XDF2198" s="10"/>
      <c r="XDG2198" s="10"/>
      <c r="XDH2198" s="10"/>
      <c r="XDI2198" s="10"/>
      <c r="XDJ2198" s="10"/>
      <c r="XDK2198" s="10"/>
      <c r="XDL2198" s="10"/>
      <c r="XDM2198" s="10"/>
      <c r="XDN2198" s="10"/>
      <c r="XDO2198" s="10"/>
      <c r="XDP2198" s="10"/>
      <c r="XDQ2198" s="10"/>
      <c r="XDR2198" s="10"/>
      <c r="XDS2198" s="10"/>
      <c r="XDT2198" s="10"/>
      <c r="XDU2198" s="10"/>
      <c r="XDV2198" s="10"/>
      <c r="XDW2198" s="10"/>
      <c r="XDX2198" s="10"/>
      <c r="XDY2198" s="10"/>
      <c r="XDZ2198" s="10"/>
      <c r="XEA2198" s="10"/>
      <c r="XEB2198" s="10"/>
      <c r="XEC2198" s="10"/>
      <c r="XED2198" s="10"/>
      <c r="XEE2198" s="10"/>
      <c r="XEF2198" s="10"/>
      <c r="XEG2198" s="10"/>
      <c r="XEH2198" s="10"/>
      <c r="XEI2198" s="10"/>
      <c r="XEJ2198" s="10"/>
      <c r="XEK2198" s="10"/>
      <c r="XEL2198" s="10"/>
      <c r="XEM2198" s="10"/>
      <c r="XEN2198" s="10"/>
      <c r="XEO2198" s="10"/>
      <c r="XEP2198" s="10"/>
      <c r="XEQ2198" s="10"/>
      <c r="XER2198" s="10"/>
      <c r="XES2198" s="10"/>
      <c r="XET2198" s="10"/>
      <c r="XEU2198" s="10"/>
      <c r="XEV2198" s="10"/>
      <c r="XEW2198" s="10"/>
      <c r="XEX2198" s="10"/>
      <c r="XEY2198" s="10"/>
      <c r="XEZ2198" s="10"/>
    </row>
    <row r="2199" spans="1:16380" s="10" customFormat="1" ht="15">
      <c r="A2199" s="7">
        <f>IF(B2199="","",SUBTOTAL(103,$B$2:B2199))</f>
        <v>2198</v>
      </c>
      <c r="B2199" s="7" t="s">
        <v>5959</v>
      </c>
      <c r="C2199" s="7"/>
      <c r="D2199" s="9" t="s">
        <v>5960</v>
      </c>
      <c r="E2199" s="7"/>
      <c r="F2199" s="7"/>
      <c r="G2199" s="7" t="s">
        <v>5961</v>
      </c>
      <c r="H2199" s="7">
        <v>0.68</v>
      </c>
      <c r="I2199" s="7">
        <v>10</v>
      </c>
      <c r="J2199" s="7">
        <v>800</v>
      </c>
      <c r="K2199" s="7">
        <v>600</v>
      </c>
      <c r="L2199" s="7">
        <v>150</v>
      </c>
      <c r="M2199" s="7">
        <v>30</v>
      </c>
      <c r="N2199" s="7">
        <v>120</v>
      </c>
      <c r="O2199" s="7">
        <v>180</v>
      </c>
      <c r="P2199" s="7">
        <v>700</v>
      </c>
    </row>
    <row r="2200" spans="1:16380" s="10" customFormat="1" ht="15">
      <c r="A2200" s="7">
        <f>IF(B2200="","",SUBTOTAL(103,$B$2:B2200))</f>
        <v>2199</v>
      </c>
      <c r="B2200" s="7" t="s">
        <v>5962</v>
      </c>
      <c r="C2200" s="7"/>
      <c r="D2200" s="9" t="s">
        <v>5963</v>
      </c>
      <c r="E2200" s="7" t="s">
        <v>5964</v>
      </c>
      <c r="F2200" s="7" t="s">
        <v>5965</v>
      </c>
      <c r="G2200" s="7" t="str">
        <f>E2200&amp;F2200</f>
        <v xml:space="preserve">康力喷砂机叶片Miếng cố định </v>
      </c>
      <c r="H2200" s="7">
        <v>0.1</v>
      </c>
      <c r="I2200" s="7">
        <v>10</v>
      </c>
      <c r="J2200" s="7">
        <v>800</v>
      </c>
      <c r="K2200" s="7">
        <v>600</v>
      </c>
      <c r="L2200" s="7">
        <v>150</v>
      </c>
      <c r="M2200" s="7">
        <v>30</v>
      </c>
      <c r="N2200" s="7">
        <v>120</v>
      </c>
      <c r="O2200" s="7">
        <v>180</v>
      </c>
      <c r="P2200" s="7">
        <v>700</v>
      </c>
    </row>
    <row r="2201" spans="1:16380" s="10" customFormat="1" ht="15">
      <c r="A2201" s="7">
        <f>IF(B2201="","",SUBTOTAL(103,$B$2:B2201))</f>
        <v>2200</v>
      </c>
      <c r="B2201" s="7" t="s">
        <v>5966</v>
      </c>
      <c r="C2201" s="7"/>
      <c r="D2201" s="9" t="s">
        <v>5967</v>
      </c>
      <c r="E2201" s="7" t="s">
        <v>5968</v>
      </c>
      <c r="F2201" s="7" t="s">
        <v>638</v>
      </c>
      <c r="G2201" s="7" t="str">
        <f>E2201&amp;F2201</f>
        <v>KI KV-C80 保温支架毛坯 (不做深冷处理)NPS11/2 CL600 ASTM A351-CF3M</v>
      </c>
      <c r="H2201" s="7">
        <v>2.6</v>
      </c>
      <c r="I2201" s="7">
        <v>1</v>
      </c>
      <c r="J2201" s="7"/>
      <c r="K2201" s="7"/>
      <c r="L2201" s="7"/>
      <c r="M2201" s="7"/>
      <c r="N2201" s="7">
        <v>150</v>
      </c>
      <c r="O2201" s="7">
        <v>2500</v>
      </c>
      <c r="P2201" s="7">
        <v>3000</v>
      </c>
    </row>
    <row r="2202" spans="1:16380" s="10" customFormat="1" ht="15">
      <c r="A2202" s="7">
        <f>IF(B2202="","",SUBTOTAL(103,$B$2:B2202))</f>
        <v>2201</v>
      </c>
      <c r="B2202" s="7" t="s">
        <v>5966</v>
      </c>
      <c r="C2202" s="7"/>
      <c r="D2202" s="9" t="s">
        <v>5969</v>
      </c>
      <c r="E2202" s="7" t="s">
        <v>5970</v>
      </c>
      <c r="F2202" s="7" t="s">
        <v>593</v>
      </c>
      <c r="G2202" s="7" t="str">
        <f>E2202&amp;F2202</f>
        <v>KI KV-C80 保温支架毛坯 (不需深冷处理)NPS1 CL800 ASTM A351-CF3M</v>
      </c>
      <c r="H2202" s="7">
        <v>1.31</v>
      </c>
      <c r="I2202" s="7">
        <v>2</v>
      </c>
      <c r="J2202" s="7"/>
      <c r="K2202" s="7"/>
      <c r="L2202" s="7"/>
      <c r="M2202" s="7"/>
      <c r="N2202" s="7">
        <v>150</v>
      </c>
      <c r="O2202" s="7">
        <v>2500</v>
      </c>
      <c r="P2202" s="7">
        <v>3000</v>
      </c>
    </row>
    <row r="2203" spans="1:16380" s="10" customFormat="1" ht="15">
      <c r="A2203" s="7">
        <f>IF(B2203="","",SUBTOTAL(103,$B$2:B2203))</f>
        <v>2202</v>
      </c>
      <c r="B2203" s="7" t="s">
        <v>5966</v>
      </c>
      <c r="C2203" s="7"/>
      <c r="D2203" s="9" t="s">
        <v>5971</v>
      </c>
      <c r="E2203" s="7" t="s">
        <v>5968</v>
      </c>
      <c r="F2203" s="7" t="s">
        <v>614</v>
      </c>
      <c r="G2203" s="7" t="str">
        <f>E2203&amp;F2203</f>
        <v>KI KV-C80 保温支架毛坯 (不做深冷处理)NPS1/2 CL800 ASTM A351-CF3M</v>
      </c>
      <c r="H2203" s="7">
        <v>0.24</v>
      </c>
      <c r="I2203" s="7">
        <v>2</v>
      </c>
      <c r="J2203" s="7"/>
      <c r="K2203" s="7"/>
      <c r="L2203" s="7"/>
      <c r="M2203" s="7"/>
      <c r="N2203" s="7">
        <v>500</v>
      </c>
      <c r="O2203" s="7">
        <v>1250</v>
      </c>
      <c r="P2203" s="7">
        <v>1500</v>
      </c>
    </row>
    <row r="2204" spans="1:16380" s="10" customFormat="1">
      <c r="A2204" s="7">
        <f>IF(B2204="","",SUBTOTAL(103,$B$2:B2204))</f>
        <v>2203</v>
      </c>
      <c r="B2204" s="8" t="s">
        <v>5972</v>
      </c>
      <c r="C2204" s="7"/>
      <c r="D2204" s="9" t="s">
        <v>5973</v>
      </c>
      <c r="E2204" s="7"/>
      <c r="F2204" s="7"/>
      <c r="G2204" s="7" t="s">
        <v>5972</v>
      </c>
      <c r="H2204" s="7">
        <v>0.08</v>
      </c>
      <c r="I2204" s="7">
        <v>3</v>
      </c>
      <c r="J2204" s="7">
        <v>800</v>
      </c>
      <c r="K2204" s="7">
        <v>600</v>
      </c>
      <c r="L2204" s="7">
        <v>150</v>
      </c>
      <c r="M2204" s="7">
        <v>30</v>
      </c>
      <c r="N2204" s="7">
        <v>120</v>
      </c>
      <c r="O2204" s="7">
        <v>500</v>
      </c>
      <c r="P2204" s="7">
        <v>700</v>
      </c>
    </row>
    <row r="2205" spans="1:16380" s="10" customFormat="1">
      <c r="A2205" s="7">
        <f>IF(B2205="","",SUBTOTAL(103,$B$2:B2205))</f>
        <v>2204</v>
      </c>
      <c r="B2205" s="8" t="s">
        <v>5972</v>
      </c>
      <c r="C2205" s="7"/>
      <c r="D2205" s="9" t="s">
        <v>5974</v>
      </c>
      <c r="E2205" s="7" t="s">
        <v>5975</v>
      </c>
      <c r="F2205" s="7" t="s">
        <v>5976</v>
      </c>
      <c r="G2205" s="7" t="s">
        <v>5972</v>
      </c>
      <c r="H2205" s="7">
        <v>1</v>
      </c>
      <c r="I2205" s="7">
        <v>1</v>
      </c>
      <c r="J2205" s="7">
        <v>800</v>
      </c>
      <c r="K2205" s="7">
        <v>600</v>
      </c>
      <c r="L2205" s="7">
        <v>150</v>
      </c>
      <c r="M2205" s="7">
        <v>30</v>
      </c>
      <c r="N2205" s="7">
        <v>120</v>
      </c>
      <c r="O2205" s="7">
        <v>1800</v>
      </c>
      <c r="P2205" s="7">
        <v>2000</v>
      </c>
    </row>
    <row r="2206" spans="1:16380" s="10" customFormat="1">
      <c r="A2206" s="7">
        <f>IF(B2206="","",SUBTOTAL(103,$B$2:B2206))</f>
        <v>2205</v>
      </c>
      <c r="B2206" s="8" t="s">
        <v>5972</v>
      </c>
      <c r="C2206" s="7"/>
      <c r="D2206" s="9" t="s">
        <v>5977</v>
      </c>
      <c r="E2206" s="7" t="s">
        <v>5975</v>
      </c>
      <c r="F2206" s="7" t="s">
        <v>5978</v>
      </c>
      <c r="G2206" s="7" t="s">
        <v>5972</v>
      </c>
      <c r="H2206" s="7">
        <v>1</v>
      </c>
      <c r="I2206" s="7">
        <v>1</v>
      </c>
      <c r="J2206" s="7">
        <v>800</v>
      </c>
      <c r="K2206" s="7">
        <v>600</v>
      </c>
      <c r="L2206" s="7">
        <v>150</v>
      </c>
      <c r="M2206" s="7">
        <v>30</v>
      </c>
      <c r="N2206" s="7">
        <v>120</v>
      </c>
      <c r="O2206" s="7">
        <v>1800</v>
      </c>
      <c r="P2206" s="7">
        <v>2000</v>
      </c>
    </row>
    <row r="2207" spans="1:16380" s="10" customFormat="1">
      <c r="A2207" s="7">
        <f>IF(B2207="","",SUBTOTAL(103,$B$2:B2207))</f>
        <v>2206</v>
      </c>
      <c r="B2207" s="8" t="s">
        <v>5972</v>
      </c>
      <c r="C2207" s="7"/>
      <c r="D2207" s="9">
        <v>416052360</v>
      </c>
      <c r="E2207" s="7" t="s">
        <v>5979</v>
      </c>
      <c r="F2207" s="7" t="s">
        <v>5980</v>
      </c>
      <c r="G2207" s="7" t="str">
        <f>E2207&amp;F2207</f>
        <v>试棒毛坯 (1组：2根试棒,1块试片)φ12 CD3MN</v>
      </c>
      <c r="H2207" s="7">
        <v>1</v>
      </c>
      <c r="I2207" s="7">
        <v>1</v>
      </c>
      <c r="J2207" s="7">
        <v>800</v>
      </c>
      <c r="K2207" s="7">
        <v>600</v>
      </c>
      <c r="L2207" s="7">
        <v>150</v>
      </c>
      <c r="M2207" s="7">
        <v>30</v>
      </c>
      <c r="N2207" s="7">
        <v>120</v>
      </c>
      <c r="O2207" s="7">
        <v>1800</v>
      </c>
      <c r="P2207" s="7">
        <v>2000</v>
      </c>
    </row>
    <row r="2208" spans="1:16380" s="10" customFormat="1">
      <c r="A2208" s="7">
        <f>IF(B2208="","",SUBTOTAL(103,$B$2:B2208))</f>
        <v>2207</v>
      </c>
      <c r="B2208" s="8" t="s">
        <v>5972</v>
      </c>
      <c r="C2208" s="7"/>
      <c r="D2208" s="9" t="s">
        <v>5981</v>
      </c>
      <c r="E2208" s="7" t="s">
        <v>5975</v>
      </c>
      <c r="F2208" s="7" t="s">
        <v>5982</v>
      </c>
      <c r="G2208" s="7" t="s">
        <v>5972</v>
      </c>
      <c r="H2208" s="7">
        <v>1</v>
      </c>
      <c r="I2208" s="7">
        <v>1</v>
      </c>
      <c r="J2208" s="7">
        <v>800</v>
      </c>
      <c r="K2208" s="7">
        <v>600</v>
      </c>
      <c r="L2208" s="7">
        <v>150</v>
      </c>
      <c r="M2208" s="7">
        <v>30</v>
      </c>
      <c r="N2208" s="7">
        <v>120</v>
      </c>
      <c r="O2208" s="7">
        <v>1800</v>
      </c>
      <c r="P2208" s="7">
        <v>2000</v>
      </c>
    </row>
    <row r="2209" spans="1:16" s="10" customFormat="1">
      <c r="A2209" s="7">
        <f>IF(B2209="","",SUBTOTAL(103,$B$2:B2209))</f>
        <v>2208</v>
      </c>
      <c r="B2209" s="8" t="s">
        <v>5972</v>
      </c>
      <c r="C2209" s="7"/>
      <c r="D2209" s="9" t="s">
        <v>5983</v>
      </c>
      <c r="E2209" s="7" t="s">
        <v>5984</v>
      </c>
      <c r="F2209" s="7" t="s">
        <v>5985</v>
      </c>
      <c r="G2209" s="7" t="s">
        <v>5972</v>
      </c>
      <c r="H2209" s="7">
        <v>1</v>
      </c>
      <c r="I2209" s="7">
        <v>1</v>
      </c>
      <c r="J2209" s="7">
        <v>800</v>
      </c>
      <c r="K2209" s="7">
        <v>600</v>
      </c>
      <c r="L2209" s="7">
        <v>150</v>
      </c>
      <c r="M2209" s="7">
        <v>30</v>
      </c>
      <c r="N2209" s="7">
        <v>120</v>
      </c>
      <c r="O2209" s="7">
        <v>1800</v>
      </c>
      <c r="P2209" s="7">
        <v>2000</v>
      </c>
    </row>
    <row r="2210" spans="1:16" s="10" customFormat="1">
      <c r="A2210" s="7">
        <f>IF(B2210="","",SUBTOTAL(103,$B$2:B2210))</f>
        <v>2209</v>
      </c>
      <c r="B2210" s="8" t="s">
        <v>5972</v>
      </c>
      <c r="C2210" s="7"/>
      <c r="D2210" s="9" t="s">
        <v>5986</v>
      </c>
      <c r="E2210" s="7" t="s">
        <v>5984</v>
      </c>
      <c r="F2210" s="7" t="s">
        <v>5987</v>
      </c>
      <c r="G2210" s="7" t="s">
        <v>5972</v>
      </c>
      <c r="H2210" s="7">
        <v>1</v>
      </c>
      <c r="I2210" s="7">
        <v>1</v>
      </c>
      <c r="J2210" s="7">
        <v>800</v>
      </c>
      <c r="K2210" s="7">
        <v>600</v>
      </c>
      <c r="L2210" s="7">
        <v>150</v>
      </c>
      <c r="M2210" s="7">
        <v>30</v>
      </c>
      <c r="N2210" s="7">
        <v>120</v>
      </c>
      <c r="O2210" s="7">
        <v>1800</v>
      </c>
      <c r="P2210" s="7">
        <v>2000</v>
      </c>
    </row>
    <row r="2211" spans="1:16" s="10" customFormat="1">
      <c r="A2211" s="7">
        <f>IF(B2211="","",SUBTOTAL(103,$B$2:B2211))</f>
        <v>2210</v>
      </c>
      <c r="B2211" s="8" t="s">
        <v>5972</v>
      </c>
      <c r="C2211" s="7"/>
      <c r="D2211" s="9">
        <v>416052361</v>
      </c>
      <c r="E2211" s="7" t="s">
        <v>5979</v>
      </c>
      <c r="F2211" s="7" t="s">
        <v>5988</v>
      </c>
      <c r="G2211" s="7" t="s">
        <v>5972</v>
      </c>
      <c r="H2211" s="7">
        <v>1</v>
      </c>
      <c r="I2211" s="7">
        <v>1</v>
      </c>
      <c r="J2211" s="7">
        <v>800</v>
      </c>
      <c r="K2211" s="7">
        <v>600</v>
      </c>
      <c r="L2211" s="7">
        <v>150</v>
      </c>
      <c r="M2211" s="7">
        <v>30</v>
      </c>
      <c r="N2211" s="7">
        <v>120</v>
      </c>
      <c r="O2211" s="7">
        <v>1800</v>
      </c>
      <c r="P2211" s="7">
        <v>2000</v>
      </c>
    </row>
    <row r="2212" spans="1:16" s="10" customFormat="1">
      <c r="A2212" s="7">
        <f>IF(B2212="","",SUBTOTAL(103,$B$2:B2212))</f>
        <v>2211</v>
      </c>
      <c r="B2212" s="8" t="s">
        <v>5989</v>
      </c>
      <c r="C2212" s="7"/>
      <c r="D2212" s="9" t="s">
        <v>5990</v>
      </c>
      <c r="E2212" s="7"/>
      <c r="F2212" s="7"/>
      <c r="G2212" s="7" t="s">
        <v>5991</v>
      </c>
      <c r="H2212" s="7">
        <v>0.75</v>
      </c>
      <c r="I2212" s="7">
        <v>6</v>
      </c>
      <c r="J2212" s="7">
        <v>800</v>
      </c>
      <c r="K2212" s="7">
        <v>600</v>
      </c>
      <c r="L2212" s="7">
        <v>150</v>
      </c>
      <c r="M2212" s="7">
        <v>30</v>
      </c>
      <c r="N2212" s="7">
        <v>120</v>
      </c>
      <c r="O2212" s="7">
        <v>400</v>
      </c>
      <c r="P2212" s="7">
        <v>700</v>
      </c>
    </row>
    <row r="2213" spans="1:16" s="10" customFormat="1">
      <c r="A2213" s="7">
        <f>IF(B2213="","",SUBTOTAL(103,$B$2:B2213))</f>
        <v>2212</v>
      </c>
      <c r="B2213" s="8" t="s">
        <v>5989</v>
      </c>
      <c r="C2213" s="7"/>
      <c r="D2213" s="9" t="s">
        <v>5992</v>
      </c>
      <c r="E2213" s="7" t="s">
        <v>5993</v>
      </c>
      <c r="F2213" s="7" t="s">
        <v>5994</v>
      </c>
      <c r="G2213" s="7" t="str">
        <f>E2213&amp;F2213</f>
        <v>越南铁王-浸浆挂钩WCB</v>
      </c>
      <c r="H2213" s="7">
        <v>0.7</v>
      </c>
      <c r="I2213" s="7">
        <v>6</v>
      </c>
      <c r="J2213" s="7">
        <v>800</v>
      </c>
      <c r="K2213" s="7">
        <v>600</v>
      </c>
      <c r="L2213" s="7">
        <v>150</v>
      </c>
      <c r="M2213" s="7">
        <v>30</v>
      </c>
      <c r="N2213" s="7">
        <v>120</v>
      </c>
      <c r="O2213" s="7">
        <v>400</v>
      </c>
      <c r="P2213" s="7">
        <v>700</v>
      </c>
    </row>
    <row r="2214" spans="1:16" s="10" customFormat="1" ht="16.5" customHeight="1">
      <c r="A2214" s="7">
        <f>IF(B2214="","",SUBTOTAL(103,$B$2:B2214))</f>
        <v>2213</v>
      </c>
      <c r="B2214" s="8" t="s">
        <v>5944</v>
      </c>
      <c r="C2214" s="7"/>
      <c r="D2214" s="9" t="s">
        <v>5944</v>
      </c>
      <c r="E2214" s="7"/>
      <c r="F2214" s="7"/>
      <c r="G2214" s="7" t="s">
        <v>5944</v>
      </c>
      <c r="H2214" s="7"/>
      <c r="I2214" s="7">
        <v>2</v>
      </c>
      <c r="J2214" s="7"/>
      <c r="K2214" s="7"/>
      <c r="L2214" s="7"/>
      <c r="M2214" s="7"/>
      <c r="N2214" s="7"/>
      <c r="O2214" s="7">
        <v>1000</v>
      </c>
      <c r="P2214" s="7">
        <v>1100</v>
      </c>
    </row>
    <row r="2215" spans="1:16" s="10" customFormat="1" ht="16.5" customHeight="1">
      <c r="A2215" s="7">
        <f>IF(B2215="","",SUBTOTAL(103,$B$2:B2215))</f>
        <v>2214</v>
      </c>
      <c r="B2215" s="8" t="s">
        <v>5995</v>
      </c>
      <c r="C2215" s="7"/>
      <c r="D2215" s="9" t="s">
        <v>5996</v>
      </c>
      <c r="E2215" s="7" t="s">
        <v>5997</v>
      </c>
      <c r="F2215" s="7" t="s">
        <v>5947</v>
      </c>
      <c r="G2215" s="7" t="str">
        <f>E2215&amp;F2215</f>
        <v>右下护板（茂村喷砂机）毛坯-Miếng bảo vệ cố định phía dưới trái MC-202A phôi锰</v>
      </c>
      <c r="H2215" s="7"/>
      <c r="I2215" s="7">
        <v>2</v>
      </c>
      <c r="J2215" s="7"/>
      <c r="K2215" s="7"/>
      <c r="L2215" s="7"/>
      <c r="M2215" s="7"/>
      <c r="N2215" s="7"/>
      <c r="O2215" s="7">
        <v>1000</v>
      </c>
      <c r="P2215" s="7">
        <v>1100</v>
      </c>
    </row>
    <row r="2216" spans="1:16" s="10" customFormat="1">
      <c r="A2216" s="7">
        <f>IF(B2216="","",SUBTOTAL(103,$B$2:B2216))</f>
        <v>2215</v>
      </c>
      <c r="B2216" s="8" t="s">
        <v>5998</v>
      </c>
      <c r="C2216" s="7"/>
      <c r="D2216" s="9" t="s">
        <v>5999</v>
      </c>
      <c r="E2216" s="7" t="s">
        <v>6000</v>
      </c>
      <c r="F2216" s="7" t="s">
        <v>6001</v>
      </c>
      <c r="G2216" s="7" t="str">
        <f t="shared" ref="G2216:G2221" si="7">E2216&amp;F2216</f>
        <v>板材 焊板毛坯9.5mm*500mm*150mm  (材质LCC)</v>
      </c>
      <c r="H2216" s="7"/>
      <c r="I2216" s="7">
        <v>1</v>
      </c>
      <c r="J2216" s="7"/>
      <c r="K2216" s="7"/>
      <c r="L2216" s="7"/>
      <c r="M2216" s="7"/>
      <c r="N2216" s="7"/>
      <c r="O2216" s="7">
        <v>5000</v>
      </c>
      <c r="P2216" s="7">
        <v>10000</v>
      </c>
    </row>
    <row r="2217" spans="1:16" s="10" customFormat="1">
      <c r="A2217" s="7">
        <f>IF(B2217="","",SUBTOTAL(103,$B$2:B2217))</f>
        <v>2216</v>
      </c>
      <c r="B2217" s="8" t="s">
        <v>5998</v>
      </c>
      <c r="C2217" s="7"/>
      <c r="D2217" s="9" t="s">
        <v>6002</v>
      </c>
      <c r="E2217" s="7" t="s">
        <v>6000</v>
      </c>
      <c r="F2217" s="7" t="s">
        <v>6003</v>
      </c>
      <c r="G2217" s="7" t="str">
        <f t="shared" si="7"/>
        <v>板材 焊板毛坯9.5mm*300mm*150mm  (材质LCC)</v>
      </c>
      <c r="H2217" s="7"/>
      <c r="I2217" s="7">
        <v>1</v>
      </c>
      <c r="J2217" s="7"/>
      <c r="K2217" s="7"/>
      <c r="L2217" s="7"/>
      <c r="M2217" s="7"/>
      <c r="N2217" s="7"/>
      <c r="O2217" s="7">
        <v>5000</v>
      </c>
      <c r="P2217" s="7">
        <v>10000</v>
      </c>
    </row>
    <row r="2218" spans="1:16" s="10" customFormat="1">
      <c r="A2218" s="7">
        <f>IF(B2218="","",SUBTOTAL(103,$B$2:B2218))</f>
        <v>2217</v>
      </c>
      <c r="B2218" s="8" t="s">
        <v>5998</v>
      </c>
      <c r="C2218" s="7"/>
      <c r="D2218" s="9" t="s">
        <v>6004</v>
      </c>
      <c r="E2218" s="7" t="s">
        <v>6000</v>
      </c>
      <c r="F2218" s="7" t="s">
        <v>6005</v>
      </c>
      <c r="G2218" s="7" t="str">
        <f t="shared" si="7"/>
        <v>板材 焊板毛坯25mm*200mm*125mm  (材质LCC)</v>
      </c>
      <c r="H2218" s="7"/>
      <c r="I2218" s="7">
        <v>1</v>
      </c>
      <c r="J2218" s="7"/>
      <c r="K2218" s="7"/>
      <c r="L2218" s="7"/>
      <c r="M2218" s="7"/>
      <c r="N2218" s="7"/>
      <c r="O2218" s="7">
        <v>5000</v>
      </c>
      <c r="P2218" s="7">
        <v>10000</v>
      </c>
    </row>
    <row r="2219" spans="1:16" s="10" customFormat="1">
      <c r="A2219" s="7">
        <f>IF(B2219="","",SUBTOTAL(103,$B$2:B2219))</f>
        <v>2218</v>
      </c>
      <c r="B2219" s="8" t="s">
        <v>6006</v>
      </c>
      <c r="C2219" s="7"/>
      <c r="D2219" s="9" t="s">
        <v>6007</v>
      </c>
      <c r="E2219" s="7" t="s">
        <v>6008</v>
      </c>
      <c r="F2219" s="7" t="s">
        <v>6009</v>
      </c>
      <c r="G2219" s="7" t="str">
        <f t="shared" si="7"/>
        <v>板材 焊管毛坯 Ø80mm材质LCC</v>
      </c>
      <c r="H2219" s="7"/>
      <c r="I2219" s="7">
        <v>2</v>
      </c>
      <c r="J2219" s="7"/>
      <c r="K2219" s="7"/>
      <c r="L2219" s="7"/>
      <c r="M2219" s="7"/>
      <c r="N2219" s="7"/>
      <c r="O2219" s="7">
        <v>2000</v>
      </c>
      <c r="P2219" s="7">
        <v>3000</v>
      </c>
    </row>
    <row r="2220" spans="1:16" s="10" customFormat="1">
      <c r="A2220" s="7">
        <f>IF(B2220="","",SUBTOTAL(103,$B$2:B2220))</f>
        <v>2219</v>
      </c>
      <c r="B2220" s="8" t="s">
        <v>6006</v>
      </c>
      <c r="C2220" s="7"/>
      <c r="D2220" s="9" t="s">
        <v>6010</v>
      </c>
      <c r="E2220" s="7" t="s">
        <v>6008</v>
      </c>
      <c r="F2220" s="7" t="s">
        <v>6011</v>
      </c>
      <c r="G2220" s="7" t="str">
        <f t="shared" si="7"/>
        <v>板材 焊管毛坯 Ø80mm材质WCB</v>
      </c>
      <c r="H2220" s="7"/>
      <c r="I2220" s="7">
        <v>2</v>
      </c>
      <c r="J2220" s="7"/>
      <c r="K2220" s="7"/>
      <c r="L2220" s="7"/>
      <c r="M2220" s="7"/>
      <c r="N2220" s="7"/>
      <c r="O2220" s="7">
        <v>2000</v>
      </c>
      <c r="P2220" s="7">
        <v>3000</v>
      </c>
    </row>
    <row r="2221" spans="1:16" s="10" customFormat="1">
      <c r="A2221" s="7">
        <f>IF(B2221="","",SUBTOTAL(103,$B$2:B2221))</f>
        <v>2220</v>
      </c>
      <c r="B2221" s="8" t="s">
        <v>5998</v>
      </c>
      <c r="C2221" s="7"/>
      <c r="D2221" s="9" t="s">
        <v>6012</v>
      </c>
      <c r="E2221" s="7" t="s">
        <v>6000</v>
      </c>
      <c r="F2221" s="7" t="s">
        <v>6013</v>
      </c>
      <c r="G2221" s="7" t="str">
        <f t="shared" si="7"/>
        <v>板材 焊板毛坯25mm*400mm*150mm  (材质LCC)</v>
      </c>
      <c r="H2221" s="7"/>
      <c r="I2221" s="7">
        <v>1</v>
      </c>
      <c r="J2221" s="7"/>
      <c r="K2221" s="7"/>
      <c r="L2221" s="7"/>
      <c r="M2221" s="7"/>
      <c r="N2221" s="7"/>
      <c r="O2221" s="7">
        <v>5000</v>
      </c>
      <c r="P2221" s="7">
        <v>10000</v>
      </c>
    </row>
    <row r="2222" spans="1:16" s="10" customFormat="1">
      <c r="A2222" s="7">
        <f>IF(B2222="","",SUBTOTAL(103,$B$2:B2222))</f>
        <v>2221</v>
      </c>
      <c r="B2222" s="8" t="s">
        <v>6006</v>
      </c>
      <c r="C2222" s="7"/>
      <c r="D2222" s="9" t="s">
        <v>6014</v>
      </c>
      <c r="E2222" s="7" t="s">
        <v>6008</v>
      </c>
      <c r="F2222" s="7" t="s">
        <v>6015</v>
      </c>
      <c r="G2222" s="7" t="str">
        <f>E2222&amp;F2222</f>
        <v>板材 焊管毛坯 Ø80mm材质CF3</v>
      </c>
      <c r="H2222" s="7"/>
      <c r="I2222" s="7">
        <v>2</v>
      </c>
      <c r="J2222" s="7"/>
      <c r="K2222" s="7"/>
      <c r="L2222" s="7"/>
      <c r="M2222" s="7"/>
      <c r="N2222" s="7"/>
      <c r="O2222" s="7">
        <v>2000</v>
      </c>
      <c r="P2222" s="7">
        <v>3000</v>
      </c>
    </row>
    <row r="2223" spans="1:16" s="10" customFormat="1">
      <c r="A2223" s="7">
        <f>IF(B2223="","",SUBTOTAL(103,$B$2:B2223))</f>
        <v>2222</v>
      </c>
      <c r="B2223" s="8" t="s">
        <v>5998</v>
      </c>
      <c r="C2223" s="7"/>
      <c r="D2223" s="9" t="s">
        <v>6016</v>
      </c>
      <c r="E2223" s="7" t="s">
        <v>6000</v>
      </c>
      <c r="F2223" s="7" t="s">
        <v>6017</v>
      </c>
      <c r="G2223" s="7"/>
      <c r="H2223" s="7"/>
      <c r="I2223" s="7">
        <v>1</v>
      </c>
      <c r="J2223" s="7"/>
      <c r="K2223" s="7"/>
      <c r="L2223" s="7"/>
      <c r="M2223" s="7"/>
      <c r="N2223" s="7"/>
      <c r="O2223" s="7">
        <v>5000</v>
      </c>
      <c r="P2223" s="7">
        <v>10000</v>
      </c>
    </row>
    <row r="2224" spans="1:16" s="10" customFormat="1">
      <c r="A2224" s="7">
        <f>IF(B2224="","",SUBTOTAL(103,$B$2:B2224))</f>
        <v>2223</v>
      </c>
      <c r="B2224" s="16" t="s">
        <v>6018</v>
      </c>
      <c r="C2224" s="7"/>
      <c r="D2224" s="9" t="s">
        <v>6019</v>
      </c>
      <c r="E2224" s="7" t="s">
        <v>6020</v>
      </c>
      <c r="F2224" s="7" t="s">
        <v>6021</v>
      </c>
      <c r="G2224" s="7" t="str">
        <f t="shared" ref="G2224:G2287" si="8">E2224&amp;F2224</f>
        <v>Warren KV-020-W3 阀体毛坯 (NACE)NPS1/4 3600WOG ASTM A216-WCB</v>
      </c>
      <c r="H2224" s="7"/>
      <c r="I2224" s="7">
        <v>6</v>
      </c>
      <c r="J2224" s="7"/>
      <c r="K2224" s="7"/>
      <c r="L2224" s="7"/>
      <c r="M2224" s="7"/>
      <c r="N2224" s="7">
        <v>60</v>
      </c>
      <c r="O2224" s="7">
        <v>350</v>
      </c>
      <c r="P2224" s="7">
        <v>400</v>
      </c>
    </row>
    <row r="2225" spans="1:16" s="10" customFormat="1">
      <c r="A2225" s="7">
        <f>IF(B2225="","",SUBTOTAL(103,$B$2:B2225))</f>
        <v>2224</v>
      </c>
      <c r="B2225" s="16" t="s">
        <v>6018</v>
      </c>
      <c r="C2225" s="7"/>
      <c r="D2225" s="9" t="s">
        <v>6022</v>
      </c>
      <c r="E2225" s="7" t="s">
        <v>6023</v>
      </c>
      <c r="F2225" s="7" t="s">
        <v>6021</v>
      </c>
      <c r="G2225" s="7" t="str">
        <f t="shared" si="8"/>
        <v>KI KV-020-W3 阀盖毛坯 (NACE)NPS1/4 3600WOG ASTM A216-WCB</v>
      </c>
      <c r="H2225" s="7"/>
      <c r="I2225" s="7">
        <v>12</v>
      </c>
      <c r="J2225" s="7"/>
      <c r="K2225" s="7"/>
      <c r="L2225" s="7"/>
      <c r="M2225" s="7"/>
      <c r="N2225" s="7">
        <v>60</v>
      </c>
      <c r="O2225" s="7">
        <v>200</v>
      </c>
      <c r="P2225" s="7">
        <v>220</v>
      </c>
    </row>
    <row r="2226" spans="1:16" s="10" customFormat="1">
      <c r="A2226" s="7">
        <f>IF(B2226="","",SUBTOTAL(103,$B$2:B2226))</f>
        <v>2225</v>
      </c>
      <c r="B2226" s="16" t="s">
        <v>6018</v>
      </c>
      <c r="C2226" s="7"/>
      <c r="D2226" s="9" t="s">
        <v>6024</v>
      </c>
      <c r="E2226" s="7" t="s">
        <v>6025</v>
      </c>
      <c r="F2226" s="7" t="s">
        <v>6026</v>
      </c>
      <c r="G2226" s="7" t="str">
        <f t="shared" si="8"/>
        <v>Warren KV-020-W3R 阀体毛坯 (借用KV-020-W3 1/4换字块NACE)NPS3/8 3600WOG ASTM A216-WCB</v>
      </c>
      <c r="H2226" s="7"/>
      <c r="I2226" s="7">
        <v>6</v>
      </c>
      <c r="J2226" s="7"/>
      <c r="K2226" s="7"/>
      <c r="L2226" s="7"/>
      <c r="M2226" s="7"/>
      <c r="N2226" s="7">
        <v>60</v>
      </c>
      <c r="O2226" s="7">
        <v>350</v>
      </c>
      <c r="P2226" s="7">
        <v>400</v>
      </c>
    </row>
    <row r="2227" spans="1:16" s="10" customFormat="1">
      <c r="A2227" s="7">
        <f>IF(B2227="","",SUBTOTAL(103,$B$2:B2227))</f>
        <v>2226</v>
      </c>
      <c r="B2227" s="16" t="s">
        <v>6018</v>
      </c>
      <c r="C2227" s="7"/>
      <c r="D2227" s="9" t="s">
        <v>6027</v>
      </c>
      <c r="E2227" s="7" t="s">
        <v>6028</v>
      </c>
      <c r="F2227" s="7" t="s">
        <v>6026</v>
      </c>
      <c r="G2227" s="7" t="str">
        <f t="shared" si="8"/>
        <v>KI KV-020-W3R 阀盖毛坯 (借用KV-020-W3 1/4换字块,NACE)NPS3/8 3600WOG ASTM A216-WCB</v>
      </c>
      <c r="H2227" s="7"/>
      <c r="I2227" s="7">
        <v>12</v>
      </c>
      <c r="J2227" s="7"/>
      <c r="K2227" s="7"/>
      <c r="L2227" s="7"/>
      <c r="M2227" s="7"/>
      <c r="N2227" s="7">
        <v>60</v>
      </c>
      <c r="O2227" s="7">
        <v>200</v>
      </c>
      <c r="P2227" s="7">
        <v>220</v>
      </c>
    </row>
    <row r="2228" spans="1:16" s="10" customFormat="1">
      <c r="A2228" s="7">
        <f>IF(B2228="","",SUBTOTAL(103,$B$2:B2228))</f>
        <v>2227</v>
      </c>
      <c r="B2228" s="16" t="s">
        <v>6018</v>
      </c>
      <c r="C2228" s="7"/>
      <c r="D2228" s="9" t="s">
        <v>6029</v>
      </c>
      <c r="E2228" s="7" t="s">
        <v>6020</v>
      </c>
      <c r="F2228" s="7" t="s">
        <v>6030</v>
      </c>
      <c r="G2228" s="7" t="str">
        <f t="shared" si="8"/>
        <v>Warren KV-020-W3 阀体毛坯 (NACE)NPS1/2 3600WOG ASTM A216-WCB</v>
      </c>
      <c r="H2228" s="7"/>
      <c r="I2228" s="7">
        <v>6</v>
      </c>
      <c r="J2228" s="7"/>
      <c r="K2228" s="7"/>
      <c r="L2228" s="7"/>
      <c r="M2228" s="7"/>
      <c r="N2228" s="7">
        <v>60</v>
      </c>
      <c r="O2228" s="7">
        <v>350</v>
      </c>
      <c r="P2228" s="7">
        <v>400</v>
      </c>
    </row>
    <row r="2229" spans="1:16" s="10" customFormat="1">
      <c r="A2229" s="7">
        <f>IF(B2229="","",SUBTOTAL(103,$B$2:B2229))</f>
        <v>2228</v>
      </c>
      <c r="B2229" s="16" t="s">
        <v>6018</v>
      </c>
      <c r="C2229" s="7"/>
      <c r="D2229" s="9" t="s">
        <v>6031</v>
      </c>
      <c r="E2229" s="7" t="s">
        <v>6023</v>
      </c>
      <c r="F2229" s="7" t="s">
        <v>6030</v>
      </c>
      <c r="G2229" s="7" t="str">
        <f t="shared" si="8"/>
        <v>KI KV-020-W3 阀盖毛坯 (NACE)NPS1/2 3600WOG ASTM A216-WCB</v>
      </c>
      <c r="H2229" s="7"/>
      <c r="I2229" s="7">
        <v>12</v>
      </c>
      <c r="J2229" s="7"/>
      <c r="K2229" s="7"/>
      <c r="L2229" s="7"/>
      <c r="M2229" s="7"/>
      <c r="N2229" s="7">
        <v>60</v>
      </c>
      <c r="O2229" s="7">
        <v>200</v>
      </c>
      <c r="P2229" s="7">
        <v>220</v>
      </c>
    </row>
    <row r="2230" spans="1:16" s="10" customFormat="1">
      <c r="A2230" s="7">
        <f>IF(B2230="","",SUBTOTAL(103,$B$2:B2230))</f>
        <v>2229</v>
      </c>
      <c r="B2230" s="16" t="s">
        <v>6018</v>
      </c>
      <c r="C2230" s="7"/>
      <c r="D2230" s="9" t="s">
        <v>6032</v>
      </c>
      <c r="E2230" s="7" t="s">
        <v>6020</v>
      </c>
      <c r="F2230" s="7" t="s">
        <v>6033</v>
      </c>
      <c r="G2230" s="7" t="str">
        <f t="shared" si="8"/>
        <v>Warren KV-020-W3 阀体毛坯 (NACE)NPS3/4 3600WOG ASTM A216-WCB</v>
      </c>
      <c r="H2230" s="7"/>
      <c r="I2230" s="7">
        <v>5</v>
      </c>
      <c r="J2230" s="7"/>
      <c r="K2230" s="7"/>
      <c r="L2230" s="7"/>
      <c r="M2230" s="7"/>
      <c r="N2230" s="7">
        <v>60</v>
      </c>
      <c r="O2230" s="7">
        <v>400</v>
      </c>
      <c r="P2230" s="7">
        <v>450</v>
      </c>
    </row>
    <row r="2231" spans="1:16" s="10" customFormat="1">
      <c r="A2231" s="7">
        <f>IF(B2231="","",SUBTOTAL(103,$B$2:B2231))</f>
        <v>2230</v>
      </c>
      <c r="B2231" s="16" t="s">
        <v>6018</v>
      </c>
      <c r="C2231" s="7"/>
      <c r="D2231" s="9" t="s">
        <v>6034</v>
      </c>
      <c r="E2231" s="7" t="s">
        <v>6023</v>
      </c>
      <c r="F2231" s="7" t="s">
        <v>6033</v>
      </c>
      <c r="G2231" s="7" t="str">
        <f t="shared" si="8"/>
        <v>KI KV-020-W3 阀盖毛坯 (NACE)NPS3/4 3600WOG ASTM A216-WCB</v>
      </c>
      <c r="H2231" s="7"/>
      <c r="I2231" s="7">
        <v>10</v>
      </c>
      <c r="J2231" s="7"/>
      <c r="K2231" s="7"/>
      <c r="L2231" s="7"/>
      <c r="M2231" s="7"/>
      <c r="N2231" s="7">
        <v>60</v>
      </c>
      <c r="O2231" s="7">
        <v>210</v>
      </c>
      <c r="P2231" s="7">
        <v>250</v>
      </c>
    </row>
    <row r="2232" spans="1:16" s="10" customFormat="1">
      <c r="A2232" s="7">
        <f>IF(B2232="","",SUBTOTAL(103,$B$2:B2232))</f>
        <v>2231</v>
      </c>
      <c r="B2232" s="16" t="s">
        <v>6018</v>
      </c>
      <c r="C2232" s="7"/>
      <c r="D2232" s="9" t="s">
        <v>6035</v>
      </c>
      <c r="E2232" s="7" t="s">
        <v>6020</v>
      </c>
      <c r="F2232" s="7" t="s">
        <v>6036</v>
      </c>
      <c r="G2232" s="7" t="str">
        <f t="shared" si="8"/>
        <v>Warren KV-020-W3 阀体毛坯 (NACE)NPS11/2 3600WOG ASTM A216-WCB</v>
      </c>
      <c r="H2232" s="7"/>
      <c r="I2232" s="7">
        <v>2</v>
      </c>
      <c r="J2232" s="7"/>
      <c r="K2232" s="7"/>
      <c r="L2232" s="7"/>
      <c r="M2232" s="7"/>
      <c r="N2232" s="7">
        <v>120</v>
      </c>
      <c r="O2232" s="7">
        <v>1200</v>
      </c>
      <c r="P2232" s="7">
        <v>1400</v>
      </c>
    </row>
    <row r="2233" spans="1:16" s="10" customFormat="1">
      <c r="A2233" s="7">
        <f>IF(B2233="","",SUBTOTAL(103,$B$2:B2233))</f>
        <v>2232</v>
      </c>
      <c r="B2233" s="16" t="s">
        <v>6018</v>
      </c>
      <c r="C2233" s="7"/>
      <c r="D2233" s="9" t="s">
        <v>6037</v>
      </c>
      <c r="E2233" s="7" t="s">
        <v>6023</v>
      </c>
      <c r="F2233" s="7" t="s">
        <v>6036</v>
      </c>
      <c r="G2233" s="7" t="str">
        <f t="shared" si="8"/>
        <v>KI KV-020-W3 阀盖毛坯 (NACE)NPS11/2 3600WOG ASTM A216-WCB</v>
      </c>
      <c r="H2233" s="7"/>
      <c r="I2233" s="7">
        <v>4</v>
      </c>
      <c r="J2233" s="7"/>
      <c r="K2233" s="7"/>
      <c r="L2233" s="7"/>
      <c r="M2233" s="7"/>
      <c r="N2233" s="7">
        <v>60</v>
      </c>
      <c r="O2233" s="7">
        <v>500</v>
      </c>
      <c r="P2233" s="7">
        <v>600</v>
      </c>
    </row>
    <row r="2234" spans="1:16" s="10" customFormat="1">
      <c r="A2234" s="7">
        <f>IF(B2234="","",SUBTOTAL(103,$B$2:B2234))</f>
        <v>2233</v>
      </c>
      <c r="B2234" s="16" t="s">
        <v>6018</v>
      </c>
      <c r="C2234" s="7"/>
      <c r="D2234" s="9" t="s">
        <v>6038</v>
      </c>
      <c r="E2234" s="7" t="s">
        <v>6020</v>
      </c>
      <c r="F2234" s="7" t="s">
        <v>6039</v>
      </c>
      <c r="G2234" s="7" t="str">
        <f t="shared" si="8"/>
        <v>Warren KV-020-W3 阀体毛坯 (NACE)NPS1 3600WOG ASTM A216-WCB</v>
      </c>
      <c r="H2234" s="7"/>
      <c r="I2234" s="7">
        <v>5</v>
      </c>
      <c r="J2234" s="7"/>
      <c r="K2234" s="7"/>
      <c r="L2234" s="7"/>
      <c r="M2234" s="7"/>
      <c r="N2234" s="7">
        <v>60</v>
      </c>
      <c r="O2234" s="7">
        <v>400</v>
      </c>
      <c r="P2234" s="7">
        <v>450</v>
      </c>
    </row>
    <row r="2235" spans="1:16" s="10" customFormat="1">
      <c r="A2235" s="7">
        <f>IF(B2235="","",SUBTOTAL(103,$B$2:B2235))</f>
        <v>2234</v>
      </c>
      <c r="B2235" s="16" t="s">
        <v>6018</v>
      </c>
      <c r="C2235" s="7"/>
      <c r="D2235" s="9" t="s">
        <v>6040</v>
      </c>
      <c r="E2235" s="7" t="s">
        <v>6023</v>
      </c>
      <c r="F2235" s="7" t="s">
        <v>6039</v>
      </c>
      <c r="G2235" s="7" t="str">
        <f t="shared" si="8"/>
        <v>KI KV-020-W3 阀盖毛坯 (NACE)NPS1 3600WOG ASTM A216-WCB</v>
      </c>
      <c r="H2235" s="7"/>
      <c r="I2235" s="7">
        <v>6</v>
      </c>
      <c r="J2235" s="7"/>
      <c r="K2235" s="7"/>
      <c r="L2235" s="7"/>
      <c r="M2235" s="7"/>
      <c r="N2235" s="7">
        <v>60</v>
      </c>
      <c r="O2235" s="7">
        <v>350</v>
      </c>
      <c r="P2235" s="7">
        <v>400</v>
      </c>
    </row>
    <row r="2236" spans="1:16" s="10" customFormat="1">
      <c r="A2236" s="7">
        <f>IF(B2236="","",SUBTOTAL(103,$B$2:B2236))</f>
        <v>2235</v>
      </c>
      <c r="B2236" s="16" t="s">
        <v>6018</v>
      </c>
      <c r="C2236" s="7"/>
      <c r="D2236" s="9" t="s">
        <v>6041</v>
      </c>
      <c r="E2236" s="7" t="s">
        <v>6042</v>
      </c>
      <c r="F2236" s="7" t="s">
        <v>6043</v>
      </c>
      <c r="G2236" s="7" t="str">
        <f t="shared" si="8"/>
        <v>Warren KV-020-W3R 阀体毛坯 (NACE)NPS2 3600WOG ASTM A216-WCB</v>
      </c>
      <c r="H2236" s="7"/>
      <c r="I2236" s="7">
        <v>2</v>
      </c>
      <c r="J2236" s="7"/>
      <c r="K2236" s="7"/>
      <c r="L2236" s="7"/>
      <c r="M2236" s="7"/>
      <c r="N2236" s="7">
        <v>120</v>
      </c>
      <c r="O2236" s="7">
        <v>1200</v>
      </c>
      <c r="P2236" s="7">
        <v>1400</v>
      </c>
    </row>
    <row r="2237" spans="1:16" s="10" customFormat="1">
      <c r="A2237" s="7">
        <f>IF(B2237="","",SUBTOTAL(103,$B$2:B2237))</f>
        <v>2236</v>
      </c>
      <c r="B2237" s="16" t="s">
        <v>6018</v>
      </c>
      <c r="C2237" s="7"/>
      <c r="D2237" s="9" t="s">
        <v>6044</v>
      </c>
      <c r="E2237" s="7" t="s">
        <v>6045</v>
      </c>
      <c r="F2237" s="7" t="s">
        <v>6043</v>
      </c>
      <c r="G2237" s="7" t="str">
        <f t="shared" si="8"/>
        <v>KI KV-020-W3R 阀盖毛坯 (NACE)NPS2 3600WOG ASTM A216-WCB</v>
      </c>
      <c r="H2237" s="7"/>
      <c r="I2237" s="7">
        <v>3</v>
      </c>
      <c r="J2237" s="7"/>
      <c r="K2237" s="7"/>
      <c r="L2237" s="7"/>
      <c r="M2237" s="7"/>
      <c r="N2237" s="7">
        <v>60</v>
      </c>
      <c r="O2237" s="7">
        <v>700</v>
      </c>
      <c r="P2237" s="7">
        <v>800</v>
      </c>
    </row>
    <row r="2238" spans="1:16" s="10" customFormat="1">
      <c r="A2238" s="7">
        <f>IF(B2238="","",SUBTOTAL(103,$B$2:B2238))</f>
        <v>2237</v>
      </c>
      <c r="B2238" s="16" t="s">
        <v>6018</v>
      </c>
      <c r="C2238" s="7"/>
      <c r="D2238" s="9" t="s">
        <v>6046</v>
      </c>
      <c r="E2238" s="7" t="s">
        <v>6047</v>
      </c>
      <c r="F2238" s="7" t="s">
        <v>6048</v>
      </c>
      <c r="G2238" s="7" t="str">
        <f t="shared" si="8"/>
        <v>Warren KV-020-W3 阀体毛坯 (成份按CF3M管控,NACE)NPS1/4 3600WOG ASTM A351-CF8M</v>
      </c>
      <c r="H2238" s="7"/>
      <c r="I2238" s="7">
        <v>6</v>
      </c>
      <c r="J2238" s="7"/>
      <c r="K2238" s="7"/>
      <c r="L2238" s="7"/>
      <c r="M2238" s="7"/>
      <c r="N2238" s="7">
        <v>60</v>
      </c>
      <c r="O2238" s="7">
        <v>350</v>
      </c>
      <c r="P2238" s="7">
        <v>400</v>
      </c>
    </row>
    <row r="2239" spans="1:16" s="10" customFormat="1">
      <c r="A2239" s="7">
        <f>IF(B2239="","",SUBTOTAL(103,$B$2:B2239))</f>
        <v>2238</v>
      </c>
      <c r="B2239" s="16" t="s">
        <v>6018</v>
      </c>
      <c r="C2239" s="7"/>
      <c r="D2239" s="9" t="s">
        <v>6049</v>
      </c>
      <c r="E2239" s="7" t="s">
        <v>6050</v>
      </c>
      <c r="F2239" s="7" t="s">
        <v>6048</v>
      </c>
      <c r="G2239" s="7" t="str">
        <f t="shared" si="8"/>
        <v>KI KV-020-W3 阀盖毛坯 (成份按CF3M管控,NACE)NPS1/4 3600WOG ASTM A351-CF8M</v>
      </c>
      <c r="H2239" s="7"/>
      <c r="I2239" s="7">
        <v>12</v>
      </c>
      <c r="J2239" s="7"/>
      <c r="K2239" s="7"/>
      <c r="L2239" s="7"/>
      <c r="M2239" s="7"/>
      <c r="N2239" s="7">
        <v>60</v>
      </c>
      <c r="O2239" s="7">
        <v>200</v>
      </c>
      <c r="P2239" s="7">
        <v>220</v>
      </c>
    </row>
    <row r="2240" spans="1:16" s="10" customFormat="1">
      <c r="A2240" s="7">
        <f>IF(B2240="","",SUBTOTAL(103,$B$2:B2240))</f>
        <v>2239</v>
      </c>
      <c r="B2240" s="16" t="s">
        <v>6018</v>
      </c>
      <c r="C2240" s="7"/>
      <c r="D2240" s="9" t="s">
        <v>6051</v>
      </c>
      <c r="E2240" s="7" t="s">
        <v>6052</v>
      </c>
      <c r="F2240" s="7" t="s">
        <v>6053</v>
      </c>
      <c r="G2240" s="7" t="str">
        <f t="shared" si="8"/>
        <v>Warren KV-020-W3R 阀体毛坯 (成份按CF3M管控,NACE)NPS3/8 3600WOG ASTM A351-CF8M</v>
      </c>
      <c r="H2240" s="7"/>
      <c r="I2240" s="7">
        <v>6</v>
      </c>
      <c r="J2240" s="7"/>
      <c r="K2240" s="7"/>
      <c r="L2240" s="7"/>
      <c r="M2240" s="7"/>
      <c r="N2240" s="7">
        <v>60</v>
      </c>
      <c r="O2240" s="7">
        <v>350</v>
      </c>
      <c r="P2240" s="7">
        <v>400</v>
      </c>
    </row>
    <row r="2241" spans="1:16" s="10" customFormat="1">
      <c r="A2241" s="7">
        <f>IF(B2241="","",SUBTOTAL(103,$B$2:B2241))</f>
        <v>2240</v>
      </c>
      <c r="B2241" s="16" t="s">
        <v>6018</v>
      </c>
      <c r="C2241" s="7"/>
      <c r="D2241" s="9" t="s">
        <v>6054</v>
      </c>
      <c r="E2241" s="7" t="s">
        <v>6055</v>
      </c>
      <c r="F2241" s="7" t="s">
        <v>6053</v>
      </c>
      <c r="G2241" s="7" t="str">
        <f t="shared" si="8"/>
        <v>KI KV-020-W3R 阀盖毛坯 (成份按CF3M管控,NACE)NPS3/8 3600WOG ASTM A351-CF8M</v>
      </c>
      <c r="H2241" s="7"/>
      <c r="I2241" s="7">
        <v>12</v>
      </c>
      <c r="J2241" s="7"/>
      <c r="K2241" s="7"/>
      <c r="L2241" s="7"/>
      <c r="M2241" s="7"/>
      <c r="N2241" s="7">
        <v>60</v>
      </c>
      <c r="O2241" s="7">
        <v>200</v>
      </c>
      <c r="P2241" s="7">
        <v>220</v>
      </c>
    </row>
    <row r="2242" spans="1:16" s="10" customFormat="1">
      <c r="A2242" s="7">
        <f>IF(B2242="","",SUBTOTAL(103,$B$2:B2242))</f>
        <v>2241</v>
      </c>
      <c r="B2242" s="16" t="s">
        <v>6018</v>
      </c>
      <c r="C2242" s="7"/>
      <c r="D2242" s="9" t="s">
        <v>6056</v>
      </c>
      <c r="E2242" s="7" t="s">
        <v>6047</v>
      </c>
      <c r="F2242" s="7" t="s">
        <v>6057</v>
      </c>
      <c r="G2242" s="7" t="str">
        <f t="shared" si="8"/>
        <v>Warren KV-020-W3 阀体毛坯 (成份按CF3M管控,NACE)NPS1/2 3600WOG ASTM A351-CF8M</v>
      </c>
      <c r="H2242" s="7"/>
      <c r="I2242" s="7">
        <v>6</v>
      </c>
      <c r="J2242" s="7"/>
      <c r="K2242" s="7"/>
      <c r="L2242" s="7"/>
      <c r="M2242" s="7"/>
      <c r="N2242" s="7">
        <v>60</v>
      </c>
      <c r="O2242" s="7">
        <v>350</v>
      </c>
      <c r="P2242" s="7">
        <v>400</v>
      </c>
    </row>
    <row r="2243" spans="1:16" s="10" customFormat="1">
      <c r="A2243" s="7">
        <f>IF(B2243="","",SUBTOTAL(103,$B$2:B2243))</f>
        <v>2242</v>
      </c>
      <c r="B2243" s="16" t="s">
        <v>6018</v>
      </c>
      <c r="C2243" s="7"/>
      <c r="D2243" s="9" t="s">
        <v>6058</v>
      </c>
      <c r="E2243" s="7" t="s">
        <v>6050</v>
      </c>
      <c r="F2243" s="7" t="s">
        <v>6057</v>
      </c>
      <c r="G2243" s="7" t="str">
        <f>E2243&amp;F2243</f>
        <v>KI KV-020-W3 阀盖毛坯 (成份按CF3M管控,NACE)NPS1/2 3600WOG ASTM A351-CF8M</v>
      </c>
      <c r="H2243" s="7"/>
      <c r="I2243" s="7">
        <v>12</v>
      </c>
      <c r="J2243" s="7"/>
      <c r="K2243" s="7"/>
      <c r="L2243" s="7"/>
      <c r="M2243" s="7"/>
      <c r="N2243" s="7">
        <v>60</v>
      </c>
      <c r="O2243" s="7">
        <v>200</v>
      </c>
      <c r="P2243" s="7">
        <v>220</v>
      </c>
    </row>
    <row r="2244" spans="1:16" s="10" customFormat="1">
      <c r="A2244" s="7">
        <f>IF(B2244="","",SUBTOTAL(103,$B$2:B2244))</f>
        <v>2243</v>
      </c>
      <c r="B2244" s="16" t="s">
        <v>6018</v>
      </c>
      <c r="C2244" s="7"/>
      <c r="D2244" s="9" t="s">
        <v>6059</v>
      </c>
      <c r="E2244" s="7" t="s">
        <v>6060</v>
      </c>
      <c r="F2244" s="7" t="s">
        <v>6057</v>
      </c>
      <c r="G2244" s="7" t="str">
        <f>E2244&amp;F2244</f>
        <v>KI KV-022-W3 阀盖毛坯 (成份按CF3M管控,NACE)NPS1/2 3600WOG ASTM A351-CF8M</v>
      </c>
      <c r="H2244" s="7"/>
      <c r="I2244" s="7">
        <v>12</v>
      </c>
      <c r="J2244" s="7"/>
      <c r="K2244" s="7"/>
      <c r="L2244" s="7"/>
      <c r="M2244" s="7"/>
      <c r="N2244" s="7">
        <v>60</v>
      </c>
      <c r="O2244" s="7">
        <v>200</v>
      </c>
      <c r="P2244" s="7">
        <v>220</v>
      </c>
    </row>
    <row r="2245" spans="1:16" s="10" customFormat="1">
      <c r="A2245" s="7">
        <f>IF(B2245="","",SUBTOTAL(103,$B$2:B2245))</f>
        <v>2244</v>
      </c>
      <c r="B2245" s="16" t="s">
        <v>6018</v>
      </c>
      <c r="C2245" s="7"/>
      <c r="D2245" s="9" t="s">
        <v>6061</v>
      </c>
      <c r="E2245" s="7" t="s">
        <v>6047</v>
      </c>
      <c r="F2245" s="7" t="s">
        <v>6062</v>
      </c>
      <c r="G2245" s="7" t="str">
        <f t="shared" si="8"/>
        <v>Warren KV-020-W3 阀体毛坯 (成份按CF3M管控,NACE)NPS3/4 3600WOG ASTM A351-CF8M</v>
      </c>
      <c r="H2245" s="7"/>
      <c r="I2245" s="7">
        <v>5</v>
      </c>
      <c r="J2245" s="7"/>
      <c r="K2245" s="7"/>
      <c r="L2245" s="7"/>
      <c r="M2245" s="7"/>
      <c r="N2245" s="7">
        <v>60</v>
      </c>
      <c r="O2245" s="7">
        <v>400</v>
      </c>
      <c r="P2245" s="7">
        <v>450</v>
      </c>
    </row>
    <row r="2246" spans="1:16" s="10" customFormat="1">
      <c r="A2246" s="7">
        <f>IF(B2246="","",SUBTOTAL(103,$B$2:B2246))</f>
        <v>2245</v>
      </c>
      <c r="B2246" s="16" t="s">
        <v>6018</v>
      </c>
      <c r="C2246" s="7"/>
      <c r="D2246" s="9" t="s">
        <v>6063</v>
      </c>
      <c r="E2246" s="7" t="s">
        <v>6050</v>
      </c>
      <c r="F2246" s="7" t="s">
        <v>6062</v>
      </c>
      <c r="G2246" s="7" t="str">
        <f t="shared" si="8"/>
        <v>KI KV-020-W3 阀盖毛坯 (成份按CF3M管控,NACE)NPS3/4 3600WOG ASTM A351-CF8M</v>
      </c>
      <c r="H2246" s="7"/>
      <c r="I2246" s="7">
        <v>10</v>
      </c>
      <c r="J2246" s="7"/>
      <c r="K2246" s="7"/>
      <c r="L2246" s="7"/>
      <c r="M2246" s="7"/>
      <c r="N2246" s="7">
        <v>60</v>
      </c>
      <c r="O2246" s="7">
        <v>210</v>
      </c>
      <c r="P2246" s="7">
        <v>250</v>
      </c>
    </row>
    <row r="2247" spans="1:16" s="10" customFormat="1">
      <c r="A2247" s="7">
        <f>IF(B2247="","",SUBTOTAL(103,$B$2:B2247))</f>
        <v>2246</v>
      </c>
      <c r="B2247" s="16" t="s">
        <v>6018</v>
      </c>
      <c r="C2247" s="7"/>
      <c r="D2247" s="9" t="s">
        <v>6064</v>
      </c>
      <c r="E2247" s="7" t="s">
        <v>6047</v>
      </c>
      <c r="F2247" s="7" t="s">
        <v>6065</v>
      </c>
      <c r="G2247" s="7" t="str">
        <f t="shared" si="8"/>
        <v>Warren KV-020-W3 阀体毛坯 (成份按CF3M管控,NACE)NPS11/2 3600WOG ASTM A351-CF8M</v>
      </c>
      <c r="H2247" s="7"/>
      <c r="I2247" s="7">
        <v>2</v>
      </c>
      <c r="J2247" s="7"/>
      <c r="K2247" s="7"/>
      <c r="L2247" s="7"/>
      <c r="M2247" s="7"/>
      <c r="N2247" s="7">
        <v>120</v>
      </c>
      <c r="O2247" s="7">
        <v>1200</v>
      </c>
      <c r="P2247" s="7">
        <v>1400</v>
      </c>
    </row>
    <row r="2248" spans="1:16" s="10" customFormat="1">
      <c r="A2248" s="7">
        <f>IF(B2248="","",SUBTOTAL(103,$B$2:B2248))</f>
        <v>2247</v>
      </c>
      <c r="B2248" s="16" t="s">
        <v>6018</v>
      </c>
      <c r="C2248" s="7"/>
      <c r="D2248" s="9" t="s">
        <v>6066</v>
      </c>
      <c r="E2248" s="7" t="s">
        <v>6050</v>
      </c>
      <c r="F2248" s="7" t="s">
        <v>6065</v>
      </c>
      <c r="G2248" s="7" t="str">
        <f t="shared" si="8"/>
        <v>KI KV-020-W3 阀盖毛坯 (成份按CF3M管控,NACE)NPS11/2 3600WOG ASTM A351-CF8M</v>
      </c>
      <c r="H2248" s="7"/>
      <c r="I2248" s="7">
        <v>4</v>
      </c>
      <c r="J2248" s="7"/>
      <c r="K2248" s="7"/>
      <c r="L2248" s="7"/>
      <c r="M2248" s="7"/>
      <c r="N2248" s="7">
        <v>60</v>
      </c>
      <c r="O2248" s="7">
        <v>500</v>
      </c>
      <c r="P2248" s="7">
        <v>600</v>
      </c>
    </row>
    <row r="2249" spans="1:16" s="10" customFormat="1">
      <c r="A2249" s="7">
        <f>IF(B2249="","",SUBTOTAL(103,$B$2:B2249))</f>
        <v>2248</v>
      </c>
      <c r="B2249" s="16" t="s">
        <v>6018</v>
      </c>
      <c r="C2249" s="7"/>
      <c r="D2249" s="9" t="s">
        <v>6067</v>
      </c>
      <c r="E2249" s="7" t="s">
        <v>6047</v>
      </c>
      <c r="F2249" s="7" t="s">
        <v>6068</v>
      </c>
      <c r="G2249" s="7" t="str">
        <f>E2249&amp;F2249</f>
        <v>Warren KV-020-W3 阀体毛坯 (成份按CF3M管控,NACE)NPS1 3600WOG ASTM A351-CF8M</v>
      </c>
      <c r="H2249" s="7"/>
      <c r="I2249" s="7">
        <v>4</v>
      </c>
      <c r="J2249" s="7"/>
      <c r="K2249" s="7"/>
      <c r="L2249" s="7"/>
      <c r="M2249" s="7"/>
      <c r="N2249" s="7">
        <v>60</v>
      </c>
      <c r="O2249" s="7">
        <v>500</v>
      </c>
      <c r="P2249" s="7">
        <v>600</v>
      </c>
    </row>
    <row r="2250" spans="1:16" s="10" customFormat="1">
      <c r="A2250" s="7">
        <f>IF(B2250="","",SUBTOTAL(103,$B$2:B2250))</f>
        <v>2249</v>
      </c>
      <c r="B2250" s="16" t="s">
        <v>6018</v>
      </c>
      <c r="C2250" s="7"/>
      <c r="D2250" s="9" t="s">
        <v>6069</v>
      </c>
      <c r="E2250" s="7" t="s">
        <v>6070</v>
      </c>
      <c r="F2250" s="7" t="s">
        <v>6039</v>
      </c>
      <c r="G2250" s="7" t="str">
        <f>E2250&amp;F2250</f>
        <v>Warren KV-022-W3 阀体毛坯 (NACE)NPS1 3600WOG ASTM A216-WCB</v>
      </c>
      <c r="H2250" s="7"/>
      <c r="I2250" s="7">
        <v>4</v>
      </c>
      <c r="J2250" s="7"/>
      <c r="K2250" s="7"/>
      <c r="L2250" s="7"/>
      <c r="M2250" s="7"/>
      <c r="N2250" s="7">
        <v>60</v>
      </c>
      <c r="O2250" s="7">
        <v>500</v>
      </c>
      <c r="P2250" s="7">
        <v>600</v>
      </c>
    </row>
    <row r="2251" spans="1:16" s="10" customFormat="1">
      <c r="A2251" s="7">
        <f>IF(B2251="","",SUBTOTAL(103,$B$2:B2251))</f>
        <v>2250</v>
      </c>
      <c r="B2251" s="16" t="s">
        <v>6018</v>
      </c>
      <c r="C2251" s="7"/>
      <c r="D2251" s="9" t="s">
        <v>6071</v>
      </c>
      <c r="E2251" s="7" t="s">
        <v>6050</v>
      </c>
      <c r="F2251" s="7" t="s">
        <v>6068</v>
      </c>
      <c r="G2251" s="7" t="str">
        <f t="shared" si="8"/>
        <v>KI KV-020-W3 阀盖毛坯 (成份按CF3M管控,NACE)NPS1 3600WOG ASTM A351-CF8M</v>
      </c>
      <c r="H2251" s="7"/>
      <c r="I2251" s="7">
        <v>6</v>
      </c>
      <c r="J2251" s="7"/>
      <c r="K2251" s="7"/>
      <c r="L2251" s="7"/>
      <c r="M2251" s="7"/>
      <c r="N2251" s="7">
        <v>60</v>
      </c>
      <c r="O2251" s="7">
        <v>350</v>
      </c>
      <c r="P2251" s="7">
        <v>400</v>
      </c>
    </row>
    <row r="2252" spans="1:16" s="10" customFormat="1">
      <c r="A2252" s="7">
        <f>IF(B2252="","",SUBTOTAL(103,$B$2:B2252))</f>
        <v>2251</v>
      </c>
      <c r="B2252" s="16" t="s">
        <v>6018</v>
      </c>
      <c r="C2252" s="7"/>
      <c r="D2252" s="9" t="s">
        <v>6072</v>
      </c>
      <c r="E2252" s="7" t="s">
        <v>6073</v>
      </c>
      <c r="F2252" s="7" t="s">
        <v>6068</v>
      </c>
      <c r="G2252" s="7" t="str">
        <f t="shared" si="8"/>
        <v>Warren KV-020-W3R 阀体毛坯 (借用KV-020-W3 3/4换字块,成份按CF3M管控,NACE)NPS1 3600WOG ASTM A351-CF8M</v>
      </c>
      <c r="H2252" s="7"/>
      <c r="I2252" s="7">
        <v>4</v>
      </c>
      <c r="J2252" s="7"/>
      <c r="K2252" s="7"/>
      <c r="L2252" s="7"/>
      <c r="M2252" s="7"/>
      <c r="N2252" s="7">
        <v>60</v>
      </c>
      <c r="O2252" s="7">
        <v>500</v>
      </c>
      <c r="P2252" s="7">
        <v>600</v>
      </c>
    </row>
    <row r="2253" spans="1:16" s="10" customFormat="1">
      <c r="A2253" s="7">
        <f>IF(B2253="","",SUBTOTAL(103,$B$2:B2253))</f>
        <v>2252</v>
      </c>
      <c r="B2253" s="16" t="s">
        <v>6018</v>
      </c>
      <c r="C2253" s="7"/>
      <c r="D2253" s="9" t="s">
        <v>6074</v>
      </c>
      <c r="E2253" s="7" t="s">
        <v>6075</v>
      </c>
      <c r="F2253" s="7" t="s">
        <v>6068</v>
      </c>
      <c r="G2253" s="7" t="str">
        <f t="shared" si="8"/>
        <v>KI KV-020-W3R 阀盖毛坯 (借用KV-020-W3 3/4换字块,成份按CF3M管控,NACE)NPS1 3600WOG ASTM A351-CF8M</v>
      </c>
      <c r="H2253" s="7"/>
      <c r="I2253" s="7">
        <v>6</v>
      </c>
      <c r="J2253" s="7"/>
      <c r="K2253" s="7"/>
      <c r="L2253" s="7"/>
      <c r="M2253" s="7"/>
      <c r="N2253" s="7">
        <v>60</v>
      </c>
      <c r="O2253" s="7">
        <v>350</v>
      </c>
      <c r="P2253" s="7">
        <v>400</v>
      </c>
    </row>
    <row r="2254" spans="1:16" s="10" customFormat="1">
      <c r="A2254" s="7">
        <f>IF(B2254="","",SUBTOTAL(103,$B$2:B2254))</f>
        <v>2253</v>
      </c>
      <c r="B2254" s="16" t="s">
        <v>6018</v>
      </c>
      <c r="C2254" s="7"/>
      <c r="D2254" s="9" t="s">
        <v>6076</v>
      </c>
      <c r="E2254" s="7" t="s">
        <v>6052</v>
      </c>
      <c r="F2254" s="7" t="s">
        <v>6077</v>
      </c>
      <c r="G2254" s="7" t="str">
        <f t="shared" si="8"/>
        <v>Warren KV-020-W3R 阀体毛坯 (成份按CF3M管控,NACE)NPS2 3600WOG ASTM A351-CF8M</v>
      </c>
      <c r="H2254" s="7"/>
      <c r="I2254" s="7">
        <v>2</v>
      </c>
      <c r="J2254" s="7"/>
      <c r="K2254" s="7"/>
      <c r="L2254" s="7"/>
      <c r="M2254" s="7"/>
      <c r="N2254" s="7">
        <v>120</v>
      </c>
      <c r="O2254" s="7">
        <v>1200</v>
      </c>
      <c r="P2254" s="7">
        <v>1400</v>
      </c>
    </row>
    <row r="2255" spans="1:16" s="10" customFormat="1">
      <c r="A2255" s="7">
        <f>IF(B2255="","",SUBTOTAL(103,$B$2:B2255))</f>
        <v>2254</v>
      </c>
      <c r="B2255" s="16" t="s">
        <v>6018</v>
      </c>
      <c r="C2255" s="7"/>
      <c r="D2255" s="9" t="s">
        <v>6078</v>
      </c>
      <c r="E2255" s="7" t="s">
        <v>6055</v>
      </c>
      <c r="F2255" s="7" t="s">
        <v>6077</v>
      </c>
      <c r="G2255" s="7" t="str">
        <f t="shared" si="8"/>
        <v>KI KV-020-W3R 阀盖毛坯 (成份按CF3M管控,NACE)NPS2 3600WOG ASTM A351-CF8M</v>
      </c>
      <c r="H2255" s="7"/>
      <c r="I2255" s="7">
        <v>3</v>
      </c>
      <c r="J2255" s="7"/>
      <c r="K2255" s="7"/>
      <c r="L2255" s="7"/>
      <c r="M2255" s="7"/>
      <c r="N2255" s="7">
        <v>60</v>
      </c>
      <c r="O2255" s="7">
        <v>700</v>
      </c>
      <c r="P2255" s="7">
        <v>800</v>
      </c>
    </row>
    <row r="2256" spans="1:16" s="10" customFormat="1">
      <c r="A2256" s="7">
        <f>IF(B2256="","",SUBTOTAL(103,$B$2:B2256))</f>
        <v>2255</v>
      </c>
      <c r="B2256" s="16" t="s">
        <v>6018</v>
      </c>
      <c r="C2256" s="7"/>
      <c r="D2256" s="9" t="s">
        <v>6079</v>
      </c>
      <c r="E2256" s="7" t="s">
        <v>6080</v>
      </c>
      <c r="F2256" s="7" t="s">
        <v>606</v>
      </c>
      <c r="G2256" s="7" t="str">
        <f t="shared" si="8"/>
        <v>KI KV-080-35 阀体毛坯 (NACE)NPS1/2 2000WOG ASTM A216-WCB</v>
      </c>
      <c r="H2256" s="7"/>
      <c r="I2256" s="7">
        <v>10</v>
      </c>
      <c r="J2256" s="7"/>
      <c r="K2256" s="7"/>
      <c r="L2256" s="7"/>
      <c r="M2256" s="7"/>
      <c r="N2256" s="7">
        <v>60</v>
      </c>
      <c r="O2256" s="7">
        <v>210</v>
      </c>
      <c r="P2256" s="7">
        <v>250</v>
      </c>
    </row>
    <row r="2257" spans="1:16" s="10" customFormat="1">
      <c r="A2257" s="7">
        <f>IF(B2257="","",SUBTOTAL(103,$B$2:B2257))</f>
        <v>2256</v>
      </c>
      <c r="B2257" s="16" t="s">
        <v>6018</v>
      </c>
      <c r="C2257" s="7"/>
      <c r="D2257" s="9" t="s">
        <v>6081</v>
      </c>
      <c r="E2257" s="7" t="s">
        <v>6082</v>
      </c>
      <c r="F2257" s="7" t="s">
        <v>606</v>
      </c>
      <c r="G2257" s="7" t="str">
        <f t="shared" si="8"/>
        <v>KI KV-080-35 阀盖毛坯 (NACE)NPS1/2 2000WOG ASTM A216-WCB</v>
      </c>
      <c r="H2257" s="7"/>
      <c r="I2257" s="7">
        <v>28</v>
      </c>
      <c r="J2257" s="7"/>
      <c r="K2257" s="7"/>
      <c r="L2257" s="7"/>
      <c r="M2257" s="7"/>
      <c r="N2257" s="7">
        <v>60</v>
      </c>
      <c r="O2257" s="7">
        <v>90</v>
      </c>
      <c r="P2257" s="7">
        <v>110</v>
      </c>
    </row>
    <row r="2258" spans="1:16" s="10" customFormat="1">
      <c r="A2258" s="7">
        <f>IF(B2258="","",SUBTOTAL(103,$B$2:B2258))</f>
        <v>2257</v>
      </c>
      <c r="B2258" s="16" t="s">
        <v>6018</v>
      </c>
      <c r="C2258" s="7"/>
      <c r="D2258" s="9" t="s">
        <v>6083</v>
      </c>
      <c r="E2258" s="7" t="s">
        <v>6084</v>
      </c>
      <c r="F2258" s="7" t="s">
        <v>6085</v>
      </c>
      <c r="G2258" s="7" t="str">
        <f t="shared" si="8"/>
        <v>KI KV-080-35 阀体毛坯 (成份按CF3M管控,NACE)NPS1/2 2000WOG ASTM A351-CF8M</v>
      </c>
      <c r="H2258" s="7"/>
      <c r="I2258" s="7">
        <v>10</v>
      </c>
      <c r="J2258" s="7"/>
      <c r="K2258" s="7"/>
      <c r="L2258" s="7"/>
      <c r="M2258" s="7"/>
      <c r="N2258" s="7">
        <v>60</v>
      </c>
      <c r="O2258" s="7">
        <v>210</v>
      </c>
      <c r="P2258" s="7">
        <v>250</v>
      </c>
    </row>
    <row r="2259" spans="1:16" s="10" customFormat="1">
      <c r="A2259" s="7">
        <f>IF(B2259="","",SUBTOTAL(103,$B$2:B2259))</f>
        <v>2258</v>
      </c>
      <c r="B2259" s="16" t="s">
        <v>6018</v>
      </c>
      <c r="C2259" s="7"/>
      <c r="D2259" s="9" t="s">
        <v>6086</v>
      </c>
      <c r="E2259" s="7" t="s">
        <v>6087</v>
      </c>
      <c r="F2259" s="7" t="s">
        <v>6085</v>
      </c>
      <c r="G2259" s="7" t="str">
        <f t="shared" si="8"/>
        <v>KI KV-080-35 阀盖毛坯 (成份按CF3M管控,NACE)NPS1/2 2000WOG ASTM A351-CF8M</v>
      </c>
      <c r="H2259" s="7"/>
      <c r="I2259" s="7">
        <v>28</v>
      </c>
      <c r="J2259" s="7"/>
      <c r="K2259" s="7"/>
      <c r="L2259" s="7"/>
      <c r="M2259" s="7"/>
      <c r="N2259" s="7">
        <v>60</v>
      </c>
      <c r="O2259" s="7">
        <v>90</v>
      </c>
      <c r="P2259" s="7">
        <v>110</v>
      </c>
    </row>
    <row r="2260" spans="1:16" s="10" customFormat="1">
      <c r="A2260" s="7">
        <f>IF(B2260="","",SUBTOTAL(103,$B$2:B2260))</f>
        <v>2259</v>
      </c>
      <c r="B2260" s="16" t="s">
        <v>6018</v>
      </c>
      <c r="C2260" s="7"/>
      <c r="D2260" s="9" t="s">
        <v>6088</v>
      </c>
      <c r="E2260" s="7" t="s">
        <v>6080</v>
      </c>
      <c r="F2260" s="7" t="s">
        <v>632</v>
      </c>
      <c r="G2260" s="7" t="str">
        <f t="shared" si="8"/>
        <v>KI KV-080-35 阀体毛坯 (NACE)NPS11/2 1500WOG ASTM A216-WCB</v>
      </c>
      <c r="H2260" s="7"/>
      <c r="I2260" s="7">
        <v>3</v>
      </c>
      <c r="J2260" s="7"/>
      <c r="K2260" s="7"/>
      <c r="L2260" s="7"/>
      <c r="M2260" s="7"/>
      <c r="N2260" s="7">
        <v>60</v>
      </c>
      <c r="O2260" s="7">
        <v>700</v>
      </c>
      <c r="P2260" s="7">
        <v>800</v>
      </c>
    </row>
    <row r="2261" spans="1:16" s="10" customFormat="1">
      <c r="A2261" s="7">
        <f>IF(B2261="","",SUBTOTAL(103,$B$2:B2261))</f>
        <v>2260</v>
      </c>
      <c r="B2261" s="16" t="s">
        <v>6018</v>
      </c>
      <c r="C2261" s="7"/>
      <c r="D2261" s="9" t="s">
        <v>6089</v>
      </c>
      <c r="E2261" s="7" t="s">
        <v>6082</v>
      </c>
      <c r="F2261" s="7" t="s">
        <v>632</v>
      </c>
      <c r="G2261" s="7" t="str">
        <f t="shared" si="8"/>
        <v>KI KV-080-35 阀盖毛坯 (NACE)NPS11/2 1500WOG ASTM A216-WCB</v>
      </c>
      <c r="H2261" s="7"/>
      <c r="I2261" s="7">
        <v>6</v>
      </c>
      <c r="J2261" s="7"/>
      <c r="K2261" s="7"/>
      <c r="L2261" s="7"/>
      <c r="M2261" s="7"/>
      <c r="N2261" s="7">
        <v>60</v>
      </c>
      <c r="O2261" s="7">
        <v>350</v>
      </c>
      <c r="P2261" s="7">
        <v>400</v>
      </c>
    </row>
    <row r="2262" spans="1:16" s="10" customFormat="1">
      <c r="A2262" s="7">
        <f>IF(B2262="","",SUBTOTAL(103,$B$2:B2262))</f>
        <v>2261</v>
      </c>
      <c r="B2262" s="16" t="s">
        <v>6018</v>
      </c>
      <c r="C2262" s="7"/>
      <c r="D2262" s="9" t="s">
        <v>6090</v>
      </c>
      <c r="E2262" s="7" t="s">
        <v>6080</v>
      </c>
      <c r="F2262" s="7" t="s">
        <v>585</v>
      </c>
      <c r="G2262" s="7" t="str">
        <f t="shared" si="8"/>
        <v>KI KV-080-35 阀体毛坯 (NACE)NPS1 2000WOG ASTM A216-WCB</v>
      </c>
      <c r="H2262" s="7"/>
      <c r="I2262" s="7">
        <v>4</v>
      </c>
      <c r="J2262" s="7"/>
      <c r="K2262" s="7"/>
      <c r="L2262" s="7"/>
      <c r="M2262" s="7"/>
      <c r="N2262" s="7">
        <v>60</v>
      </c>
      <c r="O2262" s="7">
        <v>500</v>
      </c>
      <c r="P2262" s="7">
        <v>600</v>
      </c>
    </row>
    <row r="2263" spans="1:16" s="10" customFormat="1">
      <c r="A2263" s="7">
        <f>IF(B2263="","",SUBTOTAL(103,$B$2:B2263))</f>
        <v>2262</v>
      </c>
      <c r="B2263" s="16" t="s">
        <v>6018</v>
      </c>
      <c r="C2263" s="7"/>
      <c r="D2263" s="9" t="s">
        <v>6091</v>
      </c>
      <c r="E2263" s="7" t="s">
        <v>6084</v>
      </c>
      <c r="F2263" s="7" t="s">
        <v>6092</v>
      </c>
      <c r="G2263" s="7" t="str">
        <f t="shared" si="8"/>
        <v>KI KV-080-35 阀体毛坯 (成份按CF3M管控,NACE)NPS1 2000WOG ASTM A351-CF8M</v>
      </c>
      <c r="H2263" s="7"/>
      <c r="I2263" s="7">
        <v>4</v>
      </c>
      <c r="J2263" s="7"/>
      <c r="K2263" s="7"/>
      <c r="L2263" s="7"/>
      <c r="M2263" s="7"/>
      <c r="N2263" s="7">
        <v>60</v>
      </c>
      <c r="O2263" s="7">
        <v>500</v>
      </c>
      <c r="P2263" s="7">
        <v>600</v>
      </c>
    </row>
    <row r="2264" spans="1:16" s="10" customFormat="1">
      <c r="A2264" s="7">
        <f>IF(B2264="","",SUBTOTAL(103,$B$2:B2264))</f>
        <v>2263</v>
      </c>
      <c r="B2264" s="16" t="s">
        <v>6018</v>
      </c>
      <c r="C2264" s="7"/>
      <c r="D2264" s="9" t="s">
        <v>6093</v>
      </c>
      <c r="E2264" s="7" t="s">
        <v>6087</v>
      </c>
      <c r="F2264" s="7" t="s">
        <v>6092</v>
      </c>
      <c r="G2264" s="7" t="str">
        <f t="shared" si="8"/>
        <v>KI KV-080-35 阀盖毛坯 (成份按CF3M管控,NACE)NPS1 2000WOG ASTM A351-CF8M</v>
      </c>
      <c r="H2264" s="7"/>
      <c r="I2264" s="7">
        <v>12</v>
      </c>
      <c r="J2264" s="7"/>
      <c r="K2264" s="7"/>
      <c r="L2264" s="7"/>
      <c r="M2264" s="7"/>
      <c r="N2264" s="7">
        <v>60</v>
      </c>
      <c r="O2264" s="7">
        <v>200</v>
      </c>
      <c r="P2264" s="7">
        <v>220</v>
      </c>
    </row>
    <row r="2265" spans="1:16" s="10" customFormat="1">
      <c r="A2265" s="7">
        <f>IF(B2265="","",SUBTOTAL(103,$B$2:B2265))</f>
        <v>2264</v>
      </c>
      <c r="B2265" s="16" t="s">
        <v>6018</v>
      </c>
      <c r="C2265" s="7"/>
      <c r="D2265" s="9" t="s">
        <v>6094</v>
      </c>
      <c r="E2265" s="7" t="s">
        <v>6095</v>
      </c>
      <c r="F2265" s="7" t="s">
        <v>6030</v>
      </c>
      <c r="G2265" s="7" t="str">
        <f t="shared" si="8"/>
        <v>KI KV-022-W3 阀盖毛坯 (NACE)NPS1/2 3600WOG ASTM A216-WCB</v>
      </c>
      <c r="H2265" s="7"/>
      <c r="I2265" s="7">
        <v>12</v>
      </c>
      <c r="J2265" s="7"/>
      <c r="K2265" s="7"/>
      <c r="L2265" s="7"/>
      <c r="M2265" s="7"/>
      <c r="N2265" s="7">
        <v>60</v>
      </c>
      <c r="O2265" s="7">
        <v>200</v>
      </c>
      <c r="P2265" s="7">
        <v>220</v>
      </c>
    </row>
    <row r="2266" spans="1:16" s="10" customFormat="1">
      <c r="A2266" s="7">
        <f>IF(B2266="","",SUBTOTAL(103,$B$2:B2266))</f>
        <v>2265</v>
      </c>
      <c r="B2266" s="16" t="s">
        <v>6018</v>
      </c>
      <c r="C2266" s="7"/>
      <c r="D2266" s="9" t="s">
        <v>6096</v>
      </c>
      <c r="E2266" s="7" t="s">
        <v>6095</v>
      </c>
      <c r="F2266" s="7" t="s">
        <v>6033</v>
      </c>
      <c r="G2266" s="7" t="str">
        <f t="shared" si="8"/>
        <v>KI KV-022-W3 阀盖毛坯 (NACE)NPS3/4 3600WOG ASTM A216-WCB</v>
      </c>
      <c r="H2266" s="7"/>
      <c r="I2266" s="7">
        <v>10</v>
      </c>
      <c r="J2266" s="7"/>
      <c r="K2266" s="7"/>
      <c r="L2266" s="7"/>
      <c r="M2266" s="7"/>
      <c r="N2266" s="7">
        <v>60</v>
      </c>
      <c r="O2266" s="7">
        <v>210</v>
      </c>
      <c r="P2266" s="7">
        <v>250</v>
      </c>
    </row>
    <row r="2267" spans="1:16" s="10" customFormat="1">
      <c r="A2267" s="7">
        <f>IF(B2267="","",SUBTOTAL(103,$B$2:B2267))</f>
        <v>2266</v>
      </c>
      <c r="B2267" s="16" t="s">
        <v>6018</v>
      </c>
      <c r="C2267" s="7"/>
      <c r="D2267" s="9" t="s">
        <v>6097</v>
      </c>
      <c r="E2267" s="7" t="s">
        <v>6095</v>
      </c>
      <c r="F2267" s="7" t="s">
        <v>6039</v>
      </c>
      <c r="G2267" s="7" t="str">
        <f t="shared" si="8"/>
        <v>KI KV-022-W3 阀盖毛坯 (NACE)NPS1 3600WOG ASTM A216-WCB</v>
      </c>
      <c r="H2267" s="7"/>
      <c r="I2267" s="7">
        <v>6</v>
      </c>
      <c r="J2267" s="7"/>
      <c r="K2267" s="7"/>
      <c r="L2267" s="7"/>
      <c r="M2267" s="7"/>
      <c r="N2267" s="7">
        <v>60</v>
      </c>
      <c r="O2267" s="7">
        <v>350</v>
      </c>
      <c r="P2267" s="7">
        <v>400</v>
      </c>
    </row>
    <row r="2268" spans="1:16" s="10" customFormat="1">
      <c r="A2268" s="7">
        <f>IF(B2268="","",SUBTOTAL(103,$B$2:B2268))</f>
        <v>2267</v>
      </c>
      <c r="B2268" s="16" t="s">
        <v>6018</v>
      </c>
      <c r="C2268" s="7"/>
      <c r="D2268" s="9" t="s">
        <v>6098</v>
      </c>
      <c r="E2268" s="7" t="s">
        <v>6099</v>
      </c>
      <c r="F2268" s="7" t="s">
        <v>6043</v>
      </c>
      <c r="G2268" s="7" t="str">
        <f t="shared" si="8"/>
        <v>Warren KV-022-W3R 阀体毛坯 (NACE)NPS2 3600WOG ASTM A216-WCB</v>
      </c>
      <c r="H2268" s="7"/>
      <c r="I2268" s="7">
        <v>2</v>
      </c>
      <c r="J2268" s="7"/>
      <c r="K2268" s="7"/>
      <c r="L2268" s="7"/>
      <c r="M2268" s="7"/>
      <c r="N2268" s="7">
        <v>120</v>
      </c>
      <c r="O2268" s="7">
        <v>1200</v>
      </c>
      <c r="P2268" s="7">
        <v>1400</v>
      </c>
    </row>
    <row r="2269" spans="1:16" s="10" customFormat="1">
      <c r="A2269" s="7">
        <f>IF(B2269="","",SUBTOTAL(103,$B$2:B2269))</f>
        <v>2268</v>
      </c>
      <c r="B2269" s="16" t="s">
        <v>6018</v>
      </c>
      <c r="C2269" s="7"/>
      <c r="D2269" s="9" t="s">
        <v>6100</v>
      </c>
      <c r="E2269" s="7" t="s">
        <v>6101</v>
      </c>
      <c r="F2269" s="7" t="s">
        <v>6043</v>
      </c>
      <c r="G2269" s="7" t="str">
        <f t="shared" si="8"/>
        <v>KI KV-022-W3R 阀盖毛坯 (NACE)NPS2 3600WOG ASTM A216-WCB</v>
      </c>
      <c r="H2269" s="7"/>
      <c r="I2269" s="7">
        <v>3</v>
      </c>
      <c r="J2269" s="7"/>
      <c r="K2269" s="7"/>
      <c r="L2269" s="7"/>
      <c r="M2269" s="7"/>
      <c r="N2269" s="7">
        <v>60</v>
      </c>
      <c r="O2269" s="7">
        <v>700</v>
      </c>
      <c r="P2269" s="7">
        <v>800</v>
      </c>
    </row>
    <row r="2270" spans="1:16" s="10" customFormat="1">
      <c r="A2270" s="7">
        <f>IF(B2270="","",SUBTOTAL(103,$B$2:B2270))</f>
        <v>2269</v>
      </c>
      <c r="B2270" s="16" t="s">
        <v>6018</v>
      </c>
      <c r="C2270" s="7"/>
      <c r="D2270" s="9" t="s">
        <v>6102</v>
      </c>
      <c r="E2270" s="7" t="s">
        <v>6103</v>
      </c>
      <c r="F2270" s="7" t="s">
        <v>6062</v>
      </c>
      <c r="G2270" s="7" t="str">
        <f t="shared" si="8"/>
        <v>Warren KV-022-W3 阀体毛坯 (成份按CF3M管控,NACE)NPS3/4 3600WOG ASTM A351-CF8M</v>
      </c>
      <c r="H2270" s="7"/>
      <c r="I2270" s="7">
        <v>5</v>
      </c>
      <c r="J2270" s="7"/>
      <c r="K2270" s="7"/>
      <c r="L2270" s="7"/>
      <c r="M2270" s="7"/>
      <c r="N2270" s="7">
        <v>60</v>
      </c>
      <c r="O2270" s="7">
        <v>400</v>
      </c>
      <c r="P2270" s="7">
        <v>450</v>
      </c>
    </row>
    <row r="2271" spans="1:16" s="10" customFormat="1">
      <c r="A2271" s="7">
        <f>IF(B2271="","",SUBTOTAL(103,$B$2:B2271))</f>
        <v>2270</v>
      </c>
      <c r="B2271" s="16" t="s">
        <v>6018</v>
      </c>
      <c r="C2271" s="7"/>
      <c r="D2271" s="9" t="s">
        <v>6104</v>
      </c>
      <c r="E2271" s="7" t="s">
        <v>6060</v>
      </c>
      <c r="F2271" s="7" t="s">
        <v>6062</v>
      </c>
      <c r="G2271" s="7" t="str">
        <f t="shared" si="8"/>
        <v>KI KV-022-W3 阀盖毛坯 (成份按CF3M管控,NACE)NPS3/4 3600WOG ASTM A351-CF8M</v>
      </c>
      <c r="H2271" s="7"/>
      <c r="I2271" s="7">
        <v>10</v>
      </c>
      <c r="J2271" s="7"/>
      <c r="K2271" s="7"/>
      <c r="L2271" s="7"/>
      <c r="M2271" s="7"/>
      <c r="N2271" s="7">
        <v>60</v>
      </c>
      <c r="O2271" s="7">
        <v>210</v>
      </c>
      <c r="P2271" s="7">
        <v>250</v>
      </c>
    </row>
    <row r="2272" spans="1:16" s="10" customFormat="1">
      <c r="A2272" s="7">
        <f>IF(B2272="","",SUBTOTAL(103,$B$2:B2272))</f>
        <v>2271</v>
      </c>
      <c r="B2272" s="16" t="s">
        <v>6018</v>
      </c>
      <c r="C2272" s="7"/>
      <c r="D2272" s="9" t="s">
        <v>6105</v>
      </c>
      <c r="E2272" s="7" t="s">
        <v>6103</v>
      </c>
      <c r="F2272" s="7" t="s">
        <v>6068</v>
      </c>
      <c r="G2272" s="7" t="str">
        <f t="shared" si="8"/>
        <v>Warren KV-022-W3 阀体毛坯 (成份按CF3M管控,NACE)NPS1 3600WOG ASTM A351-CF8M</v>
      </c>
      <c r="H2272" s="7"/>
      <c r="I2272" s="7">
        <v>5</v>
      </c>
      <c r="J2272" s="7"/>
      <c r="K2272" s="7"/>
      <c r="L2272" s="7"/>
      <c r="M2272" s="7"/>
      <c r="N2272" s="7">
        <v>60</v>
      </c>
      <c r="O2272" s="7">
        <v>400</v>
      </c>
      <c r="P2272" s="7">
        <v>450</v>
      </c>
    </row>
    <row r="2273" spans="1:16" s="10" customFormat="1">
      <c r="A2273" s="7">
        <f>IF(B2273="","",SUBTOTAL(103,$B$2:B2273))</f>
        <v>2272</v>
      </c>
      <c r="B2273" s="16" t="s">
        <v>6018</v>
      </c>
      <c r="C2273" s="7"/>
      <c r="D2273" s="9" t="s">
        <v>6106</v>
      </c>
      <c r="E2273" s="7" t="s">
        <v>6060</v>
      </c>
      <c r="F2273" s="7" t="s">
        <v>6068</v>
      </c>
      <c r="G2273" s="7" t="str">
        <f t="shared" si="8"/>
        <v>KI KV-022-W3 阀盖毛坯 (成份按CF3M管控,NACE)NPS1 3600WOG ASTM A351-CF8M</v>
      </c>
      <c r="H2273" s="7"/>
      <c r="I2273" s="7">
        <v>6</v>
      </c>
      <c r="J2273" s="7"/>
      <c r="K2273" s="7"/>
      <c r="L2273" s="7"/>
      <c r="M2273" s="7"/>
      <c r="N2273" s="7">
        <v>60</v>
      </c>
      <c r="O2273" s="7">
        <v>350</v>
      </c>
      <c r="P2273" s="7">
        <v>400</v>
      </c>
    </row>
    <row r="2274" spans="1:16" s="10" customFormat="1">
      <c r="A2274" s="7">
        <f>IF(B2274="","",SUBTOTAL(103,$B$2:B2274))</f>
        <v>2273</v>
      </c>
      <c r="B2274" s="16" t="s">
        <v>6018</v>
      </c>
      <c r="C2274" s="7"/>
      <c r="D2274" s="9" t="s">
        <v>6107</v>
      </c>
      <c r="E2274" s="7" t="s">
        <v>6080</v>
      </c>
      <c r="F2274" s="7" t="s">
        <v>6108</v>
      </c>
      <c r="G2274" s="7" t="str">
        <f t="shared" si="8"/>
        <v>KI KV-080-35 阀体毛坯 (NACE)NPS1/4 2000WOG ASTM A216-WCB</v>
      </c>
      <c r="H2274" s="7"/>
      <c r="I2274" s="7">
        <v>14</v>
      </c>
      <c r="J2274" s="7"/>
      <c r="K2274" s="7"/>
      <c r="L2274" s="7"/>
      <c r="M2274" s="7"/>
      <c r="N2274" s="7">
        <v>60</v>
      </c>
      <c r="O2274" s="7">
        <v>160</v>
      </c>
      <c r="P2274" s="7">
        <v>180</v>
      </c>
    </row>
    <row r="2275" spans="1:16" s="10" customFormat="1">
      <c r="A2275" s="7">
        <f>IF(B2275="","",SUBTOTAL(103,$B$2:B2275))</f>
        <v>2274</v>
      </c>
      <c r="B2275" s="16" t="s">
        <v>6018</v>
      </c>
      <c r="C2275" s="7"/>
      <c r="D2275" s="9" t="s">
        <v>6109</v>
      </c>
      <c r="E2275" s="7" t="s">
        <v>6082</v>
      </c>
      <c r="F2275" s="7" t="s">
        <v>6108</v>
      </c>
      <c r="G2275" s="7" t="str">
        <f t="shared" si="8"/>
        <v>KI KV-080-35 阀盖毛坯 (NACE)NPS1/4 2000WOG ASTM A216-WCB</v>
      </c>
      <c r="H2275" s="7"/>
      <c r="I2275" s="7">
        <v>28</v>
      </c>
      <c r="J2275" s="7"/>
      <c r="K2275" s="7"/>
      <c r="L2275" s="7"/>
      <c r="M2275" s="7"/>
      <c r="N2275" s="7">
        <v>60</v>
      </c>
      <c r="O2275" s="7">
        <v>90</v>
      </c>
      <c r="P2275" s="7">
        <v>110</v>
      </c>
    </row>
    <row r="2276" spans="1:16" s="10" customFormat="1">
      <c r="A2276" s="7">
        <f>IF(B2276="","",SUBTOTAL(103,$B$2:B2276))</f>
        <v>2275</v>
      </c>
      <c r="B2276" s="16" t="s">
        <v>6018</v>
      </c>
      <c r="C2276" s="7"/>
      <c r="D2276" s="9" t="s">
        <v>6110</v>
      </c>
      <c r="E2276" s="7" t="s">
        <v>6080</v>
      </c>
      <c r="F2276" s="7" t="s">
        <v>652</v>
      </c>
      <c r="G2276" s="7" t="str">
        <f t="shared" si="8"/>
        <v>KI KV-080-35 阀体毛坯 (NACE)NPS3/4 2000WOG ASTM A216-WCB</v>
      </c>
      <c r="H2276" s="7"/>
      <c r="I2276" s="7">
        <v>5</v>
      </c>
      <c r="J2276" s="7"/>
      <c r="K2276" s="7"/>
      <c r="L2276" s="7"/>
      <c r="M2276" s="7"/>
      <c r="N2276" s="7">
        <v>60</v>
      </c>
      <c r="O2276" s="7">
        <v>400</v>
      </c>
      <c r="P2276" s="7">
        <v>450</v>
      </c>
    </row>
    <row r="2277" spans="1:16" s="10" customFormat="1">
      <c r="A2277" s="7">
        <f>IF(B2277="","",SUBTOTAL(103,$B$2:B2277))</f>
        <v>2276</v>
      </c>
      <c r="B2277" s="16" t="s">
        <v>6018</v>
      </c>
      <c r="C2277" s="7"/>
      <c r="D2277" s="9" t="s">
        <v>6111</v>
      </c>
      <c r="E2277" s="7" t="s">
        <v>6082</v>
      </c>
      <c r="F2277" s="7" t="s">
        <v>652</v>
      </c>
      <c r="G2277" s="7" t="str">
        <f t="shared" si="8"/>
        <v>KI KV-080-35 阀盖毛坯 (NACE)NPS3/4 2000WOG ASTM A216-WCB</v>
      </c>
      <c r="H2277" s="7"/>
      <c r="I2277" s="7">
        <v>16</v>
      </c>
      <c r="J2277" s="7"/>
      <c r="K2277" s="7"/>
      <c r="L2277" s="7"/>
      <c r="M2277" s="7"/>
      <c r="N2277" s="7">
        <v>60</v>
      </c>
      <c r="O2277" s="7">
        <v>140</v>
      </c>
      <c r="P2277" s="7">
        <v>160</v>
      </c>
    </row>
    <row r="2278" spans="1:16" s="10" customFormat="1">
      <c r="A2278" s="7">
        <f>IF(B2278="","",SUBTOTAL(103,$B$2:B2278))</f>
        <v>2277</v>
      </c>
      <c r="B2278" s="16" t="s">
        <v>6018</v>
      </c>
      <c r="C2278" s="7"/>
      <c r="D2278" s="9" t="s">
        <v>6112</v>
      </c>
      <c r="E2278" s="7" t="s">
        <v>6084</v>
      </c>
      <c r="F2278" s="7" t="s">
        <v>6113</v>
      </c>
      <c r="G2278" s="7" t="str">
        <f t="shared" si="8"/>
        <v>KI KV-080-35 阀体毛坯 (成份按CF3M管控,NACE)NPS3/4 2000WOG ASTM A351-CF8M</v>
      </c>
      <c r="H2278" s="7"/>
      <c r="I2278" s="7">
        <v>5</v>
      </c>
      <c r="J2278" s="7"/>
      <c r="K2278" s="7"/>
      <c r="L2278" s="7"/>
      <c r="M2278" s="7"/>
      <c r="N2278" s="7">
        <v>60</v>
      </c>
      <c r="O2278" s="7">
        <v>400</v>
      </c>
      <c r="P2278" s="7">
        <v>450</v>
      </c>
    </row>
    <row r="2279" spans="1:16" s="10" customFormat="1">
      <c r="A2279" s="7">
        <f>IF(B2279="","",SUBTOTAL(103,$B$2:B2279))</f>
        <v>2278</v>
      </c>
      <c r="B2279" s="16" t="s">
        <v>6018</v>
      </c>
      <c r="C2279" s="7"/>
      <c r="D2279" s="9" t="s">
        <v>6114</v>
      </c>
      <c r="E2279" s="7" t="s">
        <v>6087</v>
      </c>
      <c r="F2279" s="7" t="s">
        <v>6113</v>
      </c>
      <c r="G2279" s="7" t="str">
        <f t="shared" si="8"/>
        <v>KI KV-080-35 阀盖毛坯 (成份按CF3M管控,NACE)NPS3/4 2000WOG ASTM A351-CF8M</v>
      </c>
      <c r="H2279" s="7"/>
      <c r="I2279" s="7">
        <v>16</v>
      </c>
      <c r="J2279" s="7"/>
      <c r="K2279" s="7"/>
      <c r="L2279" s="7"/>
      <c r="M2279" s="7"/>
      <c r="N2279" s="7">
        <v>60</v>
      </c>
      <c r="O2279" s="7">
        <v>140</v>
      </c>
      <c r="P2279" s="7">
        <v>160</v>
      </c>
    </row>
    <row r="2280" spans="1:16" s="10" customFormat="1">
      <c r="A2280" s="7">
        <f>IF(B2280="","",SUBTOTAL(103,$B$2:B2280))</f>
        <v>2279</v>
      </c>
      <c r="B2280" s="16" t="s">
        <v>6018</v>
      </c>
      <c r="C2280" s="7"/>
      <c r="D2280" s="9" t="s">
        <v>6115</v>
      </c>
      <c r="E2280" s="7" t="s">
        <v>6082</v>
      </c>
      <c r="F2280" s="7" t="s">
        <v>585</v>
      </c>
      <c r="G2280" s="7" t="str">
        <f t="shared" si="8"/>
        <v>KI KV-080-35 阀盖毛坯 (NACE)NPS1 2000WOG ASTM A216-WCB</v>
      </c>
      <c r="H2280" s="7"/>
      <c r="I2280" s="7">
        <v>12</v>
      </c>
      <c r="J2280" s="7"/>
      <c r="K2280" s="7"/>
      <c r="L2280" s="7"/>
      <c r="M2280" s="7"/>
      <c r="N2280" s="7">
        <v>60</v>
      </c>
      <c r="O2280" s="7">
        <v>200</v>
      </c>
      <c r="P2280" s="7">
        <v>220</v>
      </c>
    </row>
    <row r="2281" spans="1:16" s="10" customFormat="1">
      <c r="A2281" s="7">
        <f>IF(B2281="","",SUBTOTAL(103,$B$2:B2281))</f>
        <v>2280</v>
      </c>
      <c r="B2281" s="16" t="s">
        <v>6018</v>
      </c>
      <c r="C2281" s="7"/>
      <c r="D2281" s="9" t="s">
        <v>6116</v>
      </c>
      <c r="E2281" s="7" t="s">
        <v>6080</v>
      </c>
      <c r="F2281" s="7" t="s">
        <v>568</v>
      </c>
      <c r="G2281" s="7" t="str">
        <f t="shared" si="8"/>
        <v>KI KV-080-35 阀体毛坯 (NACE)NPS2 1500WOG ASTM A216-WCB</v>
      </c>
      <c r="H2281" s="7"/>
      <c r="I2281" s="7">
        <v>2</v>
      </c>
      <c r="J2281" s="7"/>
      <c r="K2281" s="7"/>
      <c r="L2281" s="7"/>
      <c r="M2281" s="7"/>
      <c r="N2281" s="7">
        <v>120</v>
      </c>
      <c r="O2281" s="7">
        <v>1200</v>
      </c>
      <c r="P2281" s="7">
        <v>1400</v>
      </c>
    </row>
    <row r="2282" spans="1:16" s="10" customFormat="1">
      <c r="A2282" s="7">
        <f>IF(B2282="","",SUBTOTAL(103,$B$2:B2282))</f>
        <v>2281</v>
      </c>
      <c r="B2282" s="16" t="s">
        <v>6018</v>
      </c>
      <c r="C2282" s="7"/>
      <c r="D2282" s="9" t="s">
        <v>6117</v>
      </c>
      <c r="E2282" s="7" t="s">
        <v>6082</v>
      </c>
      <c r="F2282" s="7" t="s">
        <v>568</v>
      </c>
      <c r="G2282" s="7" t="str">
        <f t="shared" si="8"/>
        <v>KI KV-080-35 阀盖毛坯 (NACE)NPS2 1500WOG ASTM A216-WCB</v>
      </c>
      <c r="H2282" s="7"/>
      <c r="I2282" s="7">
        <v>6</v>
      </c>
      <c r="J2282" s="7"/>
      <c r="K2282" s="7"/>
      <c r="L2282" s="7"/>
      <c r="M2282" s="7"/>
      <c r="N2282" s="7">
        <v>60</v>
      </c>
      <c r="O2282" s="7">
        <v>350</v>
      </c>
      <c r="P2282" s="7">
        <v>400</v>
      </c>
    </row>
    <row r="2283" spans="1:16" s="10" customFormat="1">
      <c r="A2283" s="7">
        <f>IF(B2283="","",SUBTOTAL(103,$B$2:B2283))</f>
        <v>2282</v>
      </c>
      <c r="B2283" s="16" t="s">
        <v>6018</v>
      </c>
      <c r="C2283" s="7"/>
      <c r="D2283" s="9" t="s">
        <v>6118</v>
      </c>
      <c r="E2283" s="7" t="s">
        <v>6084</v>
      </c>
      <c r="F2283" s="7" t="s">
        <v>6119</v>
      </c>
      <c r="G2283" s="7" t="str">
        <f t="shared" si="8"/>
        <v>KI KV-080-35 阀体毛坯 (成份按CF3M管控,NACE)NPS2 1500WOG ASTM A351-CF8M</v>
      </c>
      <c r="H2283" s="7"/>
      <c r="I2283" s="7">
        <v>2</v>
      </c>
      <c r="J2283" s="7"/>
      <c r="K2283" s="7"/>
      <c r="L2283" s="7"/>
      <c r="M2283" s="7"/>
      <c r="N2283" s="7">
        <v>120</v>
      </c>
      <c r="O2283" s="7">
        <v>1200</v>
      </c>
      <c r="P2283" s="7">
        <v>1400</v>
      </c>
    </row>
    <row r="2284" spans="1:16" s="10" customFormat="1">
      <c r="A2284" s="7">
        <f>IF(B2284="","",SUBTOTAL(103,$B$2:B2284))</f>
        <v>2283</v>
      </c>
      <c r="B2284" s="16" t="s">
        <v>6018</v>
      </c>
      <c r="C2284" s="7"/>
      <c r="D2284" s="9" t="s">
        <v>6120</v>
      </c>
      <c r="E2284" s="7" t="s">
        <v>6087</v>
      </c>
      <c r="F2284" s="7" t="s">
        <v>6119</v>
      </c>
      <c r="G2284" s="7" t="str">
        <f t="shared" si="8"/>
        <v>KI KV-080-35 阀盖毛坯 (成份按CF3M管控,NACE)NPS2 1500WOG ASTM A351-CF8M</v>
      </c>
      <c r="H2284" s="7"/>
      <c r="I2284" s="7">
        <v>6</v>
      </c>
      <c r="J2284" s="7"/>
      <c r="K2284" s="7"/>
      <c r="L2284" s="7"/>
      <c r="M2284" s="7"/>
      <c r="N2284" s="7">
        <v>60</v>
      </c>
      <c r="O2284" s="7">
        <v>350</v>
      </c>
      <c r="P2284" s="7">
        <v>400</v>
      </c>
    </row>
    <row r="2285" spans="1:16" s="10" customFormat="1">
      <c r="A2285" s="7" t="str">
        <f>IF(B2285="","",SUBTOTAL(103,$B$2:B2285))</f>
        <v/>
      </c>
      <c r="B2285" s="8"/>
      <c r="C2285" s="7"/>
      <c r="D2285" s="9"/>
      <c r="E2285" s="7"/>
      <c r="F2285" s="7"/>
      <c r="G2285" s="7" t="str">
        <f t="shared" si="8"/>
        <v/>
      </c>
      <c r="H2285" s="7"/>
      <c r="I2285" s="7"/>
      <c r="J2285" s="7"/>
      <c r="K2285" s="7"/>
      <c r="L2285" s="7"/>
      <c r="M2285" s="7"/>
      <c r="N2285" s="7"/>
      <c r="O2285" s="7"/>
      <c r="P2285" s="7"/>
    </row>
    <row r="2286" spans="1:16" s="10" customFormat="1">
      <c r="A2286" s="7" t="str">
        <f>IF(B2286="","",SUBTOTAL(103,$B$2:B2286))</f>
        <v/>
      </c>
      <c r="B2286" s="8"/>
      <c r="C2286" s="7"/>
      <c r="D2286" s="9"/>
      <c r="E2286" s="7"/>
      <c r="F2286" s="7"/>
      <c r="G2286" s="7" t="str">
        <f t="shared" si="8"/>
        <v/>
      </c>
      <c r="H2286" s="7"/>
      <c r="I2286" s="7"/>
      <c r="J2286" s="7"/>
      <c r="K2286" s="7"/>
      <c r="L2286" s="7"/>
      <c r="M2286" s="7"/>
      <c r="N2286" s="7"/>
      <c r="O2286" s="7"/>
      <c r="P2286" s="7"/>
    </row>
    <row r="2287" spans="1:16" s="10" customFormat="1">
      <c r="A2287" s="7" t="str">
        <f>IF(B2287="","",SUBTOTAL(103,$B$2:B2287))</f>
        <v/>
      </c>
      <c r="B2287" s="8"/>
      <c r="C2287" s="7"/>
      <c r="D2287" s="9"/>
      <c r="E2287" s="7"/>
      <c r="F2287" s="7"/>
      <c r="G2287" s="7" t="str">
        <f t="shared" si="8"/>
        <v/>
      </c>
      <c r="H2287" s="7"/>
      <c r="I2287" s="7"/>
      <c r="J2287" s="7"/>
      <c r="K2287" s="7"/>
      <c r="L2287" s="7"/>
      <c r="M2287" s="7"/>
      <c r="N2287" s="7"/>
      <c r="O2287" s="7"/>
      <c r="P2287" s="7"/>
    </row>
    <row r="2288" spans="1:16" s="10" customFormat="1">
      <c r="A2288" s="7" t="str">
        <f>IF(B2288="","",SUBTOTAL(103,$B$2:B2288))</f>
        <v/>
      </c>
      <c r="B2288" s="8"/>
      <c r="C2288" s="7"/>
      <c r="D2288" s="9"/>
      <c r="E2288" s="7"/>
      <c r="F2288" s="7"/>
      <c r="G2288" s="7" t="str">
        <f t="shared" ref="G2288:G2307" si="9">E2288&amp;F2288</f>
        <v/>
      </c>
      <c r="H2288" s="7"/>
      <c r="I2288" s="7"/>
      <c r="J2288" s="7"/>
      <c r="K2288" s="7"/>
      <c r="L2288" s="7"/>
      <c r="M2288" s="7"/>
      <c r="N2288" s="7"/>
      <c r="O2288" s="7"/>
      <c r="P2288" s="7"/>
    </row>
    <row r="2289" spans="1:16" s="10" customFormat="1">
      <c r="A2289" s="7" t="str">
        <f>IF(B2289="","",SUBTOTAL(103,$B$2:B2289))</f>
        <v/>
      </c>
      <c r="B2289" s="8"/>
      <c r="C2289" s="7"/>
      <c r="D2289" s="9"/>
      <c r="E2289" s="7"/>
      <c r="F2289" s="7"/>
      <c r="G2289" s="7" t="str">
        <f t="shared" si="9"/>
        <v/>
      </c>
      <c r="H2289" s="7"/>
      <c r="I2289" s="7"/>
      <c r="J2289" s="7"/>
      <c r="K2289" s="7"/>
      <c r="L2289" s="7"/>
      <c r="M2289" s="7"/>
      <c r="N2289" s="7"/>
      <c r="O2289" s="7"/>
      <c r="P2289" s="7"/>
    </row>
    <row r="2290" spans="1:16" s="10" customFormat="1">
      <c r="A2290" s="7" t="str">
        <f>IF(B2290="","",SUBTOTAL(103,$B$2:B2290))</f>
        <v/>
      </c>
      <c r="B2290" s="8"/>
      <c r="C2290" s="7"/>
      <c r="D2290" s="9"/>
      <c r="E2290" s="7"/>
      <c r="F2290" s="7"/>
      <c r="G2290" s="7" t="str">
        <f t="shared" si="9"/>
        <v/>
      </c>
      <c r="H2290" s="7"/>
      <c r="I2290" s="7"/>
      <c r="J2290" s="7"/>
      <c r="K2290" s="7"/>
      <c r="L2290" s="7"/>
      <c r="M2290" s="7"/>
      <c r="N2290" s="7"/>
      <c r="O2290" s="7"/>
      <c r="P2290" s="7"/>
    </row>
    <row r="2291" spans="1:16" s="10" customFormat="1">
      <c r="A2291" s="7" t="str">
        <f>IF(B2291="","",SUBTOTAL(103,$B$2:B2291))</f>
        <v/>
      </c>
      <c r="B2291" s="8"/>
      <c r="C2291" s="7"/>
      <c r="D2291" s="9"/>
      <c r="E2291" s="7"/>
      <c r="F2291" s="7"/>
      <c r="G2291" s="7" t="str">
        <f t="shared" si="9"/>
        <v/>
      </c>
      <c r="H2291" s="7"/>
      <c r="I2291" s="7"/>
      <c r="J2291" s="7"/>
      <c r="K2291" s="7"/>
      <c r="L2291" s="7"/>
      <c r="M2291" s="7"/>
      <c r="N2291" s="7"/>
      <c r="O2291" s="7"/>
      <c r="P2291" s="7"/>
    </row>
    <row r="2292" spans="1:16" s="10" customFormat="1">
      <c r="A2292" s="7" t="str">
        <f>IF(B2292="","",SUBTOTAL(103,$B$2:B2292))</f>
        <v/>
      </c>
      <c r="B2292" s="8"/>
      <c r="C2292" s="7"/>
      <c r="D2292" s="9"/>
      <c r="E2292" s="7"/>
      <c r="F2292" s="7"/>
      <c r="G2292" s="7" t="str">
        <f t="shared" si="9"/>
        <v/>
      </c>
      <c r="H2292" s="7"/>
      <c r="I2292" s="7"/>
      <c r="J2292" s="7"/>
      <c r="K2292" s="7"/>
      <c r="L2292" s="7"/>
      <c r="M2292" s="7"/>
      <c r="N2292" s="7"/>
      <c r="O2292" s="7"/>
      <c r="P2292" s="7"/>
    </row>
    <row r="2293" spans="1:16" s="10" customFormat="1">
      <c r="A2293" s="7" t="str">
        <f>IF(B2293="","",SUBTOTAL(103,$B$2:B2293))</f>
        <v/>
      </c>
      <c r="B2293" s="8"/>
      <c r="C2293" s="7"/>
      <c r="D2293" s="9"/>
      <c r="E2293" s="7"/>
      <c r="F2293" s="7"/>
      <c r="G2293" s="7" t="str">
        <f t="shared" si="9"/>
        <v/>
      </c>
      <c r="H2293" s="7"/>
      <c r="I2293" s="7"/>
      <c r="J2293" s="7"/>
      <c r="K2293" s="7"/>
      <c r="L2293" s="7"/>
      <c r="M2293" s="7"/>
      <c r="N2293" s="7"/>
      <c r="O2293" s="7"/>
      <c r="P2293" s="7"/>
    </row>
    <row r="2294" spans="1:16" s="10" customFormat="1">
      <c r="A2294" s="7" t="str">
        <f>IF(B2294="","",SUBTOTAL(103,$B$2:B2294))</f>
        <v/>
      </c>
      <c r="B2294" s="8"/>
      <c r="C2294" s="7"/>
      <c r="D2294" s="9"/>
      <c r="E2294" s="7"/>
      <c r="F2294" s="7"/>
      <c r="G2294" s="7" t="str">
        <f t="shared" si="9"/>
        <v/>
      </c>
      <c r="H2294" s="7"/>
      <c r="I2294" s="7"/>
      <c r="J2294" s="7"/>
      <c r="K2294" s="7"/>
      <c r="L2294" s="7"/>
      <c r="M2294" s="7"/>
      <c r="N2294" s="7"/>
      <c r="O2294" s="7"/>
      <c r="P2294" s="7"/>
    </row>
    <row r="2295" spans="1:16" s="10" customFormat="1">
      <c r="A2295" s="7" t="str">
        <f>IF(B2295="","",SUBTOTAL(103,$B$2:B2295))</f>
        <v/>
      </c>
      <c r="B2295" s="8"/>
      <c r="C2295" s="7"/>
      <c r="D2295" s="9"/>
      <c r="E2295" s="7"/>
      <c r="F2295" s="7"/>
      <c r="G2295" s="7" t="str">
        <f t="shared" si="9"/>
        <v/>
      </c>
      <c r="H2295" s="7"/>
      <c r="I2295" s="7"/>
      <c r="J2295" s="7"/>
      <c r="K2295" s="7"/>
      <c r="L2295" s="7"/>
      <c r="M2295" s="7"/>
      <c r="N2295" s="7"/>
      <c r="O2295" s="7"/>
      <c r="P2295" s="7"/>
    </row>
    <row r="2296" spans="1:16" s="10" customFormat="1">
      <c r="A2296" s="7" t="str">
        <f>IF(B2296="","",SUBTOTAL(103,$B$2:B2296))</f>
        <v/>
      </c>
      <c r="B2296" s="8"/>
      <c r="C2296" s="7"/>
      <c r="D2296" s="9"/>
      <c r="E2296" s="7"/>
      <c r="F2296" s="7"/>
      <c r="G2296" s="7" t="str">
        <f t="shared" si="9"/>
        <v/>
      </c>
      <c r="H2296" s="7"/>
      <c r="I2296" s="7"/>
      <c r="J2296" s="7"/>
      <c r="K2296" s="7"/>
      <c r="L2296" s="7"/>
      <c r="M2296" s="7"/>
      <c r="N2296" s="7"/>
      <c r="O2296" s="7"/>
      <c r="P2296" s="7"/>
    </row>
    <row r="2297" spans="1:16" s="10" customFormat="1">
      <c r="A2297" s="7" t="str">
        <f>IF(B2297="","",SUBTOTAL(103,$B$2:B2297))</f>
        <v/>
      </c>
      <c r="B2297" s="8"/>
      <c r="C2297" s="7"/>
      <c r="D2297" s="9"/>
      <c r="E2297" s="7"/>
      <c r="F2297" s="7"/>
      <c r="G2297" s="7" t="str">
        <f t="shared" si="9"/>
        <v/>
      </c>
      <c r="H2297" s="7"/>
      <c r="I2297" s="7"/>
      <c r="J2297" s="7"/>
      <c r="K2297" s="7"/>
      <c r="L2297" s="7"/>
      <c r="M2297" s="7"/>
      <c r="N2297" s="7"/>
      <c r="O2297" s="7"/>
      <c r="P2297" s="7"/>
    </row>
    <row r="2298" spans="1:16" s="10" customFormat="1">
      <c r="A2298" s="7" t="str">
        <f>IF(B2298="","",SUBTOTAL(103,$B$2:B2298))</f>
        <v/>
      </c>
      <c r="B2298" s="8"/>
      <c r="C2298" s="7"/>
      <c r="D2298" s="9"/>
      <c r="E2298" s="7"/>
      <c r="F2298" s="7"/>
      <c r="G2298" s="7" t="str">
        <f t="shared" si="9"/>
        <v/>
      </c>
      <c r="H2298" s="7"/>
      <c r="I2298" s="7"/>
      <c r="J2298" s="7"/>
      <c r="K2298" s="7"/>
      <c r="L2298" s="7"/>
      <c r="M2298" s="7"/>
      <c r="N2298" s="7"/>
      <c r="O2298" s="7"/>
      <c r="P2298" s="7"/>
    </row>
    <row r="2299" spans="1:16" s="10" customFormat="1">
      <c r="A2299" s="7" t="str">
        <f>IF(B2299="","",SUBTOTAL(103,$B$2:B2299))</f>
        <v/>
      </c>
      <c r="B2299" s="8"/>
      <c r="C2299" s="7"/>
      <c r="D2299" s="9"/>
      <c r="E2299" s="7"/>
      <c r="F2299" s="7"/>
      <c r="G2299" s="7" t="str">
        <f t="shared" si="9"/>
        <v/>
      </c>
      <c r="H2299" s="7"/>
      <c r="I2299" s="7"/>
      <c r="J2299" s="7"/>
      <c r="K2299" s="7"/>
      <c r="L2299" s="7"/>
      <c r="M2299" s="7"/>
      <c r="N2299" s="7"/>
      <c r="O2299" s="7"/>
      <c r="P2299" s="7"/>
    </row>
    <row r="2300" spans="1:16" s="10" customFormat="1">
      <c r="A2300" s="7" t="str">
        <f>IF(B2300="","",SUBTOTAL(103,$B$2:B2300))</f>
        <v/>
      </c>
      <c r="B2300" s="8"/>
      <c r="C2300" s="7"/>
      <c r="D2300" s="9"/>
      <c r="E2300" s="7"/>
      <c r="F2300" s="7"/>
      <c r="G2300" s="7" t="str">
        <f t="shared" si="9"/>
        <v/>
      </c>
      <c r="H2300" s="7"/>
      <c r="I2300" s="7"/>
      <c r="J2300" s="7"/>
      <c r="K2300" s="7"/>
      <c r="L2300" s="7"/>
      <c r="M2300" s="7"/>
      <c r="N2300" s="7"/>
      <c r="O2300" s="7"/>
      <c r="P2300" s="7"/>
    </row>
    <row r="2301" spans="1:16" s="10" customFormat="1">
      <c r="A2301" s="7" t="str">
        <f>IF(B2301="","",SUBTOTAL(103,$B$2:B2301))</f>
        <v/>
      </c>
      <c r="B2301" s="8"/>
      <c r="C2301" s="7"/>
      <c r="D2301" s="9"/>
      <c r="E2301" s="7"/>
      <c r="F2301" s="7"/>
      <c r="G2301" s="7" t="str">
        <f t="shared" si="9"/>
        <v/>
      </c>
      <c r="H2301" s="7"/>
      <c r="I2301" s="7"/>
      <c r="J2301" s="7"/>
      <c r="K2301" s="7"/>
      <c r="L2301" s="7"/>
      <c r="M2301" s="7"/>
      <c r="N2301" s="7"/>
      <c r="O2301" s="7"/>
      <c r="P2301" s="7"/>
    </row>
    <row r="2302" spans="1:16" s="10" customFormat="1">
      <c r="A2302" s="7" t="str">
        <f>IF(B2302="","",SUBTOTAL(103,$B$2:B2302))</f>
        <v/>
      </c>
      <c r="B2302" s="8"/>
      <c r="C2302" s="7"/>
      <c r="D2302" s="9"/>
      <c r="E2302" s="7"/>
      <c r="F2302" s="7"/>
      <c r="G2302" s="7" t="str">
        <f t="shared" si="9"/>
        <v/>
      </c>
      <c r="H2302" s="7"/>
      <c r="I2302" s="7"/>
      <c r="J2302" s="7"/>
      <c r="K2302" s="7"/>
      <c r="L2302" s="7"/>
      <c r="M2302" s="7"/>
      <c r="N2302" s="7"/>
      <c r="O2302" s="7"/>
      <c r="P2302" s="7"/>
    </row>
    <row r="2303" spans="1:16" s="10" customFormat="1">
      <c r="A2303" s="7" t="str">
        <f>IF(B2303="","",SUBTOTAL(103,$B$2:B2303))</f>
        <v/>
      </c>
      <c r="B2303" s="8"/>
      <c r="C2303" s="7"/>
      <c r="D2303" s="9"/>
      <c r="E2303" s="7"/>
      <c r="F2303" s="7"/>
      <c r="G2303" s="7" t="str">
        <f t="shared" si="9"/>
        <v/>
      </c>
      <c r="H2303" s="7"/>
      <c r="I2303" s="7"/>
      <c r="J2303" s="7"/>
      <c r="K2303" s="7"/>
      <c r="L2303" s="7"/>
      <c r="M2303" s="7"/>
      <c r="N2303" s="7"/>
      <c r="O2303" s="7"/>
      <c r="P2303" s="7"/>
    </row>
    <row r="2304" spans="1:16" s="10" customFormat="1">
      <c r="A2304" s="7" t="str">
        <f>IF(B2304="","",SUBTOTAL(103,$B$2:B2304))</f>
        <v/>
      </c>
      <c r="B2304" s="8"/>
      <c r="C2304" s="7"/>
      <c r="D2304" s="9"/>
      <c r="E2304" s="7"/>
      <c r="F2304" s="7"/>
      <c r="G2304" s="7" t="str">
        <f t="shared" si="9"/>
        <v/>
      </c>
      <c r="H2304" s="7"/>
      <c r="I2304" s="7"/>
      <c r="J2304" s="7"/>
      <c r="K2304" s="7"/>
      <c r="L2304" s="7"/>
      <c r="M2304" s="7"/>
      <c r="N2304" s="7"/>
      <c r="O2304" s="7"/>
      <c r="P2304" s="7"/>
    </row>
    <row r="2305" spans="1:16" s="10" customFormat="1">
      <c r="A2305" s="7" t="str">
        <f>IF(B2305="","",SUBTOTAL(103,$B$2:B2305))</f>
        <v/>
      </c>
      <c r="B2305" s="8"/>
      <c r="C2305" s="7"/>
      <c r="D2305" s="9"/>
      <c r="E2305" s="7"/>
      <c r="F2305" s="7"/>
      <c r="G2305" s="7" t="str">
        <f t="shared" si="9"/>
        <v/>
      </c>
      <c r="H2305" s="7"/>
      <c r="I2305" s="7"/>
      <c r="J2305" s="7"/>
      <c r="K2305" s="7"/>
      <c r="L2305" s="7"/>
      <c r="M2305" s="7"/>
      <c r="N2305" s="7"/>
      <c r="O2305" s="7"/>
      <c r="P2305" s="7"/>
    </row>
    <row r="2306" spans="1:16" s="10" customFormat="1">
      <c r="A2306" s="7" t="str">
        <f>IF(B2306="","",SUBTOTAL(103,$B$2:B2306))</f>
        <v/>
      </c>
      <c r="B2306" s="8"/>
      <c r="C2306" s="7"/>
      <c r="D2306" s="9"/>
      <c r="E2306" s="7"/>
      <c r="F2306" s="7"/>
      <c r="G2306" s="7" t="str">
        <f t="shared" si="9"/>
        <v/>
      </c>
      <c r="H2306" s="7"/>
      <c r="I2306" s="7"/>
      <c r="J2306" s="7"/>
      <c r="K2306" s="7"/>
      <c r="L2306" s="7"/>
      <c r="M2306" s="7"/>
      <c r="N2306" s="7"/>
      <c r="O2306" s="7"/>
      <c r="P2306" s="7"/>
    </row>
    <row r="2307" spans="1:16" s="10" customFormat="1">
      <c r="A2307" s="7" t="str">
        <f>IF(B2307="","",SUBTOTAL(103,$B$2:B2307))</f>
        <v/>
      </c>
      <c r="B2307" s="8"/>
      <c r="C2307" s="7"/>
      <c r="D2307" s="9"/>
      <c r="E2307" s="7"/>
      <c r="F2307" s="7"/>
      <c r="G2307" s="7" t="str">
        <f t="shared" si="9"/>
        <v/>
      </c>
      <c r="H2307" s="7"/>
      <c r="I2307" s="7"/>
      <c r="J2307" s="7"/>
      <c r="K2307" s="7"/>
      <c r="L2307" s="7"/>
      <c r="M2307" s="7"/>
      <c r="N2307" s="7"/>
      <c r="O2307" s="7"/>
      <c r="P2307" s="7"/>
    </row>
    <row r="2308" spans="1:16">
      <c r="J2308" s="12" t="e">
        <f>J2280=#REF!</f>
        <v>#REF!</v>
      </c>
      <c r="K2308" s="12" t="e">
        <f>K2280=#REF!</f>
        <v>#REF!</v>
      </c>
      <c r="L2308" s="12" t="e">
        <f>L2280=#REF!</f>
        <v>#REF!</v>
      </c>
      <c r="M2308" s="12" t="e">
        <f>M2280=#REF!</f>
        <v>#REF!</v>
      </c>
    </row>
    <row r="2309" spans="1:16">
      <c r="J2309" s="12" t="e">
        <f>#REF!=J2264</f>
        <v>#REF!</v>
      </c>
      <c r="K2309" s="12" t="e">
        <f>#REF!=K2264</f>
        <v>#REF!</v>
      </c>
      <c r="L2309" s="12" t="e">
        <f>#REF!=L2264</f>
        <v>#REF!</v>
      </c>
      <c r="M2309" s="12" t="e">
        <f>#REF!=M2264</f>
        <v>#REF!</v>
      </c>
    </row>
    <row r="2310" spans="1:16">
      <c r="J2310" s="12" t="e">
        <f>#REF!=J2252</f>
        <v>#REF!</v>
      </c>
      <c r="K2310" s="12" t="e">
        <f>#REF!=K2252</f>
        <v>#REF!</v>
      </c>
      <c r="L2310" s="12" t="e">
        <f>#REF!=L2252</f>
        <v>#REF!</v>
      </c>
      <c r="M2310" s="12" t="e">
        <f>#REF!=M2252</f>
        <v>#REF!</v>
      </c>
    </row>
  </sheetData>
  <autoFilter ref="A1:XEZ2309" xr:uid="{703FF180-4330-4AA9-9E98-149779FCCBED}"/>
  <conditionalFormatting sqref="D265">
    <cfRule type="duplicateValues" dxfId="4" priority="1"/>
  </conditionalFormatting>
  <conditionalFormatting sqref="D2090:D2195">
    <cfRule type="duplicateValues" dxfId="3" priority="5"/>
  </conditionalFormatting>
  <conditionalFormatting sqref="D2211 D2205:D2207">
    <cfRule type="duplicateValues" dxfId="2" priority="3"/>
    <cfRule type="duplicateValues" dxfId="1" priority="4"/>
  </conditionalFormatting>
  <conditionalFormatting sqref="E2311:I2311 N2311:P2311 E2308:P2310 D2211:D2212 D2214:D1048576 D1:D2207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产品库 Thư viện 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vn-kifc11</dc:creator>
  <cp:lastModifiedBy>Huu Sen</cp:lastModifiedBy>
  <dcterms:created xsi:type="dcterms:W3CDTF">2025-08-05T12:28:26Z</dcterms:created>
  <dcterms:modified xsi:type="dcterms:W3CDTF">2026-07-22T16:15:20Z</dcterms:modified>
</cp:coreProperties>
</file>