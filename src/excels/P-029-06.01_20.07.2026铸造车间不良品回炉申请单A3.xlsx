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filterPrivacy="1" codeName="ThisWorkbook" defaultThemeVersion="124226"/>
  <xr:revisionPtr revIDLastSave="0" documentId="13_ncr:1_{35F9C9AB-7849-4734-B010-9470D6D08BB8}" xr6:coauthVersionLast="36" xr6:coauthVersionMax="47" xr10:uidLastSave="{00000000-0000-0000-0000-000000000000}"/>
  <bookViews>
    <workbookView xWindow="-120" yWindow="-120" windowWidth="29040" windowHeight="15720" tabRatio="530" xr2:uid="{FF3FD4B8-14B6-4378-8FF4-8519CEF95A47}"/>
  </bookViews>
  <sheets>
    <sheet name="ĐÚC P-029-06.01 A0)" sheetId="6" r:id="rId1"/>
    <sheet name="chất liệu" sheetId="7" r:id="rId2"/>
  </sheets>
  <definedNames>
    <definedName name="_xlnm._FilterDatabase" localSheetId="0" hidden="1">'ĐÚC P-029-06.01 A0)'!$A$5:$AB$14</definedName>
    <definedName name="_xlnm.Print_Area" localSheetId="0">'ĐÚC P-029-06.01 A0)'!$A$1:$W$14</definedName>
  </definedNames>
  <calcPr calcId="181029"/>
</workbook>
</file>

<file path=xl/calcChain.xml><?xml version="1.0" encoding="utf-8"?>
<calcChain xmlns="http://schemas.openxmlformats.org/spreadsheetml/2006/main">
  <c r="A6" i="6" l="1"/>
  <c r="E6" i="6" a="1"/>
  <c r="E6" i="6" s="1"/>
  <c r="W6" i="6"/>
  <c r="AA6" i="6" s="1"/>
  <c r="Z6" i="6"/>
  <c r="AB6" i="6" a="1"/>
  <c r="AB6" i="6" s="1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G7" i="6"/>
  <c r="W7" i="6" l="1"/>
  <c r="AA4" i="6"/>
  <c r="M10" i="6"/>
  <c r="T3" i="6"/>
  <c r="K10" i="6"/>
  <c r="I10" i="6"/>
  <c r="G10" i="6"/>
  <c r="D10" i="6"/>
  <c r="C10" i="6"/>
  <c r="E10" i="6" l="1"/>
  <c r="O10" i="6"/>
  <c r="S9" i="6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<sst xmlns="http://schemas.openxmlformats.org/spreadsheetml/2006/main" count="61" uniqueCount="58">
  <si>
    <t>缩孔
Lủng lổ</t>
  </si>
  <si>
    <t>变形
Biến dạng</t>
  </si>
  <si>
    <t>砂孔
Lổ cát</t>
  </si>
  <si>
    <t>裂纹
Vết nứt</t>
  </si>
  <si>
    <t>气孔
Lổ khí</t>
  </si>
  <si>
    <t>制定Lập biểu</t>
  </si>
  <si>
    <t>材质
Chất liệu</t>
  </si>
  <si>
    <t>切伤
Cắt phạm</t>
  </si>
  <si>
    <t>磨伤
Mài phạm</t>
  </si>
  <si>
    <t>其他
Khác</t>
  </si>
  <si>
    <t>序号
STT</t>
  </si>
  <si>
    <t xml:space="preserve">产品 规格
Quy cách 
</t>
  </si>
  <si>
    <t>日期/Ngày：</t>
  </si>
  <si>
    <r>
      <t xml:space="preserve">
</t>
    </r>
    <r>
      <rPr>
        <sz val="13"/>
        <rFont val="Times New Roman"/>
        <family val="1"/>
      </rPr>
      <t xml:space="preserve">                                                    </t>
    </r>
    <r>
      <rPr>
        <b/>
        <sz val="13"/>
        <rFont val="Times New Roman"/>
        <family val="1"/>
      </rPr>
      <t xml:space="preserve">                                                       
                                                                                                                                                                                </t>
    </r>
    <r>
      <rPr>
        <sz val="13"/>
        <rFont val="Times New Roman"/>
        <family val="1"/>
      </rPr>
      <t xml:space="preserve"> </t>
    </r>
    <r>
      <rPr>
        <b/>
        <sz val="13"/>
        <rFont val="Times New Roman"/>
        <family val="1"/>
      </rPr>
      <t xml:space="preserve">                     </t>
    </r>
  </si>
  <si>
    <r>
      <t xml:space="preserve">铸造车间不良品回炉申请单
</t>
    </r>
    <r>
      <rPr>
        <b/>
        <sz val="12"/>
        <rFont val="Times New Roman"/>
        <family val="1"/>
      </rPr>
      <t>BÁO CÁO HÀNG KHÔNG ĐẠT TRẢ VỀ LÒ XƯỞNG ĐÚC</t>
    </r>
    <r>
      <rPr>
        <b/>
        <sz val="16"/>
        <rFont val="Times New Roman"/>
        <family val="1"/>
      </rPr>
      <t xml:space="preserve">    </t>
    </r>
  </si>
  <si>
    <t>备注Ghi chú</t>
  </si>
  <si>
    <t>管件报废重量（kg）
Trọng lượng báo phế hàng Ống</t>
  </si>
  <si>
    <t xml:space="preserve">CF8M (316) </t>
  </si>
  <si>
    <t xml:space="preserve">CF8 (304) </t>
  </si>
  <si>
    <t>阀门报废重量（kg）
Trọng lượng báo phế hàng Van</t>
  </si>
  <si>
    <t>工单
单号
Mã
công đơn</t>
  </si>
  <si>
    <t>WCB</t>
  </si>
  <si>
    <t>产品品名
Tên
Sản Phẩm</t>
  </si>
  <si>
    <t>QC确认</t>
  </si>
  <si>
    <t>不良原因 Nguyên nhân không đạt</t>
  </si>
  <si>
    <t>尺寸超差
Sai kích thước</t>
  </si>
  <si>
    <t>合计
（PCS）
Tổng cộng</t>
  </si>
  <si>
    <t>管件/阀门总重
Tổng trọng lượng ống và van</t>
  </si>
  <si>
    <t>厂长/副厂长
Xưởng trưởng/ Phó XT</t>
  </si>
  <si>
    <t>品保课长
Khoa trưởng chất lượng</t>
  </si>
  <si>
    <t>品保经理 
Giám đốc chất lượng</t>
  </si>
  <si>
    <t>铸造课长
Khoa trưởng đúc</t>
  </si>
  <si>
    <t>前后处理组长
Tổ trưởng trước sau xử lý</t>
  </si>
  <si>
    <t xml:space="preserve">CF8M </t>
  </si>
  <si>
    <t>CF8</t>
  </si>
  <si>
    <t>CF3M</t>
  </si>
  <si>
    <t>漏钢水
Xì hồ</t>
  </si>
  <si>
    <t>夹砂
Kẹp cát</t>
  </si>
  <si>
    <t>字损
Mất nét</t>
  </si>
  <si>
    <t>浇不足
Đúc thiếu</t>
  </si>
  <si>
    <t>夹铁
Kẹp sắt</t>
  </si>
  <si>
    <t>冷隔
lạnh ngắt</t>
  </si>
  <si>
    <t>渣孔
Lỗ xỉ</t>
  </si>
  <si>
    <t>Trọng lượng</t>
  </si>
  <si>
    <t>Loại</t>
  </si>
  <si>
    <t>Tổng trọng lượng</t>
  </si>
  <si>
    <t>VẬT LIỆU</t>
  </si>
  <si>
    <t>CF8M</t>
  </si>
  <si>
    <t>CW12MW</t>
  </si>
  <si>
    <t>CX2MW</t>
  </si>
  <si>
    <t>CD3MN</t>
  </si>
  <si>
    <t>CD3MWCuN</t>
  </si>
  <si>
    <t>CN7M</t>
  </si>
  <si>
    <t>LCC</t>
  </si>
  <si>
    <t>M35</t>
  </si>
  <si>
    <t>No:</t>
  </si>
  <si>
    <t>合计 Tổng</t>
  </si>
  <si>
    <t>P-029-06.01 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</si>
</sst>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\ &quot;Kg&quot;"/>
    <numFmt numFmtId="165" formatCode="dd/mm/yyyy"/>
  </numFmts>
  <fonts count="15">
    <font>
      <sz val="12"/>
      <name val="宋体"/>
      <charset val="134"/>
    </font>
    <font>
      <sz val="12"/>
      <name val="宋体"/>
      <charset val="134"/>
    </font>
    <font>
      <sz val="12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b/>
      <sz val="16"/>
      <name val="Times New Roman"/>
      <family val="1"/>
    </font>
    <font>
      <sz val="10"/>
      <color theme="1"/>
      <name val="Times New Roman"/>
      <family val="1"/>
    </font>
    <font>
      <sz val="12"/>
      <color rgb="FFFF0000"/>
      <name val="Times New Roman"/>
      <family val="1"/>
    </font>
    <font>
      <sz val="11"/>
      <name val="Times New Roman"/>
      <family val="1"/>
    </font>
    <font>
      <sz val="12"/>
      <color theme="1"/>
      <name val="Times New Roman"/>
      <family val="1"/>
    </font>
    <font>
      <sz val="13"/>
      <color theme="1"/>
      <name val="Times New Roman"/>
      <family val="1"/>
    </font>
    <font>
      <sz val="10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3">
    <xf numFmtId="0" fontId="0" fillId="0" borderId="0" xfId="0"/>
    <xf numFmtId="0" fontId="2" fillId="0" borderId="0" xfId="0" applyFont="1"/>
    <xf numFmtId="0" fontId="4" fillId="0" borderId="11" xfId="0" applyFont="1" applyBorder="1" applyAlignment="1">
      <alignment horizontal="left" vertical="center" wrapText="1" shrinkToFit="1"/>
    </xf>
    <xf numFmtId="0" fontId="4" fillId="0" borderId="10" xfId="0" applyFont="1" applyBorder="1" applyAlignment="1">
      <alignment horizontal="left" vertical="center" wrapText="1" shrinkToFit="1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2" fillId="0" borderId="0" xfId="1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top" wrapText="1" shrinkToFit="1"/>
    </xf>
    <xf numFmtId="0" fontId="9" fillId="0" borderId="13" xfId="0" applyFont="1" applyBorder="1" applyAlignment="1">
      <alignment horizontal="center" vertical="top" wrapText="1" shrinkToFit="1"/>
    </xf>
    <xf numFmtId="0" fontId="9" fillId="0" borderId="15" xfId="1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 shrinkToFit="1"/>
    </xf>
    <xf numFmtId="0" fontId="9" fillId="0" borderId="13" xfId="1" applyFont="1" applyBorder="1" applyAlignment="1">
      <alignment horizontal="center" vertical="top" wrapText="1"/>
    </xf>
    <xf numFmtId="0" fontId="9" fillId="0" borderId="12" xfId="1" applyFont="1" applyBorder="1" applyAlignment="1">
      <alignment horizontal="center" vertical="top" wrapText="1"/>
    </xf>
    <xf numFmtId="0" fontId="14" fillId="0" borderId="13" xfId="0" applyFont="1" applyBorder="1" applyAlignment="1">
      <alignment horizontal="center" vertical="top" wrapText="1" shrinkToFit="1"/>
    </xf>
    <xf numFmtId="0" fontId="14" fillId="0" borderId="14" xfId="0" applyFont="1" applyBorder="1" applyAlignment="1">
      <alignment horizontal="center" vertical="top" wrapText="1" shrinkToFit="1"/>
    </xf>
    <xf numFmtId="0" fontId="4" fillId="0" borderId="2" xfId="0" applyFont="1" applyBorder="1" applyAlignment="1">
      <alignment horizontal="left" vertical="center" wrapText="1" shrinkToFi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 shrinkToFit="1"/>
    </xf>
    <xf numFmtId="164" fontId="2" fillId="0" borderId="15" xfId="0" applyNumberFormat="1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right" vertical="center"/>
    </xf>
    <xf numFmtId="165" fontId="2" fillId="0" borderId="0" xfId="0" applyNumberFormat="1" applyFont="1" applyAlignment="1">
      <alignment horizontal="left" vertical="center"/>
    </xf>
    <xf numFmtId="0" fontId="3" fillId="0" borderId="6" xfId="0" applyFont="1" applyBorder="1" applyAlignment="1">
      <alignment horizontal="center" vertical="center" wrapText="1" shrinkToFit="1"/>
    </xf>
    <xf numFmtId="0" fontId="4" fillId="0" borderId="6" xfId="0" applyFont="1" applyBorder="1" applyAlignment="1">
      <alignment horizontal="center" vertical="center" wrapText="1" shrinkToFit="1"/>
    </xf>
    <xf numFmtId="0" fontId="4" fillId="0" borderId="8" xfId="0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 shrinkToFit="1"/>
    </xf>
    <xf numFmtId="0" fontId="3" fillId="0" borderId="5" xfId="0" applyFont="1" applyBorder="1" applyAlignment="1">
      <alignment horizontal="center" vertical="center" wrapText="1" shrinkToFit="1"/>
    </xf>
    <xf numFmtId="0" fontId="3" fillId="0" borderId="9" xfId="0" applyFont="1" applyBorder="1" applyAlignment="1">
      <alignment horizontal="center" vertical="center" wrapText="1" shrinkToFit="1"/>
    </xf>
    <xf numFmtId="0" fontId="3" fillId="0" borderId="10" xfId="0" applyFont="1" applyBorder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</cellXfs>
  <cellStyles count="2">
    <cellStyle name="Normal" xfId="0" builtinId="0"/>
    <cellStyle name="Normal 2" xfId="1" xr:uid="{3B761D84-E895-46D6-BBF8-90D302658284}"/>
  </cellStyles>
  <dxfs count="4"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544285</xdr:colOff>
      <xdr:row>0</xdr:row>
      <xdr:rowOff>52335</xdr:rowOff>
    </xdr:from>
    <xdr:to>
      <xdr:col>13</xdr:col>
      <xdr:colOff>18028</xdr:colOff>
      <xdr:row>0</xdr:row>
      <xdr:rowOff>299985</xdr:rowOff>
    </xdr:to>
    <xdr:pic>
      <xdr:nvPicPr>
        <xdr:cNvPr id="4" name="图片 2">
          <a:extLst>
            <a:ext uri="{FF2B5EF4-FFF2-40B4-BE49-F238E27FC236}">
              <a16:creationId xmlns:a16="http://schemas.microsoft.com/office/drawing/2014/main" id="{0ED24E2C-0821-4C28-8008-556535DD7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7"/>
        <a:stretch>
          <a:fillRect/>
        </a:stretch>
      </xdr:blipFill>
      <xdr:spPr bwMode="auto">
        <a:xfrm>
          <a:off x="4270549" y="52335"/>
          <a:ext cx="3100962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7B36F7-8403-4E2C-B5E7-93B5114474C3}" name="VATLIEU" displayName="VATLIEU" ref="A1:A14" totalsRowShown="0" headerRowDxfId="3" dataDxfId="2">
  <autoFilter ref="A1:A14" xr:uid="{797B36F7-8403-4E2C-B5E7-93B5114474C3}"/>
  <tableColumns count="1">
    <tableColumn id="1" xr3:uid="{3B848617-23A9-48EA-8020-F0F56A0DCA9B}" name="VẬT LIỆU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19BA-F4F6-4348-BEF7-1027E41B2552}">
  <sheetPr>
    <pageSetUpPr fitToPage="1"/>
  </sheetPr>
  <dimension ref="A1:AB14"/>
  <sheetViews>
    <sheetView tabSelected="1" zoomScale="91" zoomScaleNormal="91" zoomScaleSheetLayoutView="91" workbookViewId="0">
      <pane ySplit="6" topLeftCell="A7" activePane="bottomLeft" state="frozen"/>
      <selection pane="bottomLeft" activeCell="E13" sqref="E13:H13"/>
    </sheetView>
  </sheetViews>
  <sheetFormatPr defaultColWidth="8.625" defaultRowHeight="15.75"/>
  <cols>
    <col min="1" max="1" width="5" style="4" customWidth="1"/>
    <col min="2" max="2" width="15.75" style="1" customWidth="1"/>
    <col min="3" max="3" width="11.75" style="1" customWidth="1"/>
    <col min="4" max="4" width="12.875" style="1" customWidth="1"/>
    <col min="5" max="5" width="3.375" style="1" customWidth="1"/>
    <col min="6" max="6" width="7.375" style="1" customWidth="1"/>
    <col min="7" max="8" width="5.625" style="1" customWidth="1"/>
    <col min="9" max="9" width="6.5" style="1" customWidth="1"/>
    <col min="10" max="17" width="5.625" style="1" customWidth="1"/>
    <col min="18" max="18" width="6.875" style="1" customWidth="1"/>
    <col min="19" max="20" width="6.625" style="1" customWidth="1"/>
    <col min="21" max="21" width="5.5" style="1" customWidth="1"/>
    <col min="22" max="22" width="6.875" style="1" customWidth="1"/>
    <col min="23" max="23" width="10.25" style="1" customWidth="1"/>
    <col min="24" max="26" width="8.625" style="1"/>
    <col min="27" max="27" width="9.75" style="1" bestFit="1" customWidth="1"/>
    <col min="28" max="16384" width="8.625" style="1"/>
  </cols>
  <sheetData>
    <row r="1" spans="1:28" ht="27" customHeight="1">
      <c r="A1" s="5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8" ht="35.25" customHeight="1">
      <c r="A2" s="46" t="s">
        <v>14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</row>
    <row r="3" spans="1:28" ht="21.75" customHeight="1">
      <c r="A3" s="6"/>
      <c r="B3" s="7" t="s">
        <v>12</v>
      </c>
      <c r="C3" s="24">
        <v>46223</v>
      </c>
      <c r="D3" s="6"/>
      <c r="E3" s="6"/>
      <c r="G3" s="5"/>
      <c r="H3" s="7"/>
      <c r="I3" s="5"/>
      <c r="J3" s="5"/>
      <c r="K3" s="5"/>
      <c r="L3" s="5"/>
      <c r="M3" s="5"/>
      <c r="N3" s="5"/>
      <c r="O3" s="5"/>
      <c r="P3" s="5"/>
      <c r="R3" s="6"/>
      <c r="S3" s="23" t="s">
        <v>55</v>
      </c>
      <c r="T3" s="22">
        <f>SUM(W6:W6)</f>
        <v>0</v>
      </c>
      <c r="U3" s="6"/>
      <c r="V3" s="5"/>
      <c r="W3" s="5"/>
    </row>
    <row r="4" spans="1:28" ht="18.75" customHeight="1">
      <c r="A4" s="49" t="s">
        <v>10</v>
      </c>
      <c r="B4" s="51" t="s">
        <v>20</v>
      </c>
      <c r="C4" s="51" t="s">
        <v>22</v>
      </c>
      <c r="D4" s="51" t="s">
        <v>11</v>
      </c>
      <c r="E4" s="57" t="s">
        <v>6</v>
      </c>
      <c r="F4" s="58"/>
      <c r="G4" s="53" t="s">
        <v>24</v>
      </c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5"/>
      <c r="AA4" s="1">
        <f>SUM(AA6:AA7)</f>
        <v>0</v>
      </c>
    </row>
    <row r="5" spans="1:28" ht="51.75" customHeight="1">
      <c r="A5" s="50"/>
      <c r="B5" s="52"/>
      <c r="C5" s="52"/>
      <c r="D5" s="52"/>
      <c r="E5" s="59"/>
      <c r="F5" s="60"/>
      <c r="G5" s="14" t="s">
        <v>7</v>
      </c>
      <c r="H5" s="13" t="s">
        <v>8</v>
      </c>
      <c r="I5" s="16" t="s">
        <v>36</v>
      </c>
      <c r="J5" s="15" t="s">
        <v>39</v>
      </c>
      <c r="K5" s="9" t="s">
        <v>2</v>
      </c>
      <c r="L5" s="9" t="s">
        <v>4</v>
      </c>
      <c r="M5" s="9" t="s">
        <v>0</v>
      </c>
      <c r="N5" s="9" t="s">
        <v>1</v>
      </c>
      <c r="O5" s="15" t="s">
        <v>38</v>
      </c>
      <c r="P5" s="15" t="s">
        <v>37</v>
      </c>
      <c r="Q5" s="13" t="s">
        <v>3</v>
      </c>
      <c r="R5" s="11" t="s">
        <v>25</v>
      </c>
      <c r="S5" s="15" t="s">
        <v>40</v>
      </c>
      <c r="T5" s="15" t="s">
        <v>41</v>
      </c>
      <c r="U5" s="15" t="s">
        <v>42</v>
      </c>
      <c r="V5" s="12" t="s">
        <v>9</v>
      </c>
      <c r="W5" s="10" t="s">
        <v>26</v>
      </c>
      <c r="Y5" s="19" t="s">
        <v>43</v>
      </c>
      <c r="Z5" s="19" t="s">
        <v>44</v>
      </c>
      <c r="AA5" s="19" t="s">
        <v>45</v>
      </c>
    </row>
    <row r="6" spans="1:28" ht="18.95" customHeight="1">
      <c r="A6" s="18">
        <f>ROW()-5</f>
        <v>1</v>
      </c>
      <c r="B6" s="3"/>
      <c r="C6" s="17"/>
      <c r="D6" s="2"/>
      <c r="E6" s="26" t="str" cm="1">
        <f t="array" ref="E6">IFERROR(INDEX('chất liệu'!$A$1:$A$14,MATCH(TRUE,ISNUMBER(SEARCH('chất liệu'!$A$1:$A$14,'ĐÚC P-029-06.01 A0)'!D6)),0)),"")</f>
        <v/>
      </c>
      <c r="F6" s="27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 t="str">
        <f t="shared" ref="W6" si="0">IF(SUM(G6:V6)=0," ",SUM(G6:V6))</f>
        <v xml:space="preserve"> </v>
      </c>
      <c r="Z6" s="1" t="str">
        <f t="shared" ref="Z6" si="1">IF(ISERROR(SEARCH("OM-06", C6))=FALSE, "ỐNG", IF(OR(LEFT(D6, 2)="DN", LEFT(D6, 3)="NPS", ISERROR(SEARCH("LADISH", C6))=FALSE), "VAN", "ỐNG"))</f>
        <v>ỐNG</v>
      </c>
      <c r="AA6" s="1" t="str">
        <f t="shared" ref="AA6" si="2">IFERROR(W6*Y6, "")</f>
        <v/>
      </c>
      <c r="AB6" s="1" t="str" cm="1">
        <f t="array" ref="AB6">IFERROR(INDEX('chất liệu'!$A$1:$A$14,MATCH(TRUE,ISNUMBER(SEARCH('chất liệu'!$A$1:$A$14,'ĐÚC P-029-06.01 A0)'!D6)),0)),"")</f>
        <v/>
      </c>
    </row>
    <row r="7" spans="1:28" ht="18.95" customHeight="1">
      <c r="A7" s="62" t="s">
        <v>56</v>
      </c>
      <c r="B7" s="63"/>
      <c r="C7" s="63"/>
      <c r="D7" s="63"/>
      <c r="E7" s="63"/>
      <c r="F7" s="64"/>
      <c r="G7" s="25" t="str">
        <f>IF(SUM(G6:G6)=0,"",SUM(G6:G6))</f>
        <v/>
      </c>
      <c r="H7" s="25" t="str">
        <f>IF(SUM(H6:H6)=0,"",SUM(H6:H6))</f>
        <v/>
      </c>
      <c r="I7" s="25" t="str">
        <f>IF(SUM(I6:I6)=0,"",SUM(I6:I6))</f>
        <v/>
      </c>
      <c r="J7" s="25" t="str">
        <f>IF(SUM(J6:J6)=0,"",SUM(J6:J6))</f>
        <v/>
      </c>
      <c r="K7" s="25" t="str">
        <f>IF(SUM(K6:K6)=0,"",SUM(K6:K6))</f>
        <v/>
      </c>
      <c r="L7" s="25" t="str">
        <f>IF(SUM(L6:L6)=0,"",SUM(L6:L6))</f>
        <v/>
      </c>
      <c r="M7" s="25" t="str">
        <f>IF(SUM(M6:M6)=0,"",SUM(M6:M6))</f>
        <v/>
      </c>
      <c r="N7" s="25" t="str">
        <f>IF(SUM(N6:N6)=0,"",SUM(N6:N6))</f>
        <v/>
      </c>
      <c r="O7" s="25" t="str">
        <f>IF(SUM(O6:O6)=0,"",SUM(O6:O6))</f>
        <v/>
      </c>
      <c r="P7" s="25" t="str">
        <f>IF(SUM(P6:P6)=0,"",SUM(P6:P6))</f>
        <v/>
      </c>
      <c r="Q7" s="25" t="str">
        <f>IF(SUM(Q6:Q6)=0,"",SUM(Q6:Q6))</f>
        <v/>
      </c>
      <c r="R7" s="25" t="str">
        <f>IF(SUM(R6:R6)=0,"",SUM(R6:R6))</f>
        <v/>
      </c>
      <c r="S7" s="25" t="str">
        <f>IF(SUM(S6:S6)=0,"",SUM(S6:S6))</f>
        <v/>
      </c>
      <c r="T7" s="25" t="str">
        <f>IF(SUM(T6:T6)=0,"",SUM(T6:T6))</f>
        <v/>
      </c>
      <c r="U7" s="25" t="str">
        <f>IF(SUM(U6:U6)=0,"",SUM(U6:U6))</f>
        <v/>
      </c>
      <c r="V7" s="25" t="str">
        <f>IF(SUM(V6:V6)=0,"",SUM(V6:V6))</f>
        <v/>
      </c>
      <c r="W7" s="20" t="str">
        <f>IF(SUM(W6:W6)=0,"",SUM(W6:W6))</f>
        <v/>
      </c>
    </row>
    <row r="8" spans="1:28" ht="36" customHeight="1">
      <c r="A8" s="47" t="s">
        <v>15</v>
      </c>
      <c r="B8" s="48"/>
      <c r="C8" s="47" t="s">
        <v>16</v>
      </c>
      <c r="D8" s="56"/>
      <c r="E8" s="56"/>
      <c r="F8" s="48"/>
      <c r="G8" s="56" t="s">
        <v>19</v>
      </c>
      <c r="H8" s="56"/>
      <c r="I8" s="56"/>
      <c r="J8" s="56"/>
      <c r="K8" s="56"/>
      <c r="L8" s="56"/>
      <c r="M8" s="56"/>
      <c r="N8" s="56"/>
      <c r="O8" s="56"/>
      <c r="P8" s="56"/>
      <c r="Q8" s="56"/>
      <c r="R8" s="48"/>
      <c r="S8" s="61" t="s">
        <v>27</v>
      </c>
      <c r="T8" s="61"/>
      <c r="U8" s="61"/>
      <c r="V8" s="61"/>
      <c r="W8" s="61"/>
    </row>
    <row r="9" spans="1:28" ht="18.75" customHeight="1">
      <c r="A9" s="28"/>
      <c r="B9" s="29"/>
      <c r="C9" s="8" t="s">
        <v>17</v>
      </c>
      <c r="D9" s="8" t="s">
        <v>18</v>
      </c>
      <c r="E9" s="66"/>
      <c r="F9" s="66"/>
      <c r="G9" s="44" t="s">
        <v>33</v>
      </c>
      <c r="H9" s="45"/>
      <c r="I9" s="67" t="s">
        <v>34</v>
      </c>
      <c r="J9" s="68"/>
      <c r="K9" s="44" t="s">
        <v>35</v>
      </c>
      <c r="L9" s="45"/>
      <c r="M9" s="40" t="s">
        <v>21</v>
      </c>
      <c r="N9" s="40"/>
      <c r="O9" s="66"/>
      <c r="P9" s="66"/>
      <c r="Q9" s="66"/>
      <c r="R9" s="66"/>
      <c r="S9" s="71">
        <f>SUM(C10:P10)</f>
        <v>0</v>
      </c>
      <c r="T9" s="71"/>
      <c r="U9" s="71"/>
      <c r="V9" s="71"/>
      <c r="W9" s="71"/>
    </row>
    <row r="10" spans="1:28" ht="21.75" customHeight="1">
      <c r="A10" s="30"/>
      <c r="B10" s="31"/>
      <c r="C10" s="21">
        <f>SUMIFS(AA6:AA7, AB6:AB7, "CF8M", Z6:Z7, "ỐNG")+SUMIFS(AA6:AA7, AB6:AB7, "316", Z6:Z7, "ỐNG")</f>
        <v>0</v>
      </c>
      <c r="D10" s="21">
        <f>SUMIFS(AA6:AA7, AB6:AB7, "CF8", Z6:Z7, "ỐNG")+SUMIFS(AA6:AA7, AB6:AB7, "304", Z6:Z7, "ỐNG")</f>
        <v>0</v>
      </c>
      <c r="E10" s="69">
        <f>SUMIFS(AA6:AA7, Z6:Z7, "ỐNG")-C10-D10</f>
        <v>0</v>
      </c>
      <c r="F10" s="70"/>
      <c r="G10" s="69">
        <f>SUMIFS(AA6:AA7, AB6:AB7, "CF8M", Z6:Z7, "VAN")</f>
        <v>0</v>
      </c>
      <c r="H10" s="70"/>
      <c r="I10" s="69">
        <f>SUMIFS(AA6:AA7, AB6:AB7, "CF8", Z6:Z7, "VAN")</f>
        <v>0</v>
      </c>
      <c r="J10" s="70"/>
      <c r="K10" s="69">
        <f>SUMIFS(AA6:AA7, AB6:AB7, "CF3M", Z6:Z7, "VAN")</f>
        <v>0</v>
      </c>
      <c r="L10" s="70"/>
      <c r="M10" s="69">
        <f>SUMIFS(AA6:AA7, AB6:AB7, "WCB", Z6:Z7, "VAN")</f>
        <v>0</v>
      </c>
      <c r="N10" s="70"/>
      <c r="O10" s="69">
        <f>SUMIFS(AA6:AA7, Z6:Z7, "VAN")-G10-I10-K10-M10</f>
        <v>0</v>
      </c>
      <c r="P10" s="70"/>
      <c r="Q10" s="72"/>
      <c r="R10" s="72"/>
      <c r="S10" s="71"/>
      <c r="T10" s="71"/>
      <c r="U10" s="71"/>
      <c r="V10" s="71"/>
      <c r="W10" s="71"/>
    </row>
    <row r="11" spans="1:28" ht="21" customHeight="1">
      <c r="A11" s="35" t="s">
        <v>28</v>
      </c>
      <c r="B11" s="35"/>
      <c r="C11" s="35" t="s">
        <v>30</v>
      </c>
      <c r="D11" s="35"/>
      <c r="E11" s="35" t="s">
        <v>29</v>
      </c>
      <c r="F11" s="35"/>
      <c r="G11" s="35"/>
      <c r="H11" s="35"/>
      <c r="I11" s="35" t="s">
        <v>31</v>
      </c>
      <c r="J11" s="35"/>
      <c r="K11" s="35"/>
      <c r="L11" s="35"/>
      <c r="M11" s="35"/>
      <c r="N11" s="35" t="s">
        <v>32</v>
      </c>
      <c r="O11" s="36"/>
      <c r="P11" s="36"/>
      <c r="Q11" s="36"/>
      <c r="R11" s="36"/>
      <c r="S11" s="41" t="s">
        <v>5</v>
      </c>
      <c r="T11" s="42"/>
      <c r="U11" s="42"/>
      <c r="V11" s="42"/>
      <c r="W11" s="43"/>
    </row>
    <row r="12" spans="1:28" ht="21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6"/>
      <c r="O12" s="36"/>
      <c r="P12" s="36"/>
      <c r="Q12" s="36"/>
      <c r="R12" s="36"/>
      <c r="S12" s="37"/>
      <c r="T12" s="38"/>
      <c r="U12" s="38"/>
      <c r="V12" s="38"/>
      <c r="W12" s="39"/>
    </row>
    <row r="13" spans="1:28" ht="47.25" customHeight="1">
      <c r="A13" s="40"/>
      <c r="B13" s="40"/>
      <c r="C13" s="40"/>
      <c r="D13" s="40"/>
      <c r="E13" s="40"/>
      <c r="F13" s="40"/>
      <c r="G13" s="40"/>
      <c r="H13" s="40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3" t="s">
        <v>23</v>
      </c>
      <c r="T13" s="33"/>
      <c r="U13" s="33"/>
      <c r="V13" s="33"/>
      <c r="W13" s="34"/>
    </row>
    <row r="14" spans="1:28">
      <c r="S14" s="65" t="s">
        <v>57</v>
      </c>
      <c r="T14" s="65"/>
      <c r="U14" s="65"/>
      <c r="V14" s="65"/>
      <c r="W14" s="65"/>
    </row>
  </sheetData>
  <autoFilter ref="A5:AB14" xr:uid="{125219BA-F4F6-4348-BEF7-1027E41B2552}">
    <filterColumn colId="4" showButton="0"/>
  </autoFilter>
  <mergeCells count="43">
    <mergeCell ref="S14:W14"/>
    <mergeCell ref="E9:F9"/>
    <mergeCell ref="G9:H9"/>
    <mergeCell ref="I9:J9"/>
    <mergeCell ref="E10:F10"/>
    <mergeCell ref="G10:H10"/>
    <mergeCell ref="I10:J10"/>
    <mergeCell ref="O9:P9"/>
    <mergeCell ref="Q9:R9"/>
    <mergeCell ref="S9:W10"/>
    <mergeCell ref="K10:L10"/>
    <mergeCell ref="M10:N10"/>
    <mergeCell ref="O10:P10"/>
    <mergeCell ref="Q10:R10"/>
    <mergeCell ref="A2:W2"/>
    <mergeCell ref="A8:B8"/>
    <mergeCell ref="A4:A5"/>
    <mergeCell ref="B4:B5"/>
    <mergeCell ref="C4:C5"/>
    <mergeCell ref="G4:W4"/>
    <mergeCell ref="D4:D5"/>
    <mergeCell ref="C8:F8"/>
    <mergeCell ref="G8:R8"/>
    <mergeCell ref="E4:F5"/>
    <mergeCell ref="S8:W8"/>
    <mergeCell ref="E6:F6"/>
    <mergeCell ref="A7:F7"/>
    <mergeCell ref="A9:B10"/>
    <mergeCell ref="N13:R13"/>
    <mergeCell ref="S13:W13"/>
    <mergeCell ref="A11:B12"/>
    <mergeCell ref="C11:D12"/>
    <mergeCell ref="E11:H12"/>
    <mergeCell ref="I11:M12"/>
    <mergeCell ref="N11:R12"/>
    <mergeCell ref="S12:W12"/>
    <mergeCell ref="A13:B13"/>
    <mergeCell ref="C13:D13"/>
    <mergeCell ref="E13:H13"/>
    <mergeCell ref="I13:M13"/>
    <mergeCell ref="S11:W11"/>
    <mergeCell ref="K9:L9"/>
    <mergeCell ref="M9:N9"/>
  </mergeCells>
  <conditionalFormatting sqref="AA4">
    <cfRule type="cellIs" dxfId="0" priority="1" operator="equal">
      <formula>$S$9</formula>
    </cfRule>
  </conditionalFormatting>
  <pageMargins left="0.31496062992125984" right="0" top="0.39370078740157483" bottom="0" header="0" footer="0"/>
  <pageSetup paperSize="9" scale="82"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320D-2C78-4A42-B459-00A0689DAB42}">
  <dimension ref="A1:A14"/>
  <sheetViews>
    <sheetView workbookViewId="0">
      <selection activeCell="A14" sqref="A14"/>
    </sheetView>
  </sheetViews>
  <sheetFormatPr defaultRowHeight="14.25"/>
  <cols>
    <col min="1" max="1" width="14.25" customWidth="1"/>
  </cols>
  <sheetData>
    <row r="1" spans="1:1" ht="15.75">
      <c r="A1" s="1" t="s">
        <v>46</v>
      </c>
    </row>
    <row r="2" spans="1:1" ht="15.75">
      <c r="A2" s="1" t="s">
        <v>35</v>
      </c>
    </row>
    <row r="3" spans="1:1" ht="15.75">
      <c r="A3" s="1" t="s">
        <v>47</v>
      </c>
    </row>
    <row r="4" spans="1:1" ht="15.75">
      <c r="A4" s="1" t="s">
        <v>21</v>
      </c>
    </row>
    <row r="5" spans="1:1" ht="15.75">
      <c r="A5" s="1" t="s">
        <v>48</v>
      </c>
    </row>
    <row r="6" spans="1:1" ht="15.75">
      <c r="A6" s="1" t="s">
        <v>49</v>
      </c>
    </row>
    <row r="7" spans="1:1" ht="15.75">
      <c r="A7" s="1" t="s">
        <v>50</v>
      </c>
    </row>
    <row r="8" spans="1:1" ht="15.75">
      <c r="A8" s="1" t="s">
        <v>51</v>
      </c>
    </row>
    <row r="9" spans="1:1" ht="15.75">
      <c r="A9" s="1" t="s">
        <v>52</v>
      </c>
    </row>
    <row r="10" spans="1:1" ht="15.75">
      <c r="A10" s="1" t="s">
        <v>53</v>
      </c>
    </row>
    <row r="11" spans="1:1" ht="15.75">
      <c r="A11" s="1" t="s">
        <v>54</v>
      </c>
    </row>
    <row r="12" spans="1:1" ht="15.75">
      <c r="A12" s="1" t="s">
        <v>34</v>
      </c>
    </row>
    <row r="13" spans="1:1" ht="15.75">
      <c r="A13" s="1">
        <v>316</v>
      </c>
    </row>
    <row r="14" spans="1:1" ht="15.75">
      <c r="A14" s="1">
        <v>304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ĐÚC P-029-06.01 A0)</vt:lpstr>
      <vt:lpstr>chất liệu</vt:lpstr>
      <vt:lpstr>'ĐÚC P-029-06.01 A0)'!Print_Area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2013-05-02T05:44:06Z</cp:lastPrinted>
  <dcterms:created xsi:type="dcterms:W3CDTF">1996-12-17T01:32:42Z</dcterms:created>
  <dcterms:modified xsi:type="dcterms:W3CDTF">2026-07-22T13:53:42Z</dcterms:modified>
</cp:coreProperties>
</file>