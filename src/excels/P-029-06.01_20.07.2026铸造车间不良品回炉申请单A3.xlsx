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24226"/>
  <xr:revisionPtr revIDLastSave="0" documentId="13_ncr:1_{0FB4AA4A-D6F3-43B2-8241-3A81872358D5}" xr6:coauthVersionLast="36" xr6:coauthVersionMax="47" xr10:uidLastSave="{00000000-0000-0000-0000-000000000000}"/>
  <bookViews>
    <workbookView xWindow="-120" yWindow="-120" windowWidth="29040" windowHeight="15720" tabRatio="530" xr2:uid="{FF3FD4B8-14B6-4378-8FF4-8519CEF95A47}"/>
  </bookViews>
  <sheets>
    <sheet name="ĐÚC P-029-06.01 A0)" sheetId="6" r:id="rId1"/>
    <sheet name="chất liệu" sheetId="7" r:id="rId2"/>
  </sheets>
  <definedNames>
    <definedName name="_xlnm._FilterDatabase" localSheetId="0" hidden="1">'ĐÚC P-029-06.01 A0)'!$A$5:$AB$47</definedName>
    <definedName name="_xlnm.Print_Area" localSheetId="0">'ĐÚC P-029-06.01 A0)'!$A$1:$W$47</definedName>
  </definedNames>
  <calcPr calcId="181029"/>
</workbook>
</file>

<file path=xl/calcChain.xml><?xml version="1.0" encoding="utf-8"?>
<calcChain xmlns="http://schemas.openxmlformats.org/spreadsheetml/2006/main">
  <c r="A38" i="6" l="1"/>
  <c r="E38" i="6" a="1"/>
  <c r="E38" i="6" s="1"/>
  <c r="W38" i="6"/>
  <c r="AA38" i="6" s="1"/>
  <c r="Z38" i="6"/>
  <c r="AB38" i="6" a="1"/>
  <c r="AB38" i="6" s="1"/>
  <c r="A39" i="6"/>
  <c r="E39" i="6" a="1"/>
  <c r="E39" i="6" s="1"/>
  <c r="W39" i="6"/>
  <c r="AA39" i="6" s="1"/>
  <c r="Z39" i="6"/>
  <c r="AB39" i="6" a="1"/>
  <c r="AB39" i="6" s="1"/>
  <c r="A36" i="6"/>
  <c r="E36" i="6" a="1"/>
  <c r="E36" i="6" s="1"/>
  <c r="W36" i="6"/>
  <c r="AA36" i="6" s="1"/>
  <c r="Z36" i="6"/>
  <c r="AB36" i="6" a="1"/>
  <c r="AB36" i="6"/>
  <c r="A30" i="6"/>
  <c r="E30" i="6" a="1"/>
  <c r="E30" i="6" s="1"/>
  <c r="W30" i="6"/>
  <c r="AA30" i="6" s="1"/>
  <c r="Z30" i="6"/>
  <c r="AB30" i="6" a="1"/>
  <c r="AB30" i="6"/>
  <c r="A31" i="6"/>
  <c r="E31" i="6" a="1"/>
  <c r="E31" i="6" s="1"/>
  <c r="W31" i="6"/>
  <c r="AA31" i="6" s="1"/>
  <c r="Z31" i="6"/>
  <c r="AB31" i="6" a="1"/>
  <c r="AB31" i="6" s="1"/>
  <c r="A32" i="6"/>
  <c r="E32" i="6" a="1"/>
  <c r="E32" i="6" s="1"/>
  <c r="W32" i="6"/>
  <c r="AA32" i="6" s="1"/>
  <c r="Z32" i="6"/>
  <c r="AB32" i="6" a="1"/>
  <c r="AB32" i="6"/>
  <c r="A33" i="6"/>
  <c r="E33" i="6" a="1"/>
  <c r="E33" i="6" s="1"/>
  <c r="W33" i="6"/>
  <c r="AA33" i="6" s="1"/>
  <c r="Z33" i="6"/>
  <c r="AB33" i="6" a="1"/>
  <c r="AB33" i="6" s="1"/>
  <c r="A26" i="6"/>
  <c r="E26" i="6" a="1"/>
  <c r="E26" i="6" s="1"/>
  <c r="W26" i="6"/>
  <c r="AA26" i="6" s="1"/>
  <c r="Z26" i="6"/>
  <c r="AB26" i="6" a="1"/>
  <c r="AB26" i="6" s="1"/>
  <c r="A27" i="6"/>
  <c r="E27" i="6" a="1"/>
  <c r="E27" i="6" s="1"/>
  <c r="W27" i="6"/>
  <c r="AA27" i="6" s="1"/>
  <c r="Z27" i="6"/>
  <c r="AB27" i="6" a="1"/>
  <c r="AB27" i="6" s="1"/>
  <c r="A19" i="6"/>
  <c r="E19" i="6" a="1"/>
  <c r="E19" i="6"/>
  <c r="W19" i="6"/>
  <c r="AA19" i="6" s="1"/>
  <c r="Z19" i="6"/>
  <c r="AB19" i="6" a="1"/>
  <c r="AB19" i="6" s="1"/>
  <c r="A20" i="6"/>
  <c r="E20" i="6" a="1"/>
  <c r="E20" i="6" s="1"/>
  <c r="W20" i="6"/>
  <c r="AA20" i="6" s="1"/>
  <c r="Z20" i="6"/>
  <c r="AB20" i="6" a="1"/>
  <c r="AB20" i="6" s="1"/>
  <c r="A15" i="6"/>
  <c r="E15" i="6" a="1"/>
  <c r="E15" i="6" s="1"/>
  <c r="W15" i="6"/>
  <c r="AA15" i="6" s="1"/>
  <c r="Z15" i="6"/>
  <c r="AB15" i="6" a="1"/>
  <c r="AB15" i="6" s="1"/>
  <c r="A12" i="6"/>
  <c r="E12" i="6" a="1"/>
  <c r="E12" i="6"/>
  <c r="W12" i="6"/>
  <c r="AA12" i="6" s="1"/>
  <c r="Z12" i="6"/>
  <c r="AB12" i="6" a="1"/>
  <c r="AB12" i="6"/>
  <c r="A13" i="6"/>
  <c r="E13" i="6" a="1"/>
  <c r="E13" i="6" s="1"/>
  <c r="W13" i="6"/>
  <c r="AA13" i="6" s="1"/>
  <c r="Z13" i="6"/>
  <c r="AB13" i="6" a="1"/>
  <c r="AB13" i="6" s="1"/>
  <c r="A9" i="6"/>
  <c r="E9" i="6" a="1"/>
  <c r="E9" i="6" s="1"/>
  <c r="W9" i="6"/>
  <c r="AA9" i="6" s="1"/>
  <c r="Z9" i="6"/>
  <c r="AB9" i="6" a="1"/>
  <c r="AB9" i="6"/>
  <c r="A10" i="6"/>
  <c r="E10" i="6" a="1"/>
  <c r="E10" i="6"/>
  <c r="W10" i="6"/>
  <c r="AA10" i="6" s="1"/>
  <c r="Z10" i="6"/>
  <c r="AB10" i="6" a="1"/>
  <c r="AB10" i="6"/>
  <c r="A6" i="6"/>
  <c r="E6" i="6" a="1"/>
  <c r="E6" i="6" s="1"/>
  <c r="W6" i="6"/>
  <c r="AA6" i="6" s="1"/>
  <c r="Z6" i="6"/>
  <c r="AB6" i="6" a="1"/>
  <c r="AB6" i="6" s="1"/>
  <c r="W11" i="6"/>
  <c r="AA11" i="6" s="1"/>
  <c r="W14" i="6"/>
  <c r="AA14" i="6" s="1"/>
  <c r="W16" i="6"/>
  <c r="AA16" i="6" s="1"/>
  <c r="W17" i="6"/>
  <c r="AA17" i="6" s="1"/>
  <c r="W18" i="6"/>
  <c r="AA18" i="6" s="1"/>
  <c r="W21" i="6"/>
  <c r="AA21" i="6" s="1"/>
  <c r="W22" i="6"/>
  <c r="AA22" i="6" s="1"/>
  <c r="W23" i="6"/>
  <c r="AA23" i="6" s="1"/>
  <c r="W24" i="6"/>
  <c r="AA24" i="6" s="1"/>
  <c r="W25" i="6"/>
  <c r="AA25" i="6" s="1"/>
  <c r="W28" i="6"/>
  <c r="AA28" i="6" s="1"/>
  <c r="W29" i="6"/>
  <c r="AA29" i="6" s="1"/>
  <c r="W34" i="6"/>
  <c r="AA34" i="6" s="1"/>
  <c r="W35" i="6"/>
  <c r="AA35" i="6" s="1"/>
  <c r="W37" i="6"/>
  <c r="AA37" i="6" s="1"/>
  <c r="W8" i="6"/>
  <c r="AA8" i="6" s="1"/>
  <c r="AB8" i="6" a="1"/>
  <c r="AB8" i="6" s="1"/>
  <c r="AB11" i="6" a="1"/>
  <c r="AB11" i="6" s="1"/>
  <c r="AB14" i="6" a="1"/>
  <c r="AB14" i="6" s="1"/>
  <c r="AB16" i="6" a="1"/>
  <c r="AB16" i="6" s="1"/>
  <c r="AB17" i="6" a="1"/>
  <c r="AB17" i="6" s="1"/>
  <c r="AB18" i="6" a="1"/>
  <c r="AB18" i="6" s="1"/>
  <c r="AB21" i="6" a="1"/>
  <c r="AB21" i="6" s="1"/>
  <c r="AB22" i="6" a="1"/>
  <c r="AB22" i="6" s="1"/>
  <c r="AB23" i="6" a="1"/>
  <c r="AB23" i="6" s="1"/>
  <c r="AB24" i="6" a="1"/>
  <c r="AB24" i="6" s="1"/>
  <c r="AB25" i="6" a="1"/>
  <c r="AB25" i="6" s="1"/>
  <c r="AB28" i="6" a="1"/>
  <c r="AB28" i="6" s="1"/>
  <c r="AB29" i="6" a="1"/>
  <c r="AB29" i="6" s="1"/>
  <c r="AB34" i="6" a="1"/>
  <c r="AB34" i="6" s="1"/>
  <c r="AB35" i="6" a="1"/>
  <c r="AB35" i="6" s="1"/>
  <c r="AB37" i="6" a="1"/>
  <c r="AB37" i="6" s="1"/>
  <c r="E8" i="6" a="1"/>
  <c r="E8" i="6" s="1"/>
  <c r="E11" i="6" a="1"/>
  <c r="E11" i="6" s="1"/>
  <c r="E14" i="6" a="1"/>
  <c r="E14" i="6" s="1"/>
  <c r="E16" i="6" a="1"/>
  <c r="E16" i="6" s="1"/>
  <c r="E17" i="6" a="1"/>
  <c r="E17" i="6" s="1"/>
  <c r="E18" i="6" a="1"/>
  <c r="E18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8" i="6" a="1"/>
  <c r="E28" i="6" s="1"/>
  <c r="E29" i="6" a="1"/>
  <c r="E29" i="6" s="1"/>
  <c r="E34" i="6" a="1"/>
  <c r="E34" i="6" s="1"/>
  <c r="E35" i="6" a="1"/>
  <c r="E35" i="6" s="1"/>
  <c r="E37" i="6" a="1"/>
  <c r="E37" i="6" s="1"/>
  <c r="A8" i="6"/>
  <c r="A11" i="6"/>
  <c r="A14" i="6"/>
  <c r="A16" i="6"/>
  <c r="A17" i="6"/>
  <c r="A18" i="6"/>
  <c r="A21" i="6"/>
  <c r="A22" i="6"/>
  <c r="A23" i="6"/>
  <c r="A24" i="6"/>
  <c r="A25" i="6"/>
  <c r="A28" i="6"/>
  <c r="A29" i="6"/>
  <c r="A34" i="6"/>
  <c r="A35" i="6"/>
  <c r="A37" i="6"/>
  <c r="W7" i="6"/>
  <c r="AA7" i="6" s="1"/>
  <c r="Z8" i="6"/>
  <c r="Z11" i="6"/>
  <c r="Z14" i="6"/>
  <c r="Z16" i="6"/>
  <c r="Z17" i="6"/>
  <c r="Z18" i="6"/>
  <c r="Z21" i="6"/>
  <c r="Z22" i="6"/>
  <c r="Z23" i="6"/>
  <c r="Z24" i="6"/>
  <c r="Z25" i="6"/>
  <c r="Z28" i="6"/>
  <c r="Z29" i="6"/>
  <c r="Z34" i="6"/>
  <c r="Z35" i="6"/>
  <c r="Z37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G40" i="6"/>
  <c r="Z7" i="6"/>
  <c r="AB7" i="6" a="1"/>
  <c r="AB7" i="6" s="1"/>
  <c r="E7" i="6" a="1"/>
  <c r="E7" i="6" s="1"/>
  <c r="W40" i="6" l="1"/>
  <c r="AA4" i="6"/>
  <c r="M43" i="6"/>
  <c r="T3" i="6"/>
  <c r="K43" i="6"/>
  <c r="I43" i="6"/>
  <c r="G43" i="6"/>
  <c r="D43" i="6"/>
  <c r="C43" i="6"/>
  <c r="E43" i="6" l="1"/>
  <c r="O43" i="6"/>
  <c r="A7" i="6"/>
  <c r="S42" i="6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<sst xmlns="http://schemas.openxmlformats.org/spreadsheetml/2006/main" count="61" uniqueCount="58">
  <si>
    <t>缩孔
Lủng lổ</t>
  </si>
  <si>
    <t>变形
Biến dạng</t>
  </si>
  <si>
    <t>砂孔
Lổ cát</t>
  </si>
  <si>
    <t>裂纹
Vết nứt</t>
  </si>
  <si>
    <t>气孔
Lổ khí</t>
  </si>
  <si>
    <t>制定Lập biểu</t>
  </si>
  <si>
    <t>材质
Chất liệu</t>
  </si>
  <si>
    <t>切伤
Cắt phạm</t>
  </si>
  <si>
    <t>磨伤
Mài phạm</t>
  </si>
  <si>
    <t>其他
Khác</t>
  </si>
  <si>
    <t>序号
STT</t>
  </si>
  <si>
    <t xml:space="preserve">产品 规格
Quy cách 
</t>
  </si>
  <si>
    <t>日期/Ngày：</t>
  </si>
  <si>
    <r>
      <t xml:space="preserve">
</t>
    </r>
    <r>
      <rPr>
        <sz val="13"/>
        <rFont val="Times New Roman"/>
        <family val="1"/>
      </rPr>
      <t xml:space="preserve">                                                    </t>
    </r>
    <r>
      <rPr>
        <b/>
        <sz val="13"/>
        <rFont val="Times New Roman"/>
        <family val="1"/>
      </rPr>
      <t xml:space="preserve">                                                       
                                                                                                                                                                                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 xml:space="preserve">                     </t>
    </r>
  </si>
  <si>
    <r>
      <t xml:space="preserve">铸造车间不良品回炉申请单
</t>
    </r>
    <r>
      <rPr>
        <b/>
        <sz val="12"/>
        <rFont val="Times New Roman"/>
        <family val="1"/>
      </rPr>
      <t>BÁO CÁO HÀNG KHÔNG ĐẠT TRẢ VỀ LÒ XƯỞNG ĐÚC</t>
    </r>
    <r>
      <rPr>
        <b/>
        <sz val="16"/>
        <rFont val="Times New Roman"/>
        <family val="1"/>
      </rPr>
      <t xml:space="preserve">    </t>
    </r>
  </si>
  <si>
    <t>备注Ghi chú</t>
  </si>
  <si>
    <t>管件报废重量（kg）
Trọng lượng báo phế hàng Ống</t>
  </si>
  <si>
    <t xml:space="preserve">CF8M (316) </t>
  </si>
  <si>
    <t xml:space="preserve">CF8 (304) </t>
  </si>
  <si>
    <t>阀门报废重量（kg）
Trọng lượng báo phế hàng Van</t>
  </si>
  <si>
    <t>工单
单号
Mã
công đơn</t>
  </si>
  <si>
    <t>WCB</t>
  </si>
  <si>
    <t>产品品名
Tên
Sản Phẩm</t>
  </si>
  <si>
    <t>QC确认</t>
  </si>
  <si>
    <t>不良原因 Nguyên nhân không đạt</t>
  </si>
  <si>
    <t>尺寸超差
Sai kích thước</t>
  </si>
  <si>
    <t>合计
（PCS）
Tổng cộng</t>
  </si>
  <si>
    <t>管件/阀门总重
Tổng trọng lượng ống và van</t>
  </si>
  <si>
    <t>厂长/副厂长
Xưởng trưởng/ Phó XT</t>
  </si>
  <si>
    <t>品保课长
Khoa trưởng chất lượng</t>
  </si>
  <si>
    <t>品保经理 
Giám đốc chất lượng</t>
  </si>
  <si>
    <t>铸造课长
Khoa trưởng đúc</t>
  </si>
  <si>
    <t>前后处理组长
Tổ trưởng trước sau xử lý</t>
  </si>
  <si>
    <t xml:space="preserve">CF8M </t>
  </si>
  <si>
    <t>CF8</t>
  </si>
  <si>
    <t>CF3M</t>
  </si>
  <si>
    <t>漏钢水
Xì hồ</t>
  </si>
  <si>
    <t>夹砂
Kẹp cát</t>
  </si>
  <si>
    <t>字损
Mất nét</t>
  </si>
  <si>
    <t>浇不足
Đúc thiếu</t>
  </si>
  <si>
    <t>夹铁
Kẹp sắt</t>
  </si>
  <si>
    <t>冷隔
lạnh ngắt</t>
  </si>
  <si>
    <t>渣孔
Lỗ xỉ</t>
  </si>
  <si>
    <t>Trọng lượng</t>
  </si>
  <si>
    <t>Loại</t>
  </si>
  <si>
    <t>Tổng trọng lượng</t>
  </si>
  <si>
    <t>VẬT LIỆU</t>
  </si>
  <si>
    <t>CF8M</t>
  </si>
  <si>
    <t>CW12MW</t>
  </si>
  <si>
    <t>CX2MW</t>
  </si>
  <si>
    <t>CD3MN</t>
  </si>
  <si>
    <t>CD3MWCuN</t>
  </si>
  <si>
    <t>CN7M</t>
  </si>
  <si>
    <t>LCC</t>
  </si>
  <si>
    <t>M35</t>
  </si>
  <si>
    <t>No:</t>
  </si>
  <si>
    <t>合计 Tổng</t>
  </si>
  <si>
    <t>P-029-06.01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</si>
</sst>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Kg&quot;"/>
    <numFmt numFmtId="165" formatCode="dd/mm/yyyy"/>
  </numFmts>
  <fonts count="15">
    <font>
      <sz val="12"/>
      <name val="宋体"/>
      <charset val="134"/>
    </font>
    <font>
      <sz val="12"/>
      <name val="宋体"/>
      <charset val="134"/>
    </font>
    <font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0"/>
      <color theme="1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0" borderId="0" xfId="0" applyFont="1"/>
    <xf numFmtId="0" fontId="4" fillId="0" borderId="11" xfId="0" applyFont="1" applyBorder="1" applyAlignment="1">
      <alignment horizontal="left" vertical="center" wrapText="1" shrinkToFit="1"/>
    </xf>
    <xf numFmtId="0" fontId="4" fillId="0" borderId="10" xfId="0" applyFont="1" applyBorder="1" applyAlignment="1">
      <alignment horizontal="left" vertical="center" wrapText="1" shrinkToFi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top" wrapText="1" shrinkToFit="1"/>
    </xf>
    <xf numFmtId="0" fontId="9" fillId="0" borderId="13" xfId="0" applyFont="1" applyBorder="1" applyAlignment="1">
      <alignment horizontal="center" vertical="top" wrapText="1" shrinkToFit="1"/>
    </xf>
    <xf numFmtId="0" fontId="9" fillId="0" borderId="15" xfId="1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 shrinkToFit="1"/>
    </xf>
    <xf numFmtId="0" fontId="9" fillId="0" borderId="13" xfId="1" applyFont="1" applyBorder="1" applyAlignment="1">
      <alignment horizontal="center" vertical="top" wrapText="1"/>
    </xf>
    <xf numFmtId="0" fontId="9" fillId="0" borderId="12" xfId="1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top" wrapText="1" shrinkToFit="1"/>
    </xf>
    <xf numFmtId="0" fontId="14" fillId="0" borderId="14" xfId="0" applyFont="1" applyBorder="1" applyAlignment="1">
      <alignment horizontal="center" vertical="top" wrapText="1" shrinkToFit="1"/>
    </xf>
    <xf numFmtId="0" fontId="4" fillId="0" borderId="2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shrinkToFit="1"/>
    </xf>
    <xf numFmtId="164" fontId="2" fillId="0" borderId="15" xfId="0" applyNumberFormat="1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right" vertical="center"/>
    </xf>
    <xf numFmtId="165" fontId="2" fillId="0" borderId="0" xfId="0" applyNumberFormat="1" applyFont="1" applyAlignment="1">
      <alignment horizontal="left" vertical="center"/>
    </xf>
    <xf numFmtId="0" fontId="3" fillId="0" borderId="6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horizontal="center" vertical="center" wrapText="1" shrinkToFi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3B761D84-E895-46D6-BBF8-90D302658284}"/>
  </cellStyles>
  <dxfs count="4"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544285</xdr:colOff>
      <xdr:row>0</xdr:row>
      <xdr:rowOff>52335</xdr:rowOff>
    </xdr:from>
    <xdr:to>
      <xdr:col>13</xdr:col>
      <xdr:colOff>18028</xdr:colOff>
      <xdr:row>0</xdr:row>
      <xdr:rowOff>299985</xdr:rowOff>
    </xdr:to>
    <xdr:pic>
      <xdr:nvPicPr>
        <xdr:cNvPr id="4" name="图片 2">
          <a:extLst>
            <a:ext uri="{FF2B5EF4-FFF2-40B4-BE49-F238E27FC236}">
              <a16:creationId xmlns:a16="http://schemas.microsoft.com/office/drawing/2014/main" id="{0ED24E2C-0821-4C28-8008-556535DD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7"/>
        <a:stretch>
          <a:fillRect/>
        </a:stretch>
      </xdr:blipFill>
      <xdr:spPr bwMode="auto">
        <a:xfrm>
          <a:off x="4270549" y="52335"/>
          <a:ext cx="3100962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B36F7-8403-4E2C-B5E7-93B5114474C3}" name="VATLIEU" displayName="VATLIEU" ref="A1:A14" totalsRowShown="0" headerRowDxfId="2" dataDxfId="1">
  <autoFilter ref="A1:A14" xr:uid="{797B36F7-8403-4E2C-B5E7-93B5114474C3}"/>
  <tableColumns count="1">
    <tableColumn id="1" xr3:uid="{3B848617-23A9-48EA-8020-F0F56A0DCA9B}" name="VẬT LIỆ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19BA-F4F6-4348-BEF7-1027E41B2552}">
  <sheetPr>
    <pageSetUpPr fitToPage="1"/>
  </sheetPr>
  <dimension ref="A1:AB47"/>
  <sheetViews>
    <sheetView tabSelected="1" zoomScale="91" zoomScaleNormal="91" zoomScaleSheetLayoutView="91" workbookViewId="0">
      <pane ySplit="6" topLeftCell="A19" activePane="bottomLeft" state="frozen"/>
      <selection pane="bottomLeft" activeCell="AA22" sqref="AA22:AB22"/>
    </sheetView>
  </sheetViews>
  <sheetFormatPr defaultColWidth="8.625" defaultRowHeight="15.75"/>
  <cols>
    <col min="1" max="1" width="5" style="4" customWidth="1"/>
    <col min="2" max="2" width="15.75" style="1" customWidth="1"/>
    <col min="3" max="3" width="11.75" style="1" customWidth="1"/>
    <col min="4" max="4" width="12.875" style="1" customWidth="1"/>
    <col min="5" max="5" width="3.375" style="1" customWidth="1"/>
    <col min="6" max="6" width="7.375" style="1" customWidth="1"/>
    <col min="7" max="8" width="5.625" style="1" customWidth="1"/>
    <col min="9" max="9" width="6.5" style="1" customWidth="1"/>
    <col min="10" max="17" width="5.625" style="1" customWidth="1"/>
    <col min="18" max="18" width="6.875" style="1" customWidth="1"/>
    <col min="19" max="20" width="6.625" style="1" customWidth="1"/>
    <col min="21" max="21" width="5.5" style="1" customWidth="1"/>
    <col min="22" max="22" width="6.875" style="1" customWidth="1"/>
    <col min="23" max="23" width="10.25" style="1" customWidth="1"/>
    <col min="24" max="26" width="8.625" style="1"/>
    <col min="27" max="27" width="9.75" style="1" bestFit="1" customWidth="1"/>
    <col min="28" max="16384" width="8.625" style="1"/>
  </cols>
  <sheetData>
    <row r="1" spans="1:28" ht="27" customHeight="1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8" ht="35.25" customHeight="1">
      <c r="A2" s="36" t="s">
        <v>14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8" ht="21.75" customHeight="1">
      <c r="A3" s="6"/>
      <c r="B3" s="7" t="s">
        <v>12</v>
      </c>
      <c r="C3" s="24">
        <v>46223</v>
      </c>
      <c r="D3" s="6"/>
      <c r="E3" s="6"/>
      <c r="G3" s="5"/>
      <c r="H3" s="7"/>
      <c r="I3" s="5"/>
      <c r="J3" s="5"/>
      <c r="K3" s="5"/>
      <c r="L3" s="5"/>
      <c r="M3" s="5"/>
      <c r="N3" s="5"/>
      <c r="O3" s="5"/>
      <c r="P3" s="5"/>
      <c r="R3" s="6"/>
      <c r="S3" s="23" t="s">
        <v>55</v>
      </c>
      <c r="T3" s="22">
        <f>SUM(W6:W39)</f>
        <v>0</v>
      </c>
      <c r="U3" s="6"/>
      <c r="V3" s="5"/>
      <c r="W3" s="5"/>
    </row>
    <row r="4" spans="1:28" ht="18.75" customHeight="1">
      <c r="A4" s="39" t="s">
        <v>10</v>
      </c>
      <c r="B4" s="41" t="s">
        <v>20</v>
      </c>
      <c r="C4" s="41" t="s">
        <v>22</v>
      </c>
      <c r="D4" s="41" t="s">
        <v>11</v>
      </c>
      <c r="E4" s="47" t="s">
        <v>6</v>
      </c>
      <c r="F4" s="48"/>
      <c r="G4" s="43" t="s">
        <v>24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5"/>
      <c r="AA4" s="1">
        <f>SUM(AA6:AA40)</f>
        <v>0</v>
      </c>
    </row>
    <row r="5" spans="1:28" ht="51.75" customHeight="1">
      <c r="A5" s="40"/>
      <c r="B5" s="42"/>
      <c r="C5" s="42"/>
      <c r="D5" s="42"/>
      <c r="E5" s="49"/>
      <c r="F5" s="50"/>
      <c r="G5" s="14" t="s">
        <v>7</v>
      </c>
      <c r="H5" s="13" t="s">
        <v>8</v>
      </c>
      <c r="I5" s="16" t="s">
        <v>36</v>
      </c>
      <c r="J5" s="15" t="s">
        <v>39</v>
      </c>
      <c r="K5" s="9" t="s">
        <v>2</v>
      </c>
      <c r="L5" s="9" t="s">
        <v>4</v>
      </c>
      <c r="M5" s="9" t="s">
        <v>0</v>
      </c>
      <c r="N5" s="9" t="s">
        <v>1</v>
      </c>
      <c r="O5" s="15" t="s">
        <v>38</v>
      </c>
      <c r="P5" s="15" t="s">
        <v>37</v>
      </c>
      <c r="Q5" s="13" t="s">
        <v>3</v>
      </c>
      <c r="R5" s="11" t="s">
        <v>25</v>
      </c>
      <c r="S5" s="15" t="s">
        <v>40</v>
      </c>
      <c r="T5" s="15" t="s">
        <v>41</v>
      </c>
      <c r="U5" s="15" t="s">
        <v>42</v>
      </c>
      <c r="V5" s="12" t="s">
        <v>9</v>
      </c>
      <c r="W5" s="10" t="s">
        <v>26</v>
      </c>
      <c r="Y5" s="19" t="s">
        <v>43</v>
      </c>
      <c r="Z5" s="19" t="s">
        <v>44</v>
      </c>
      <c r="AA5" s="19" t="s">
        <v>45</v>
      </c>
    </row>
    <row r="6" spans="1:28" ht="18.95" customHeight="1">
      <c r="A6" s="18">
        <f>ROW()-5</f>
        <v>1</v>
      </c>
      <c r="B6" s="3"/>
      <c r="C6" s="17"/>
      <c r="D6" s="2"/>
      <c r="E6" s="52" t="str" cm="1">
        <f t="array" ref="E6">IFERROR(INDEX('chất liệu'!$A$1:$A$14,MATCH(TRUE,ISNUMBER(SEARCH('chất liệu'!$A$1:$A$14,'ĐÚC P-029-06.01 A0)'!D6)),0)),"")</f>
        <v/>
      </c>
      <c r="F6" s="53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str">
        <f t="shared" ref="W6:W39" si="0">IF(SUM(G6:V6)=0," ",SUM(G6:V6))</f>
        <v xml:space="preserve"> </v>
      </c>
      <c r="Z6" s="1" t="str">
        <f t="shared" ref="Z6:Z39" si="1">IF(ISERROR(SEARCH("OM-06", C6))=FALSE, "ỐNG", IF(OR(LEFT(D6, 2)="DN", LEFT(D6, 3)="NPS", ISERROR(SEARCH("LADISH", C6))=FALSE), "VAN", "ỐNG"))</f>
        <v>ỐNG</v>
      </c>
      <c r="AA6" s="1" t="str">
        <f t="shared" ref="AA6:AA39" si="2">IFERROR(W6*Y6, "")</f>
        <v/>
      </c>
      <c r="AB6" s="1" t="str" cm="1">
        <f t="array" ref="AB6">IFERROR(INDEX('chất liệu'!$A$1:$A$14,MATCH(TRUE,ISNUMBER(SEARCH('chất liệu'!$A$1:$A$14,'ĐÚC P-029-06.01 A0)'!D6)),0)),"")</f>
        <v/>
      </c>
    </row>
    <row r="7" spans="1:28" ht="18.95" customHeight="1">
      <c r="A7" s="18">
        <f t="shared" ref="A7:A39" si="3">ROW()-5</f>
        <v>2</v>
      </c>
      <c r="B7" s="3"/>
      <c r="C7" s="17"/>
      <c r="D7" s="2"/>
      <c r="E7" s="52" t="str" cm="1">
        <f t="array" ref="E7">IFERROR(INDEX('chất liệu'!$A$1:$A$14,MATCH(TRUE,ISNUMBER(SEARCH('chất liệu'!$A$1:$A$14,'ĐÚC P-029-06.01 A0)'!D7)),0)),"")</f>
        <v/>
      </c>
      <c r="F7" s="53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 t="str">
        <f t="shared" si="0"/>
        <v xml:space="preserve"> </v>
      </c>
      <c r="Z7" s="1" t="str">
        <f t="shared" si="1"/>
        <v>ỐNG</v>
      </c>
      <c r="AA7" s="1" t="str">
        <f t="shared" si="2"/>
        <v/>
      </c>
      <c r="AB7" s="1" t="str" cm="1">
        <f t="array" ref="AB7">IFERROR(INDEX('chất liệu'!$A$1:$A$14,MATCH(TRUE,ISNUMBER(SEARCH('chất liệu'!$A$1:$A$14,'ĐÚC P-029-06.01 A0)'!D7)),0)),"")</f>
        <v/>
      </c>
    </row>
    <row r="8" spans="1:28" ht="18.95" customHeight="1">
      <c r="A8" s="18">
        <f t="shared" si="3"/>
        <v>3</v>
      </c>
      <c r="B8" s="3"/>
      <c r="C8" s="17"/>
      <c r="D8" s="2"/>
      <c r="E8" s="52" t="str" cm="1">
        <f t="array" ref="E8">IFERROR(INDEX('chất liệu'!$A$1:$A$14,MATCH(TRUE,ISNUMBER(SEARCH('chất liệu'!$A$1:$A$14,'ĐÚC P-029-06.01 A0)'!D8)),0)),"")</f>
        <v/>
      </c>
      <c r="F8" s="53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 t="str">
        <f t="shared" si="0"/>
        <v xml:space="preserve"> </v>
      </c>
      <c r="Z8" s="1" t="str">
        <f t="shared" si="1"/>
        <v>ỐNG</v>
      </c>
      <c r="AA8" s="1" t="str">
        <f t="shared" si="2"/>
        <v/>
      </c>
      <c r="AB8" s="1" t="str" cm="1">
        <f t="array" ref="AB8">IFERROR(INDEX('chất liệu'!$A$1:$A$14,MATCH(TRUE,ISNUMBER(SEARCH('chất liệu'!$A$1:$A$14,'ĐÚC P-029-06.01 A0)'!D8)),0)),"")</f>
        <v/>
      </c>
    </row>
    <row r="9" spans="1:28" ht="18.95" customHeight="1">
      <c r="A9" s="18">
        <f t="shared" si="3"/>
        <v>4</v>
      </c>
      <c r="B9" s="3"/>
      <c r="C9" s="17"/>
      <c r="D9" s="2"/>
      <c r="E9" s="52" t="str" cm="1">
        <f t="array" ref="E9">IFERROR(INDEX('chất liệu'!$A$1:$A$14,MATCH(TRUE,ISNUMBER(SEARCH('chất liệu'!$A$1:$A$14,'ĐÚC P-029-06.01 A0)'!D9)),0)),"")</f>
        <v/>
      </c>
      <c r="F9" s="53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 t="str">
        <f t="shared" si="0"/>
        <v xml:space="preserve"> </v>
      </c>
      <c r="Z9" s="1" t="str">
        <f t="shared" si="1"/>
        <v>ỐNG</v>
      </c>
      <c r="AA9" s="1" t="str">
        <f t="shared" si="2"/>
        <v/>
      </c>
      <c r="AB9" s="1" t="str" cm="1">
        <f t="array" ref="AB9">IFERROR(INDEX('chất liệu'!$A$1:$A$14,MATCH(TRUE,ISNUMBER(SEARCH('chất liệu'!$A$1:$A$14,'ĐÚC P-029-06.01 A0)'!D9)),0)),"")</f>
        <v/>
      </c>
    </row>
    <row r="10" spans="1:28" ht="18.95" customHeight="1">
      <c r="A10" s="18">
        <f t="shared" si="3"/>
        <v>5</v>
      </c>
      <c r="B10" s="3"/>
      <c r="C10" s="17"/>
      <c r="D10" s="2"/>
      <c r="E10" s="52" t="str" cm="1">
        <f t="array" ref="E10">IFERROR(INDEX('chất liệu'!$A$1:$A$14,MATCH(TRUE,ISNUMBER(SEARCH('chất liệu'!$A$1:$A$14,'ĐÚC P-029-06.01 A0)'!D10)),0)),"")</f>
        <v/>
      </c>
      <c r="F10" s="53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 t="str">
        <f t="shared" si="0"/>
        <v xml:space="preserve"> </v>
      </c>
      <c r="Z10" s="1" t="str">
        <f t="shared" si="1"/>
        <v>ỐNG</v>
      </c>
      <c r="AA10" s="1" t="str">
        <f t="shared" si="2"/>
        <v/>
      </c>
      <c r="AB10" s="1" t="str" cm="1">
        <f t="array" ref="AB10">IFERROR(INDEX('chất liệu'!$A$1:$A$14,MATCH(TRUE,ISNUMBER(SEARCH('chất liệu'!$A$1:$A$14,'ĐÚC P-029-06.01 A0)'!D10)),0)),"")</f>
        <v/>
      </c>
    </row>
    <row r="11" spans="1:28" ht="18.95" customHeight="1">
      <c r="A11" s="18">
        <f t="shared" si="3"/>
        <v>6</v>
      </c>
      <c r="B11" s="3"/>
      <c r="C11" s="17"/>
      <c r="D11" s="2"/>
      <c r="E11" s="52" t="str" cm="1">
        <f t="array" ref="E11">IFERROR(INDEX('chất liệu'!$A$1:$A$14,MATCH(TRUE,ISNUMBER(SEARCH('chất liệu'!$A$1:$A$14,'ĐÚC P-029-06.01 A0)'!D11)),0)),"")</f>
        <v/>
      </c>
      <c r="F11" s="53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 t="str">
        <f t="shared" si="0"/>
        <v xml:space="preserve"> </v>
      </c>
      <c r="Z11" s="1" t="str">
        <f t="shared" si="1"/>
        <v>ỐNG</v>
      </c>
      <c r="AA11" s="1" t="str">
        <f t="shared" si="2"/>
        <v/>
      </c>
      <c r="AB11" s="1" t="str" cm="1">
        <f t="array" ref="AB11">IFERROR(INDEX('chất liệu'!$A$1:$A$14,MATCH(TRUE,ISNUMBER(SEARCH('chất liệu'!$A$1:$A$14,'ĐÚC P-029-06.01 A0)'!D11)),0)),"")</f>
        <v/>
      </c>
    </row>
    <row r="12" spans="1:28" ht="18.95" customHeight="1">
      <c r="A12" s="18">
        <f t="shared" si="3"/>
        <v>7</v>
      </c>
      <c r="B12" s="3"/>
      <c r="C12" s="17"/>
      <c r="D12" s="2"/>
      <c r="E12" s="52" t="str" cm="1">
        <f t="array" ref="E12">IFERROR(INDEX('chất liệu'!$A$1:$A$14,MATCH(TRUE,ISNUMBER(SEARCH('chất liệu'!$A$1:$A$14,'ĐÚC P-029-06.01 A0)'!D12)),0)),"")</f>
        <v/>
      </c>
      <c r="F12" s="53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 t="str">
        <f t="shared" si="0"/>
        <v xml:space="preserve"> </v>
      </c>
      <c r="Z12" s="1" t="str">
        <f t="shared" si="1"/>
        <v>ỐNG</v>
      </c>
      <c r="AA12" s="1" t="str">
        <f t="shared" si="2"/>
        <v/>
      </c>
      <c r="AB12" s="1" t="str" cm="1">
        <f t="array" ref="AB12">IFERROR(INDEX('chất liệu'!$A$1:$A$14,MATCH(TRUE,ISNUMBER(SEARCH('chất liệu'!$A$1:$A$14,'ĐÚC P-029-06.01 A0)'!D12)),0)),"")</f>
        <v/>
      </c>
    </row>
    <row r="13" spans="1:28" ht="18.95" customHeight="1">
      <c r="A13" s="18">
        <f t="shared" si="3"/>
        <v>8</v>
      </c>
      <c r="B13" s="3"/>
      <c r="C13" s="17"/>
      <c r="D13" s="2"/>
      <c r="E13" s="52" t="str" cm="1">
        <f t="array" ref="E13">IFERROR(INDEX('chất liệu'!$A$1:$A$14,MATCH(TRUE,ISNUMBER(SEARCH('chất liệu'!$A$1:$A$14,'ĐÚC P-029-06.01 A0)'!D13)),0)),"")</f>
        <v/>
      </c>
      <c r="F13" s="53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 t="str">
        <f t="shared" si="0"/>
        <v xml:space="preserve"> </v>
      </c>
      <c r="Z13" s="1" t="str">
        <f t="shared" si="1"/>
        <v>ỐNG</v>
      </c>
      <c r="AA13" s="1" t="str">
        <f t="shared" si="2"/>
        <v/>
      </c>
      <c r="AB13" s="1" t="str" cm="1">
        <f t="array" ref="AB13">IFERROR(INDEX('chất liệu'!$A$1:$A$14,MATCH(TRUE,ISNUMBER(SEARCH('chất liệu'!$A$1:$A$14,'ĐÚC P-029-06.01 A0)'!D13)),0)),"")</f>
        <v/>
      </c>
    </row>
    <row r="14" spans="1:28" ht="18.95" customHeight="1">
      <c r="A14" s="18">
        <f t="shared" si="3"/>
        <v>9</v>
      </c>
      <c r="B14" s="3"/>
      <c r="C14" s="17"/>
      <c r="D14" s="2"/>
      <c r="E14" s="52" t="str" cm="1">
        <f t="array" ref="E14">IFERROR(INDEX('chất liệu'!$A$1:$A$14,MATCH(TRUE,ISNUMBER(SEARCH('chất liệu'!$A$1:$A$14,'ĐÚC P-029-06.01 A0)'!D14)),0)),"")</f>
        <v/>
      </c>
      <c r="F14" s="53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 t="str">
        <f t="shared" si="0"/>
        <v xml:space="preserve"> </v>
      </c>
      <c r="Z14" s="1" t="str">
        <f t="shared" si="1"/>
        <v>ỐNG</v>
      </c>
      <c r="AA14" s="1" t="str">
        <f t="shared" si="2"/>
        <v/>
      </c>
      <c r="AB14" s="1" t="str" cm="1">
        <f t="array" ref="AB14">IFERROR(INDEX('chất liệu'!$A$1:$A$14,MATCH(TRUE,ISNUMBER(SEARCH('chất liệu'!$A$1:$A$14,'ĐÚC P-029-06.01 A0)'!D14)),0)),"")</f>
        <v/>
      </c>
    </row>
    <row r="15" spans="1:28" ht="18.95" customHeight="1">
      <c r="A15" s="18">
        <f t="shared" si="3"/>
        <v>10</v>
      </c>
      <c r="B15" s="3"/>
      <c r="C15" s="17"/>
      <c r="D15" s="2"/>
      <c r="E15" s="52" t="str" cm="1">
        <f t="array" ref="E15">IFERROR(INDEX('chất liệu'!$A$1:$A$14,MATCH(TRUE,ISNUMBER(SEARCH('chất liệu'!$A$1:$A$14,'ĐÚC P-029-06.01 A0)'!D15)),0)),"")</f>
        <v/>
      </c>
      <c r="F15" s="53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 t="str">
        <f t="shared" si="0"/>
        <v xml:space="preserve"> </v>
      </c>
      <c r="Z15" s="1" t="str">
        <f t="shared" si="1"/>
        <v>ỐNG</v>
      </c>
      <c r="AA15" s="1" t="str">
        <f t="shared" si="2"/>
        <v/>
      </c>
      <c r="AB15" s="1" t="str" cm="1">
        <f t="array" ref="AB15">IFERROR(INDEX('chất liệu'!$A$1:$A$14,MATCH(TRUE,ISNUMBER(SEARCH('chất liệu'!$A$1:$A$14,'ĐÚC P-029-06.01 A0)'!D15)),0)),"")</f>
        <v/>
      </c>
    </row>
    <row r="16" spans="1:28" ht="18.95" customHeight="1">
      <c r="A16" s="18">
        <f t="shared" si="3"/>
        <v>11</v>
      </c>
      <c r="B16" s="3"/>
      <c r="C16" s="17"/>
      <c r="D16" s="2"/>
      <c r="E16" s="52" t="str" cm="1">
        <f t="array" ref="E16">IFERROR(INDEX('chất liệu'!$A$1:$A$14,MATCH(TRUE,ISNUMBER(SEARCH('chất liệu'!$A$1:$A$14,'ĐÚC P-029-06.01 A0)'!D16)),0)),"")</f>
        <v/>
      </c>
      <c r="F16" s="53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 t="str">
        <f t="shared" si="0"/>
        <v xml:space="preserve"> </v>
      </c>
      <c r="Z16" s="1" t="str">
        <f t="shared" si="1"/>
        <v>ỐNG</v>
      </c>
      <c r="AA16" s="1" t="str">
        <f t="shared" si="2"/>
        <v/>
      </c>
      <c r="AB16" s="1" t="str" cm="1">
        <f t="array" ref="AB16">IFERROR(INDEX('chất liệu'!$A$1:$A$14,MATCH(TRUE,ISNUMBER(SEARCH('chất liệu'!$A$1:$A$14,'ĐÚC P-029-06.01 A0)'!D16)),0)),"")</f>
        <v/>
      </c>
    </row>
    <row r="17" spans="1:28" ht="18.95" customHeight="1">
      <c r="A17" s="18">
        <f t="shared" si="3"/>
        <v>12</v>
      </c>
      <c r="B17" s="3"/>
      <c r="C17" s="17"/>
      <c r="D17" s="2"/>
      <c r="E17" s="52" t="str" cm="1">
        <f t="array" ref="E17">IFERROR(INDEX('chất liệu'!$A$1:$A$14,MATCH(TRUE,ISNUMBER(SEARCH('chất liệu'!$A$1:$A$14,'ĐÚC P-029-06.01 A0)'!D17)),0)),"")</f>
        <v/>
      </c>
      <c r="F17" s="53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 t="str">
        <f t="shared" si="0"/>
        <v xml:space="preserve"> </v>
      </c>
      <c r="Z17" s="1" t="str">
        <f t="shared" si="1"/>
        <v>ỐNG</v>
      </c>
      <c r="AA17" s="1" t="str">
        <f t="shared" si="2"/>
        <v/>
      </c>
      <c r="AB17" s="1" t="str" cm="1">
        <f t="array" ref="AB17">IFERROR(INDEX('chất liệu'!$A$1:$A$14,MATCH(TRUE,ISNUMBER(SEARCH('chất liệu'!$A$1:$A$14,'ĐÚC P-029-06.01 A0)'!D17)),0)),"")</f>
        <v/>
      </c>
    </row>
    <row r="18" spans="1:28" ht="18.95" customHeight="1">
      <c r="A18" s="18">
        <f t="shared" si="3"/>
        <v>13</v>
      </c>
      <c r="B18" s="3"/>
      <c r="C18" s="17"/>
      <c r="D18" s="2"/>
      <c r="E18" s="52" t="str" cm="1">
        <f t="array" ref="E18">IFERROR(INDEX('chất liệu'!$A$1:$A$14,MATCH(TRUE,ISNUMBER(SEARCH('chất liệu'!$A$1:$A$14,'ĐÚC P-029-06.01 A0)'!D18)),0)),"")</f>
        <v/>
      </c>
      <c r="F18" s="53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 t="str">
        <f t="shared" si="0"/>
        <v xml:space="preserve"> </v>
      </c>
      <c r="Z18" s="1" t="str">
        <f t="shared" si="1"/>
        <v>ỐNG</v>
      </c>
      <c r="AA18" s="1" t="str">
        <f t="shared" si="2"/>
        <v/>
      </c>
      <c r="AB18" s="1" t="str" cm="1">
        <f t="array" ref="AB18">IFERROR(INDEX('chất liệu'!$A$1:$A$14,MATCH(TRUE,ISNUMBER(SEARCH('chất liệu'!$A$1:$A$14,'ĐÚC P-029-06.01 A0)'!D18)),0)),"")</f>
        <v/>
      </c>
    </row>
    <row r="19" spans="1:28" ht="18.95" customHeight="1">
      <c r="A19" s="18">
        <f t="shared" si="3"/>
        <v>14</v>
      </c>
      <c r="B19" s="3"/>
      <c r="C19" s="17"/>
      <c r="D19" s="2"/>
      <c r="E19" s="52" t="str" cm="1">
        <f t="array" ref="E19">IFERROR(INDEX('chất liệu'!$A$1:$A$14,MATCH(TRUE,ISNUMBER(SEARCH('chất liệu'!$A$1:$A$14,'ĐÚC P-029-06.01 A0)'!D19)),0)),"")</f>
        <v/>
      </c>
      <c r="F19" s="53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 t="str">
        <f t="shared" si="0"/>
        <v xml:space="preserve"> </v>
      </c>
      <c r="Z19" s="1" t="str">
        <f t="shared" si="1"/>
        <v>ỐNG</v>
      </c>
      <c r="AA19" s="1" t="str">
        <f t="shared" si="2"/>
        <v/>
      </c>
      <c r="AB19" s="1" t="str" cm="1">
        <f t="array" ref="AB19">IFERROR(INDEX('chất liệu'!$A$1:$A$14,MATCH(TRUE,ISNUMBER(SEARCH('chất liệu'!$A$1:$A$14,'ĐÚC P-029-06.01 A0)'!D19)),0)),"")</f>
        <v/>
      </c>
    </row>
    <row r="20" spans="1:28" ht="18.95" customHeight="1">
      <c r="A20" s="18">
        <f t="shared" si="3"/>
        <v>15</v>
      </c>
      <c r="B20" s="3"/>
      <c r="C20" s="17"/>
      <c r="D20" s="2"/>
      <c r="E20" s="52" t="str" cm="1">
        <f t="array" ref="E20">IFERROR(INDEX('chất liệu'!$A$1:$A$14,MATCH(TRUE,ISNUMBER(SEARCH('chất liệu'!$A$1:$A$14,'ĐÚC P-029-06.01 A0)'!D20)),0)),"")</f>
        <v/>
      </c>
      <c r="F20" s="53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 t="str">
        <f t="shared" si="0"/>
        <v xml:space="preserve"> </v>
      </c>
      <c r="Z20" s="1" t="str">
        <f t="shared" si="1"/>
        <v>ỐNG</v>
      </c>
      <c r="AA20" s="1" t="str">
        <f t="shared" si="2"/>
        <v/>
      </c>
      <c r="AB20" s="1" t="str" cm="1">
        <f t="array" ref="AB20">IFERROR(INDEX('chất liệu'!$A$1:$A$14,MATCH(TRUE,ISNUMBER(SEARCH('chất liệu'!$A$1:$A$14,'ĐÚC P-029-06.01 A0)'!D20)),0)),"")</f>
        <v/>
      </c>
    </row>
    <row r="21" spans="1:28" ht="18.95" customHeight="1">
      <c r="A21" s="18">
        <f t="shared" si="3"/>
        <v>16</v>
      </c>
      <c r="B21" s="3"/>
      <c r="C21" s="17"/>
      <c r="D21" s="2"/>
      <c r="E21" s="52" t="str" cm="1">
        <f t="array" ref="E21">IFERROR(INDEX('chất liệu'!$A$1:$A$14,MATCH(TRUE,ISNUMBER(SEARCH('chất liệu'!$A$1:$A$14,'ĐÚC P-029-06.01 A0)'!D21)),0)),"")</f>
        <v/>
      </c>
      <c r="F21" s="53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 t="str">
        <f t="shared" si="0"/>
        <v xml:space="preserve"> </v>
      </c>
      <c r="Z21" s="1" t="str">
        <f t="shared" si="1"/>
        <v>ỐNG</v>
      </c>
      <c r="AA21" s="1" t="str">
        <f t="shared" si="2"/>
        <v/>
      </c>
      <c r="AB21" s="1" t="str" cm="1">
        <f t="array" ref="AB21">IFERROR(INDEX('chất liệu'!$A$1:$A$14,MATCH(TRUE,ISNUMBER(SEARCH('chất liệu'!$A$1:$A$14,'ĐÚC P-029-06.01 A0)'!D21)),0)),"")</f>
        <v/>
      </c>
    </row>
    <row r="22" spans="1:28" ht="18.95" customHeight="1">
      <c r="A22" s="18">
        <f t="shared" si="3"/>
        <v>17</v>
      </c>
      <c r="B22" s="3"/>
      <c r="C22" s="17"/>
      <c r="D22" s="2"/>
      <c r="E22" s="52" t="str" cm="1">
        <f t="array" ref="E22">IFERROR(INDEX('chất liệu'!$A$1:$A$14,MATCH(TRUE,ISNUMBER(SEARCH('chất liệu'!$A$1:$A$14,'ĐÚC P-029-06.01 A0)'!D22)),0)),"")</f>
        <v/>
      </c>
      <c r="F22" s="53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 t="str">
        <f t="shared" si="0"/>
        <v xml:space="preserve"> </v>
      </c>
      <c r="Z22" s="1" t="str">
        <f t="shared" si="1"/>
        <v>ỐNG</v>
      </c>
      <c r="AA22" s="1" t="str">
        <f t="shared" si="2"/>
        <v/>
      </c>
      <c r="AB22" s="1" t="str" cm="1">
        <f t="array" ref="AB22">IFERROR(INDEX('chất liệu'!$A$1:$A$14,MATCH(TRUE,ISNUMBER(SEARCH('chất liệu'!$A$1:$A$14,'ĐÚC P-029-06.01 A0)'!D22)),0)),"")</f>
        <v/>
      </c>
    </row>
    <row r="23" spans="1:28" ht="18.95" customHeight="1">
      <c r="A23" s="18">
        <f t="shared" si="3"/>
        <v>18</v>
      </c>
      <c r="B23" s="3"/>
      <c r="C23" s="17"/>
      <c r="D23" s="2"/>
      <c r="E23" s="52" t="str" cm="1">
        <f t="array" ref="E23">IFERROR(INDEX('chất liệu'!$A$1:$A$14,MATCH(TRUE,ISNUMBER(SEARCH('chất liệu'!$A$1:$A$14,'ĐÚC P-029-06.01 A0)'!D23)),0)),"")</f>
        <v/>
      </c>
      <c r="F23" s="53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 t="str">
        <f t="shared" si="0"/>
        <v xml:space="preserve"> </v>
      </c>
      <c r="Z23" s="1" t="str">
        <f t="shared" si="1"/>
        <v>ỐNG</v>
      </c>
      <c r="AA23" s="1" t="str">
        <f t="shared" si="2"/>
        <v/>
      </c>
      <c r="AB23" s="1" t="str" cm="1">
        <f t="array" ref="AB23">IFERROR(INDEX('chất liệu'!$A$1:$A$14,MATCH(TRUE,ISNUMBER(SEARCH('chất liệu'!$A$1:$A$14,'ĐÚC P-029-06.01 A0)'!D23)),0)),"")</f>
        <v/>
      </c>
    </row>
    <row r="24" spans="1:28" ht="18.95" customHeight="1">
      <c r="A24" s="18">
        <f t="shared" si="3"/>
        <v>19</v>
      </c>
      <c r="B24" s="3"/>
      <c r="C24" s="17"/>
      <c r="D24" s="2"/>
      <c r="E24" s="52" t="str" cm="1">
        <f t="array" ref="E24">IFERROR(INDEX('chất liệu'!$A$1:$A$14,MATCH(TRUE,ISNUMBER(SEARCH('chất liệu'!$A$1:$A$14,'ĐÚC P-029-06.01 A0)'!D24)),0)),"")</f>
        <v/>
      </c>
      <c r="F24" s="53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 t="str">
        <f t="shared" si="0"/>
        <v xml:space="preserve"> </v>
      </c>
      <c r="Z24" s="1" t="str">
        <f t="shared" si="1"/>
        <v>ỐNG</v>
      </c>
      <c r="AA24" s="1" t="str">
        <f t="shared" si="2"/>
        <v/>
      </c>
      <c r="AB24" s="1" t="str" cm="1">
        <f t="array" ref="AB24">IFERROR(INDEX('chất liệu'!$A$1:$A$14,MATCH(TRUE,ISNUMBER(SEARCH('chất liệu'!$A$1:$A$14,'ĐÚC P-029-06.01 A0)'!D24)),0)),"")</f>
        <v/>
      </c>
    </row>
    <row r="25" spans="1:28" ht="18.95" customHeight="1">
      <c r="A25" s="18">
        <f t="shared" si="3"/>
        <v>20</v>
      </c>
      <c r="B25" s="3"/>
      <c r="C25" s="17"/>
      <c r="D25" s="2"/>
      <c r="E25" s="52" t="str" cm="1">
        <f t="array" ref="E25">IFERROR(INDEX('chất liệu'!$A$1:$A$14,MATCH(TRUE,ISNUMBER(SEARCH('chất liệu'!$A$1:$A$14,'ĐÚC P-029-06.01 A0)'!D25)),0)),"")</f>
        <v/>
      </c>
      <c r="F25" s="53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 t="str">
        <f t="shared" si="0"/>
        <v xml:space="preserve"> </v>
      </c>
      <c r="Z25" s="1" t="str">
        <f t="shared" si="1"/>
        <v>ỐNG</v>
      </c>
      <c r="AA25" s="1" t="str">
        <f t="shared" si="2"/>
        <v/>
      </c>
      <c r="AB25" s="1" t="str" cm="1">
        <f t="array" ref="AB25">IFERROR(INDEX('chất liệu'!$A$1:$A$14,MATCH(TRUE,ISNUMBER(SEARCH('chất liệu'!$A$1:$A$14,'ĐÚC P-029-06.01 A0)'!D25)),0)),"")</f>
        <v/>
      </c>
    </row>
    <row r="26" spans="1:28" ht="18.95" customHeight="1">
      <c r="A26" s="18">
        <f t="shared" si="3"/>
        <v>21</v>
      </c>
      <c r="B26" s="3"/>
      <c r="C26" s="17"/>
      <c r="D26" s="2"/>
      <c r="E26" s="52" t="str" cm="1">
        <f t="array" ref="E26">IFERROR(INDEX('chất liệu'!$A$1:$A$14,MATCH(TRUE,ISNUMBER(SEARCH('chất liệu'!$A$1:$A$14,'ĐÚC P-029-06.01 A0)'!D26)),0)),"")</f>
        <v/>
      </c>
      <c r="F26" s="53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 t="str">
        <f t="shared" si="0"/>
        <v xml:space="preserve"> </v>
      </c>
      <c r="Z26" s="1" t="str">
        <f t="shared" si="1"/>
        <v>ỐNG</v>
      </c>
      <c r="AA26" s="1" t="str">
        <f t="shared" si="2"/>
        <v/>
      </c>
      <c r="AB26" s="1" t="str" cm="1">
        <f t="array" ref="AB26">IFERROR(INDEX('chất liệu'!$A$1:$A$14,MATCH(TRUE,ISNUMBER(SEARCH('chất liệu'!$A$1:$A$14,'ĐÚC P-029-06.01 A0)'!D26)),0)),"")</f>
        <v/>
      </c>
    </row>
    <row r="27" spans="1:28" ht="18.95" customHeight="1">
      <c r="A27" s="18">
        <f t="shared" si="3"/>
        <v>22</v>
      </c>
      <c r="B27" s="3"/>
      <c r="C27" s="17"/>
      <c r="D27" s="2"/>
      <c r="E27" s="52" t="str" cm="1">
        <f t="array" ref="E27">IFERROR(INDEX('chất liệu'!$A$1:$A$14,MATCH(TRUE,ISNUMBER(SEARCH('chất liệu'!$A$1:$A$14,'ĐÚC P-029-06.01 A0)'!D27)),0)),"")</f>
        <v/>
      </c>
      <c r="F27" s="53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 t="str">
        <f t="shared" si="0"/>
        <v xml:space="preserve"> </v>
      </c>
      <c r="Z27" s="1" t="str">
        <f t="shared" si="1"/>
        <v>ỐNG</v>
      </c>
      <c r="AA27" s="1" t="str">
        <f t="shared" si="2"/>
        <v/>
      </c>
      <c r="AB27" s="1" t="str" cm="1">
        <f t="array" ref="AB27">IFERROR(INDEX('chất liệu'!$A$1:$A$14,MATCH(TRUE,ISNUMBER(SEARCH('chất liệu'!$A$1:$A$14,'ĐÚC P-029-06.01 A0)'!D27)),0)),"")</f>
        <v/>
      </c>
    </row>
    <row r="28" spans="1:28" ht="18.95" customHeight="1">
      <c r="A28" s="18">
        <f t="shared" si="3"/>
        <v>23</v>
      </c>
      <c r="B28" s="3"/>
      <c r="C28" s="17"/>
      <c r="D28" s="2"/>
      <c r="E28" s="52" t="str" cm="1">
        <f t="array" ref="E28">IFERROR(INDEX('chất liệu'!$A$1:$A$14,MATCH(TRUE,ISNUMBER(SEARCH('chất liệu'!$A$1:$A$14,'ĐÚC P-029-06.01 A0)'!D28)),0)),"")</f>
        <v/>
      </c>
      <c r="F28" s="53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 t="str">
        <f t="shared" si="0"/>
        <v xml:space="preserve"> </v>
      </c>
      <c r="Z28" s="1" t="str">
        <f t="shared" si="1"/>
        <v>ỐNG</v>
      </c>
      <c r="AA28" s="1" t="str">
        <f t="shared" si="2"/>
        <v/>
      </c>
      <c r="AB28" s="1" t="str" cm="1">
        <f t="array" ref="AB28">IFERROR(INDEX('chất liệu'!$A$1:$A$14,MATCH(TRUE,ISNUMBER(SEARCH('chất liệu'!$A$1:$A$14,'ĐÚC P-029-06.01 A0)'!D28)),0)),"")</f>
        <v/>
      </c>
    </row>
    <row r="29" spans="1:28" ht="18.95" customHeight="1">
      <c r="A29" s="18">
        <f t="shared" si="3"/>
        <v>24</v>
      </c>
      <c r="B29" s="3"/>
      <c r="C29" s="17"/>
      <c r="D29" s="2"/>
      <c r="E29" s="52" t="str" cm="1">
        <f t="array" ref="E29">IFERROR(INDEX('chất liệu'!$A$1:$A$14,MATCH(TRUE,ISNUMBER(SEARCH('chất liệu'!$A$1:$A$14,'ĐÚC P-029-06.01 A0)'!D29)),0)),"")</f>
        <v/>
      </c>
      <c r="F29" s="53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 t="str">
        <f t="shared" si="0"/>
        <v xml:space="preserve"> </v>
      </c>
      <c r="Z29" s="1" t="str">
        <f t="shared" si="1"/>
        <v>ỐNG</v>
      </c>
      <c r="AA29" s="1" t="str">
        <f t="shared" si="2"/>
        <v/>
      </c>
      <c r="AB29" s="1" t="str" cm="1">
        <f t="array" ref="AB29">IFERROR(INDEX('chất liệu'!$A$1:$A$14,MATCH(TRUE,ISNUMBER(SEARCH('chất liệu'!$A$1:$A$14,'ĐÚC P-029-06.01 A0)'!D29)),0)),"")</f>
        <v/>
      </c>
    </row>
    <row r="30" spans="1:28" ht="18.95" customHeight="1">
      <c r="A30" s="18">
        <f t="shared" si="3"/>
        <v>25</v>
      </c>
      <c r="B30" s="3"/>
      <c r="C30" s="17"/>
      <c r="D30" s="2"/>
      <c r="E30" s="52" t="str" cm="1">
        <f t="array" ref="E30">IFERROR(INDEX('chất liệu'!$A$1:$A$14,MATCH(TRUE,ISNUMBER(SEARCH('chất liệu'!$A$1:$A$14,'ĐÚC P-029-06.01 A0)'!D30)),0)),"")</f>
        <v/>
      </c>
      <c r="F30" s="53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 t="str">
        <f t="shared" si="0"/>
        <v xml:space="preserve"> </v>
      </c>
      <c r="Z30" s="1" t="str">
        <f t="shared" si="1"/>
        <v>ỐNG</v>
      </c>
      <c r="AA30" s="1" t="str">
        <f t="shared" si="2"/>
        <v/>
      </c>
      <c r="AB30" s="1" t="str" cm="1">
        <f t="array" ref="AB30">IFERROR(INDEX('chất liệu'!$A$1:$A$14,MATCH(TRUE,ISNUMBER(SEARCH('chất liệu'!$A$1:$A$14,'ĐÚC P-029-06.01 A0)'!D30)),0)),"")</f>
        <v/>
      </c>
    </row>
    <row r="31" spans="1:28" ht="18.95" customHeight="1">
      <c r="A31" s="18">
        <f t="shared" si="3"/>
        <v>26</v>
      </c>
      <c r="B31" s="3"/>
      <c r="C31" s="17"/>
      <c r="D31" s="2"/>
      <c r="E31" s="52" t="str" cm="1">
        <f t="array" ref="E31">IFERROR(INDEX('chất liệu'!$A$1:$A$14,MATCH(TRUE,ISNUMBER(SEARCH('chất liệu'!$A$1:$A$14,'ĐÚC P-029-06.01 A0)'!D31)),0)),"")</f>
        <v/>
      </c>
      <c r="F31" s="53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 t="str">
        <f t="shared" si="0"/>
        <v xml:space="preserve"> </v>
      </c>
      <c r="Z31" s="1" t="str">
        <f t="shared" si="1"/>
        <v>ỐNG</v>
      </c>
      <c r="AA31" s="1" t="str">
        <f t="shared" si="2"/>
        <v/>
      </c>
      <c r="AB31" s="1" t="str" cm="1">
        <f t="array" ref="AB31">IFERROR(INDEX('chất liệu'!$A$1:$A$14,MATCH(TRUE,ISNUMBER(SEARCH('chất liệu'!$A$1:$A$14,'ĐÚC P-029-06.01 A0)'!D31)),0)),"")</f>
        <v/>
      </c>
    </row>
    <row r="32" spans="1:28" ht="18.95" customHeight="1">
      <c r="A32" s="18">
        <f t="shared" si="3"/>
        <v>27</v>
      </c>
      <c r="B32" s="3"/>
      <c r="C32" s="17"/>
      <c r="D32" s="2"/>
      <c r="E32" s="52" t="str" cm="1">
        <f t="array" ref="E32">IFERROR(INDEX('chất liệu'!$A$1:$A$14,MATCH(TRUE,ISNUMBER(SEARCH('chất liệu'!$A$1:$A$14,'ĐÚC P-029-06.01 A0)'!D32)),0)),"")</f>
        <v/>
      </c>
      <c r="F32" s="53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 t="str">
        <f t="shared" si="0"/>
        <v xml:space="preserve"> </v>
      </c>
      <c r="Z32" s="1" t="str">
        <f t="shared" si="1"/>
        <v>ỐNG</v>
      </c>
      <c r="AA32" s="1" t="str">
        <f t="shared" si="2"/>
        <v/>
      </c>
      <c r="AB32" s="1" t="str" cm="1">
        <f t="array" ref="AB32">IFERROR(INDEX('chất liệu'!$A$1:$A$14,MATCH(TRUE,ISNUMBER(SEARCH('chất liệu'!$A$1:$A$14,'ĐÚC P-029-06.01 A0)'!D32)),0)),"")</f>
        <v/>
      </c>
    </row>
    <row r="33" spans="1:28" ht="18.95" customHeight="1">
      <c r="A33" s="18">
        <f t="shared" si="3"/>
        <v>28</v>
      </c>
      <c r="B33" s="3"/>
      <c r="C33" s="17"/>
      <c r="D33" s="2"/>
      <c r="E33" s="52" t="str" cm="1">
        <f t="array" ref="E33">IFERROR(INDEX('chất liệu'!$A$1:$A$14,MATCH(TRUE,ISNUMBER(SEARCH('chất liệu'!$A$1:$A$14,'ĐÚC P-029-06.01 A0)'!D33)),0)),"")</f>
        <v/>
      </c>
      <c r="F33" s="5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 t="str">
        <f t="shared" si="0"/>
        <v xml:space="preserve"> </v>
      </c>
      <c r="X33" s="1">
        <v>3</v>
      </c>
      <c r="Y33" s="1">
        <v>8.8999999999999996E-2</v>
      </c>
      <c r="Z33" s="1" t="str">
        <f t="shared" si="1"/>
        <v>ỐNG</v>
      </c>
      <c r="AA33" s="1" t="str">
        <f t="shared" si="2"/>
        <v/>
      </c>
      <c r="AB33" s="1" t="str" cm="1">
        <f t="array" ref="AB33">IFERROR(INDEX('chất liệu'!$A$1:$A$14,MATCH(TRUE,ISNUMBER(SEARCH('chất liệu'!$A$1:$A$14,'ĐÚC P-029-06.01 A0)'!D33)),0)),"")</f>
        <v/>
      </c>
    </row>
    <row r="34" spans="1:28" ht="18.95" customHeight="1">
      <c r="A34" s="18">
        <f t="shared" si="3"/>
        <v>29</v>
      </c>
      <c r="B34" s="3"/>
      <c r="C34" s="17"/>
      <c r="D34" s="2"/>
      <c r="E34" s="52" t="str" cm="1">
        <f t="array" ref="E34">IFERROR(INDEX('chất liệu'!$A$1:$A$14,MATCH(TRUE,ISNUMBER(SEARCH('chất liệu'!$A$1:$A$14,'ĐÚC P-029-06.01 A0)'!D34)),0)),"")</f>
        <v/>
      </c>
      <c r="F34" s="53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 t="str">
        <f t="shared" si="0"/>
        <v xml:space="preserve"> </v>
      </c>
      <c r="X34" s="1">
        <v>6</v>
      </c>
      <c r="Y34" s="1">
        <v>1.032</v>
      </c>
      <c r="Z34" s="1" t="str">
        <f t="shared" si="1"/>
        <v>ỐNG</v>
      </c>
      <c r="AA34" s="1" t="str">
        <f t="shared" si="2"/>
        <v/>
      </c>
      <c r="AB34" s="1" t="str" cm="1">
        <f t="array" ref="AB34">IFERROR(INDEX('chất liệu'!$A$1:$A$14,MATCH(TRUE,ISNUMBER(SEARCH('chất liệu'!$A$1:$A$14,'ĐÚC P-029-06.01 A0)'!D34)),0)),"")</f>
        <v/>
      </c>
    </row>
    <row r="35" spans="1:28" ht="18.95" customHeight="1">
      <c r="A35" s="18">
        <f t="shared" si="3"/>
        <v>30</v>
      </c>
      <c r="B35" s="3"/>
      <c r="C35" s="17"/>
      <c r="D35" s="2"/>
      <c r="E35" s="52" t="str" cm="1">
        <f t="array" ref="E35">IFERROR(INDEX('chất liệu'!$A$1:$A$14,MATCH(TRUE,ISNUMBER(SEARCH('chất liệu'!$A$1:$A$14,'ĐÚC P-029-06.01 A0)'!D35)),0)),"")</f>
        <v/>
      </c>
      <c r="F35" s="53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 t="str">
        <f t="shared" si="0"/>
        <v xml:space="preserve"> </v>
      </c>
      <c r="X35" s="1">
        <v>8</v>
      </c>
      <c r="Y35" s="1">
        <v>1.032</v>
      </c>
      <c r="Z35" s="1" t="str">
        <f t="shared" si="1"/>
        <v>ỐNG</v>
      </c>
      <c r="AA35" s="1" t="str">
        <f t="shared" si="2"/>
        <v/>
      </c>
      <c r="AB35" s="1" t="str" cm="1">
        <f t="array" ref="AB35">IFERROR(INDEX('chất liệu'!$A$1:$A$14,MATCH(TRUE,ISNUMBER(SEARCH('chất liệu'!$A$1:$A$14,'ĐÚC P-029-06.01 A0)'!D35)),0)),"")</f>
        <v/>
      </c>
    </row>
    <row r="36" spans="1:28" ht="18.95" customHeight="1">
      <c r="A36" s="18">
        <f t="shared" si="3"/>
        <v>31</v>
      </c>
      <c r="B36" s="3"/>
      <c r="C36" s="17"/>
      <c r="D36" s="2"/>
      <c r="E36" s="52" t="str" cm="1">
        <f t="array" ref="E36">IFERROR(INDEX('chất liệu'!$A$1:$A$14,MATCH(TRUE,ISNUMBER(SEARCH('chất liệu'!$A$1:$A$14,'ĐÚC P-029-06.01 A0)'!D36)),0)),"")</f>
        <v/>
      </c>
      <c r="F36" s="53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 t="str">
        <f t="shared" si="0"/>
        <v xml:space="preserve"> </v>
      </c>
      <c r="X36" s="1">
        <v>1</v>
      </c>
      <c r="Y36" s="1">
        <v>0.81299999999999994</v>
      </c>
      <c r="Z36" s="1" t="str">
        <f t="shared" si="1"/>
        <v>ỐNG</v>
      </c>
      <c r="AA36" s="1" t="str">
        <f t="shared" si="2"/>
        <v/>
      </c>
      <c r="AB36" s="1" t="str" cm="1">
        <f t="array" ref="AB36">IFERROR(INDEX('chất liệu'!$A$1:$A$14,MATCH(TRUE,ISNUMBER(SEARCH('chất liệu'!$A$1:$A$14,'ĐÚC P-029-06.01 A0)'!D36)),0)),"")</f>
        <v/>
      </c>
    </row>
    <row r="37" spans="1:28" ht="18.95" customHeight="1">
      <c r="A37" s="18">
        <f t="shared" si="3"/>
        <v>32</v>
      </c>
      <c r="B37" s="3"/>
      <c r="C37" s="17"/>
      <c r="D37" s="2"/>
      <c r="E37" s="52" t="str" cm="1">
        <f t="array" ref="E37">IFERROR(INDEX('chất liệu'!$A$1:$A$14,MATCH(TRUE,ISNUMBER(SEARCH('chất liệu'!$A$1:$A$14,'ĐÚC P-029-06.01 A0)'!D37)),0)),"")</f>
        <v/>
      </c>
      <c r="F37" s="53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 t="str">
        <f t="shared" si="0"/>
        <v xml:space="preserve"> </v>
      </c>
      <c r="X37" s="1">
        <v>6</v>
      </c>
      <c r="Y37" s="1">
        <v>0.19</v>
      </c>
      <c r="Z37" s="1" t="str">
        <f t="shared" si="1"/>
        <v>ỐNG</v>
      </c>
      <c r="AA37" s="1" t="str">
        <f t="shared" si="2"/>
        <v/>
      </c>
      <c r="AB37" s="1" t="str" cm="1">
        <f t="array" ref="AB37">IFERROR(INDEX('chất liệu'!$A$1:$A$14,MATCH(TRUE,ISNUMBER(SEARCH('chất liệu'!$A$1:$A$14,'ĐÚC P-029-06.01 A0)'!D37)),0)),"")</f>
        <v/>
      </c>
    </row>
    <row r="38" spans="1:28" ht="18.95" customHeight="1">
      <c r="A38" s="18">
        <f t="shared" si="3"/>
        <v>33</v>
      </c>
      <c r="B38" s="3"/>
      <c r="C38" s="17"/>
      <c r="D38" s="2"/>
      <c r="E38" s="52" t="str" cm="1">
        <f t="array" ref="E38">IFERROR(INDEX('chất liệu'!$A$1:$A$14,MATCH(TRUE,ISNUMBER(SEARCH('chất liệu'!$A$1:$A$14,'ĐÚC P-029-06.01 A0)'!D38)),0)),"")</f>
        <v/>
      </c>
      <c r="F38" s="53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 t="str">
        <f t="shared" si="0"/>
        <v xml:space="preserve"> </v>
      </c>
      <c r="X38" s="1">
        <v>2</v>
      </c>
      <c r="Y38" s="1">
        <v>0.53100000000000003</v>
      </c>
      <c r="Z38" s="1" t="str">
        <f t="shared" si="1"/>
        <v>ỐNG</v>
      </c>
      <c r="AA38" s="1" t="str">
        <f t="shared" si="2"/>
        <v/>
      </c>
      <c r="AB38" s="1" t="str" cm="1">
        <f t="array" ref="AB38">IFERROR(INDEX('chất liệu'!$A$1:$A$14,MATCH(TRUE,ISNUMBER(SEARCH('chất liệu'!$A$1:$A$14,'ĐÚC P-029-06.01 A0)'!D38)),0)),"")</f>
        <v/>
      </c>
    </row>
    <row r="39" spans="1:28" ht="18.95" customHeight="1">
      <c r="A39" s="18">
        <f t="shared" si="3"/>
        <v>34</v>
      </c>
      <c r="B39" s="3"/>
      <c r="C39" s="17"/>
      <c r="D39" s="2"/>
      <c r="E39" s="52" t="str" cm="1">
        <f t="array" ref="E39">IFERROR(INDEX('chất liệu'!$A$1:$A$14,MATCH(TRUE,ISNUMBER(SEARCH('chất liệu'!$A$1:$A$14,'ĐÚC P-029-06.01 A0)'!D39)),0)),"")</f>
        <v/>
      </c>
      <c r="F39" s="53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 t="str">
        <f t="shared" si="0"/>
        <v xml:space="preserve"> </v>
      </c>
      <c r="X39" s="1">
        <v>1</v>
      </c>
      <c r="Y39" s="1">
        <v>0.107</v>
      </c>
      <c r="Z39" s="1" t="str">
        <f t="shared" si="1"/>
        <v>ỐNG</v>
      </c>
      <c r="AA39" s="1" t="str">
        <f t="shared" si="2"/>
        <v/>
      </c>
      <c r="AB39" s="1" t="str" cm="1">
        <f t="array" ref="AB39">IFERROR(INDEX('chất liệu'!$A$1:$A$14,MATCH(TRUE,ISNUMBER(SEARCH('chất liệu'!$A$1:$A$14,'ĐÚC P-029-06.01 A0)'!D39)),0)),"")</f>
        <v/>
      </c>
    </row>
    <row r="40" spans="1:28" ht="18.95" customHeight="1">
      <c r="A40" s="54" t="s">
        <v>56</v>
      </c>
      <c r="B40" s="55"/>
      <c r="C40" s="55"/>
      <c r="D40" s="55"/>
      <c r="E40" s="55"/>
      <c r="F40" s="56"/>
      <c r="G40" s="25" t="str">
        <f t="shared" ref="G40:W40" si="4">IF(SUM(G6:G39)=0,"",SUM(G6:G39))</f>
        <v/>
      </c>
      <c r="H40" s="25" t="str">
        <f t="shared" si="4"/>
        <v/>
      </c>
      <c r="I40" s="25" t="str">
        <f t="shared" si="4"/>
        <v/>
      </c>
      <c r="J40" s="25" t="str">
        <f t="shared" si="4"/>
        <v/>
      </c>
      <c r="K40" s="25" t="str">
        <f t="shared" si="4"/>
        <v/>
      </c>
      <c r="L40" s="25" t="str">
        <f t="shared" si="4"/>
        <v/>
      </c>
      <c r="M40" s="25" t="str">
        <f t="shared" si="4"/>
        <v/>
      </c>
      <c r="N40" s="25" t="str">
        <f t="shared" si="4"/>
        <v/>
      </c>
      <c r="O40" s="25" t="str">
        <f t="shared" si="4"/>
        <v/>
      </c>
      <c r="P40" s="25" t="str">
        <f t="shared" si="4"/>
        <v/>
      </c>
      <c r="Q40" s="25" t="str">
        <f t="shared" si="4"/>
        <v/>
      </c>
      <c r="R40" s="25" t="str">
        <f t="shared" si="4"/>
        <v/>
      </c>
      <c r="S40" s="25" t="str">
        <f t="shared" si="4"/>
        <v/>
      </c>
      <c r="T40" s="25" t="str">
        <f t="shared" si="4"/>
        <v/>
      </c>
      <c r="U40" s="25" t="str">
        <f t="shared" si="4"/>
        <v/>
      </c>
      <c r="V40" s="25" t="str">
        <f t="shared" si="4"/>
        <v/>
      </c>
      <c r="W40" s="20" t="str">
        <f t="shared" si="4"/>
        <v/>
      </c>
    </row>
    <row r="41" spans="1:28" ht="36" customHeight="1">
      <c r="A41" s="37" t="s">
        <v>15</v>
      </c>
      <c r="B41" s="38"/>
      <c r="C41" s="37" t="s">
        <v>16</v>
      </c>
      <c r="D41" s="46"/>
      <c r="E41" s="46"/>
      <c r="F41" s="38"/>
      <c r="G41" s="46" t="s">
        <v>19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38"/>
      <c r="S41" s="51" t="s">
        <v>27</v>
      </c>
      <c r="T41" s="51"/>
      <c r="U41" s="51"/>
      <c r="V41" s="51"/>
      <c r="W41" s="51"/>
    </row>
    <row r="42" spans="1:28" ht="18.75" customHeight="1">
      <c r="A42" s="57"/>
      <c r="B42" s="58"/>
      <c r="C42" s="8" t="s">
        <v>17</v>
      </c>
      <c r="D42" s="8" t="s">
        <v>18</v>
      </c>
      <c r="E42" s="27"/>
      <c r="F42" s="27"/>
      <c r="G42" s="28" t="s">
        <v>33</v>
      </c>
      <c r="H42" s="29"/>
      <c r="I42" s="30" t="s">
        <v>34</v>
      </c>
      <c r="J42" s="31"/>
      <c r="K42" s="28" t="s">
        <v>35</v>
      </c>
      <c r="L42" s="29"/>
      <c r="M42" s="69" t="s">
        <v>21</v>
      </c>
      <c r="N42" s="69"/>
      <c r="O42" s="27"/>
      <c r="P42" s="27"/>
      <c r="Q42" s="27"/>
      <c r="R42" s="27"/>
      <c r="S42" s="34">
        <f>SUM(C43:P43)</f>
        <v>0</v>
      </c>
      <c r="T42" s="34"/>
      <c r="U42" s="34"/>
      <c r="V42" s="34"/>
      <c r="W42" s="34"/>
    </row>
    <row r="43" spans="1:28" ht="21.75" customHeight="1">
      <c r="A43" s="59"/>
      <c r="B43" s="60"/>
      <c r="C43" s="21">
        <f>SUMIFS(AA6:AA40, AB6:AB40, "CF8M", Z6:Z40, "ỐNG")+SUMIFS(AA6:AA40, AB6:AB40, "316", Z6:Z40, "ỐNG")</f>
        <v>0</v>
      </c>
      <c r="D43" s="21">
        <f>SUMIFS(AA6:AA40, AB6:AB40, "CF8", Z6:Z40, "ỐNG")+SUMIFS(AA6:AA40, AB6:AB40, "304", Z6:Z40, "ỐNG")</f>
        <v>0</v>
      </c>
      <c r="E43" s="32">
        <f>SUMIFS(AA6:AA40, Z6:Z40, "ỐNG")-C43-D43</f>
        <v>0</v>
      </c>
      <c r="F43" s="33"/>
      <c r="G43" s="32">
        <f>SUMIFS(AA6:AA40, AB6:AB40, "CF8M", Z6:Z40, "VAN")</f>
        <v>0</v>
      </c>
      <c r="H43" s="33"/>
      <c r="I43" s="32">
        <f>SUMIFS(AA6:AA40, AB6:AB40, "CF8", Z6:Z40, "VAN")</f>
        <v>0</v>
      </c>
      <c r="J43" s="33"/>
      <c r="K43" s="32">
        <f>SUMIFS(AA6:AA40, AB6:AB40, "CF3M", Z6:Z40, "VAN")</f>
        <v>0</v>
      </c>
      <c r="L43" s="33"/>
      <c r="M43" s="32">
        <f>SUMIFS(AA6:AA40, AB6:AB40, "WCB", Z6:Z40, "VAN")</f>
        <v>0</v>
      </c>
      <c r="N43" s="33"/>
      <c r="O43" s="32">
        <f>SUMIFS(AA6:AA40, Z6:Z40, "VAN")-G43-I43-K43-M43</f>
        <v>0</v>
      </c>
      <c r="P43" s="33"/>
      <c r="Q43" s="35"/>
      <c r="R43" s="35"/>
      <c r="S43" s="34"/>
      <c r="T43" s="34"/>
      <c r="U43" s="34"/>
      <c r="V43" s="34"/>
      <c r="W43" s="34"/>
    </row>
    <row r="44" spans="1:28" ht="21" customHeight="1">
      <c r="A44" s="64" t="s">
        <v>28</v>
      </c>
      <c r="B44" s="64"/>
      <c r="C44" s="64" t="s">
        <v>30</v>
      </c>
      <c r="D44" s="64"/>
      <c r="E44" s="64" t="s">
        <v>29</v>
      </c>
      <c r="F44" s="64"/>
      <c r="G44" s="64"/>
      <c r="H44" s="64"/>
      <c r="I44" s="64" t="s">
        <v>31</v>
      </c>
      <c r="J44" s="64"/>
      <c r="K44" s="64"/>
      <c r="L44" s="64"/>
      <c r="M44" s="64"/>
      <c r="N44" s="64" t="s">
        <v>32</v>
      </c>
      <c r="O44" s="65"/>
      <c r="P44" s="65"/>
      <c r="Q44" s="65"/>
      <c r="R44" s="65"/>
      <c r="S44" s="70" t="s">
        <v>5</v>
      </c>
      <c r="T44" s="71"/>
      <c r="U44" s="71"/>
      <c r="V44" s="71"/>
      <c r="W44" s="72"/>
    </row>
    <row r="45" spans="1:28" ht="21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  <c r="O45" s="65"/>
      <c r="P45" s="65"/>
      <c r="Q45" s="65"/>
      <c r="R45" s="65"/>
      <c r="S45" s="66"/>
      <c r="T45" s="67"/>
      <c r="U45" s="67"/>
      <c r="V45" s="67"/>
      <c r="W45" s="68"/>
    </row>
    <row r="46" spans="1:28" ht="47.25" customHeight="1">
      <c r="A46" s="69"/>
      <c r="B46" s="69"/>
      <c r="C46" s="69"/>
      <c r="D46" s="69"/>
      <c r="E46" s="69"/>
      <c r="F46" s="69"/>
      <c r="G46" s="69"/>
      <c r="H46" s="69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2" t="s">
        <v>23</v>
      </c>
      <c r="T46" s="62"/>
      <c r="U46" s="62"/>
      <c r="V46" s="62"/>
      <c r="W46" s="63"/>
    </row>
    <row r="47" spans="1:28">
      <c r="S47" s="26" t="s">
        <v>57</v>
      </c>
      <c r="T47" s="26"/>
      <c r="U47" s="26"/>
      <c r="V47" s="26"/>
      <c r="W47" s="26"/>
    </row>
  </sheetData>
  <autoFilter ref="A5:AB47" xr:uid="{125219BA-F4F6-4348-BEF7-1027E41B2552}">
    <filterColumn colId="4" showButton="0"/>
  </autoFilter>
  <mergeCells count="76">
    <mergeCell ref="E27:F27"/>
    <mergeCell ref="E26:F26"/>
    <mergeCell ref="E38:F38"/>
    <mergeCell ref="E39:F3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23:F23"/>
    <mergeCell ref="E24:F24"/>
    <mergeCell ref="E25:F25"/>
    <mergeCell ref="E18:F18"/>
    <mergeCell ref="E19:F19"/>
    <mergeCell ref="E20:F20"/>
    <mergeCell ref="E21:F21"/>
    <mergeCell ref="E22:F22"/>
    <mergeCell ref="E15:F15"/>
    <mergeCell ref="E16:F16"/>
    <mergeCell ref="E17:F17"/>
    <mergeCell ref="E8:F8"/>
    <mergeCell ref="E9:F9"/>
    <mergeCell ref="E10:F10"/>
    <mergeCell ref="E11:F11"/>
    <mergeCell ref="E12:F12"/>
    <mergeCell ref="A42:B43"/>
    <mergeCell ref="N46:R46"/>
    <mergeCell ref="S46:W46"/>
    <mergeCell ref="A44:B45"/>
    <mergeCell ref="C44:D45"/>
    <mergeCell ref="E44:H45"/>
    <mergeCell ref="I44:M45"/>
    <mergeCell ref="N44:R45"/>
    <mergeCell ref="S45:W45"/>
    <mergeCell ref="A46:B46"/>
    <mergeCell ref="C46:D46"/>
    <mergeCell ref="E46:H46"/>
    <mergeCell ref="I46:M46"/>
    <mergeCell ref="S44:W44"/>
    <mergeCell ref="K42:L42"/>
    <mergeCell ref="M42:N42"/>
    <mergeCell ref="A2:W2"/>
    <mergeCell ref="A41:B41"/>
    <mergeCell ref="A4:A5"/>
    <mergeCell ref="B4:B5"/>
    <mergeCell ref="C4:C5"/>
    <mergeCell ref="G4:W4"/>
    <mergeCell ref="D4:D5"/>
    <mergeCell ref="C41:F41"/>
    <mergeCell ref="G41:R41"/>
    <mergeCell ref="E4:F5"/>
    <mergeCell ref="S41:W41"/>
    <mergeCell ref="E6:F6"/>
    <mergeCell ref="E7:F7"/>
    <mergeCell ref="A40:F40"/>
    <mergeCell ref="E13:F13"/>
    <mergeCell ref="E14:F14"/>
    <mergeCell ref="S47:W47"/>
    <mergeCell ref="E42:F42"/>
    <mergeCell ref="G42:H42"/>
    <mergeCell ref="I42:J42"/>
    <mergeCell ref="E43:F43"/>
    <mergeCell ref="G43:H43"/>
    <mergeCell ref="I43:J43"/>
    <mergeCell ref="O42:P42"/>
    <mergeCell ref="Q42:R42"/>
    <mergeCell ref="S42:W43"/>
    <mergeCell ref="K43:L43"/>
    <mergeCell ref="M43:N43"/>
    <mergeCell ref="O43:P43"/>
    <mergeCell ref="Q43:R43"/>
  </mergeCells>
  <conditionalFormatting sqref="AA4">
    <cfRule type="cellIs" dxfId="3" priority="1" operator="equal">
      <formula>$S$42</formula>
    </cfRule>
  </conditionalFormatting>
  <pageMargins left="0.31496062992125984" right="0" top="0.39370078740157483" bottom="0" header="0" footer="0"/>
  <pageSetup paperSize="9" scale="82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320D-2C78-4A42-B459-00A0689DAB42}">
  <dimension ref="A1:A14"/>
  <sheetViews>
    <sheetView workbookViewId="0">
      <selection activeCell="A14" sqref="A14"/>
    </sheetView>
  </sheetViews>
  <sheetFormatPr defaultRowHeight="14.25"/>
  <cols>
    <col min="1" max="1" width="14.25" customWidth="1"/>
  </cols>
  <sheetData>
    <row r="1" spans="1:1" ht="15.75">
      <c r="A1" s="1" t="s">
        <v>46</v>
      </c>
    </row>
    <row r="2" spans="1:1" ht="15.75">
      <c r="A2" s="1" t="s">
        <v>35</v>
      </c>
    </row>
    <row r="3" spans="1:1" ht="15.75">
      <c r="A3" s="1" t="s">
        <v>47</v>
      </c>
    </row>
    <row r="4" spans="1:1" ht="15.75">
      <c r="A4" s="1" t="s">
        <v>21</v>
      </c>
    </row>
    <row r="5" spans="1:1" ht="15.75">
      <c r="A5" s="1" t="s">
        <v>48</v>
      </c>
    </row>
    <row r="6" spans="1:1" ht="15.75">
      <c r="A6" s="1" t="s">
        <v>49</v>
      </c>
    </row>
    <row r="7" spans="1:1" ht="15.75">
      <c r="A7" s="1" t="s">
        <v>50</v>
      </c>
    </row>
    <row r="8" spans="1:1" ht="15.75">
      <c r="A8" s="1" t="s">
        <v>51</v>
      </c>
    </row>
    <row r="9" spans="1:1" ht="15.75">
      <c r="A9" s="1" t="s">
        <v>52</v>
      </c>
    </row>
    <row r="10" spans="1:1" ht="15.75">
      <c r="A10" s="1" t="s">
        <v>53</v>
      </c>
    </row>
    <row r="11" spans="1:1" ht="15.75">
      <c r="A11" s="1" t="s">
        <v>54</v>
      </c>
    </row>
    <row r="12" spans="1:1" ht="15.75">
      <c r="A12" s="1" t="s">
        <v>34</v>
      </c>
    </row>
    <row r="13" spans="1:1" ht="15.75">
      <c r="A13" s="1">
        <v>316</v>
      </c>
    </row>
    <row r="14" spans="1:1" ht="15.75">
      <c r="A14" s="1">
        <v>304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ĐÚC P-029-06.01 A0)</vt:lpstr>
      <vt:lpstr>chất liệu</vt:lpstr>
      <vt:lpstr>'ĐÚC P-029-06.01 A0)'!Print_Area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2013-05-02T05:44:06Z</cp:lastPrinted>
  <dcterms:created xsi:type="dcterms:W3CDTF">1996-12-17T01:32:42Z</dcterms:created>
  <dcterms:modified xsi:type="dcterms:W3CDTF">2026-07-21T15:12:25Z</dcterms:modified>
</cp:coreProperties>
</file>