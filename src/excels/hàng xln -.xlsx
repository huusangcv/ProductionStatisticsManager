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13_ncr:1_{7CDA79DA-C1E2-46A8-9F0E-8EEACB8A2817}" xr6:coauthVersionLast="47" xr6:coauthVersionMax="47" xr10:uidLastSave="{00000000-0000-0000-0000-000000000000}"/>
  <bookViews>
    <workbookView xWindow="-120" yWindow="-120" windowWidth="29040" windowHeight="15720" tabRatio="530" xr2:uid="{FF3FD4B8-14B6-4378-8FF4-8519CEF95A47}"/>
  </bookViews>
  <sheets>
    <sheet name="Hàng xln" sheetId="6" r:id="rId1"/>
    <sheet name="xử lý chất liệu" sheetId="7" r:id="rId2"/>
  </sheets>
  <definedNames>
    <definedName name="_xlnm._FilterDatabase" localSheetId="0" hidden="1">'Hàng xln'!$A$5:$K$615</definedName>
    <definedName name="_xlnm._FilterDatabase" localSheetId="1" hidden="1">'xử lý chất liệu'!$A$2:$K$235</definedName>
    <definedName name="_xlnm.Print_Area" localSheetId="0">'Hàng xln'!$A$1:$I$621</definedName>
    <definedName name="_xlnm.Print_Area" localSheetId="1">'xử lý chất liệu'!$A$1:$I$241</definedName>
    <definedName name="_xlnm.Print_Titles" localSheetId="0">'Hàng xln'!$4:$5</definedName>
    <definedName name="_xlnm.Print_Titles" localSheetId="1">'xử lý chất liệu'!$1:$2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6" l="1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K481" i="6"/>
  <c r="K386" i="6"/>
  <c r="K489" i="6"/>
  <c r="K447" i="6"/>
  <c r="K478" i="6"/>
  <c r="K448" i="6"/>
  <c r="K604" i="6"/>
  <c r="K385" i="6"/>
  <c r="K387" i="6"/>
  <c r="K388" i="6"/>
  <c r="K393" i="6"/>
  <c r="K449" i="6"/>
  <c r="K391" i="6"/>
  <c r="K389" i="6"/>
  <c r="K390" i="6"/>
  <c r="K392" i="6"/>
  <c r="K394" i="6"/>
  <c r="K517" i="6"/>
  <c r="K482" i="6"/>
  <c r="K483" i="6"/>
  <c r="K484" i="6"/>
  <c r="K485" i="6"/>
  <c r="K486" i="6"/>
  <c r="K605" i="6"/>
  <c r="K606" i="6"/>
  <c r="K487" i="6"/>
  <c r="K488" i="6"/>
  <c r="K518" i="6"/>
  <c r="K450" i="6"/>
  <c r="K451" i="6"/>
  <c r="K519" i="6"/>
  <c r="K520" i="6"/>
  <c r="K494" i="6"/>
  <c r="K495" i="6"/>
  <c r="K496" i="6"/>
  <c r="K521" i="6"/>
  <c r="K498" i="6"/>
  <c r="K523" i="6"/>
  <c r="K444" i="6"/>
  <c r="K524" i="6"/>
  <c r="K455" i="6"/>
  <c r="K456" i="6"/>
  <c r="K525" i="6"/>
  <c r="K458" i="6"/>
  <c r="K474" i="6"/>
  <c r="K445" i="6"/>
  <c r="K526" i="6"/>
  <c r="K459" i="6"/>
  <c r="K527" i="6"/>
  <c r="K460" i="6"/>
  <c r="K528" i="6"/>
  <c r="K529" i="6"/>
  <c r="K531" i="6"/>
  <c r="K446" i="6"/>
  <c r="K512" i="6"/>
  <c r="K532" i="6"/>
  <c r="K437" i="6"/>
  <c r="K438" i="6"/>
  <c r="K439" i="6"/>
  <c r="K411" i="6"/>
  <c r="K461" i="6"/>
  <c r="K462" i="6"/>
  <c r="K516" i="6"/>
  <c r="K463" i="6"/>
  <c r="K533" i="6"/>
  <c r="K396" i="6"/>
  <c r="K397" i="6"/>
  <c r="K398" i="6"/>
  <c r="K399" i="6"/>
  <c r="K422" i="6"/>
  <c r="K400" i="6"/>
  <c r="K395" i="6"/>
  <c r="K427" i="6"/>
  <c r="K534" i="6"/>
  <c r="K401" i="6"/>
  <c r="K402" i="6"/>
  <c r="K490" i="6"/>
  <c r="K491" i="6"/>
  <c r="K492" i="6"/>
  <c r="K493" i="6"/>
  <c r="K497" i="6"/>
  <c r="K499" i="6"/>
  <c r="K500" i="6"/>
  <c r="K412" i="6"/>
  <c r="K413" i="6"/>
  <c r="K403" i="6"/>
  <c r="K415" i="6"/>
  <c r="K416" i="6"/>
  <c r="K417" i="6"/>
  <c r="K404" i="6"/>
  <c r="K405" i="6"/>
  <c r="K406" i="6"/>
  <c r="K407" i="6"/>
  <c r="K501" i="6"/>
  <c r="K464" i="6"/>
  <c r="K452" i="6"/>
  <c r="K453" i="6"/>
  <c r="K423" i="6"/>
  <c r="K424" i="6"/>
  <c r="K425" i="6"/>
  <c r="K466" i="6"/>
  <c r="K426" i="6"/>
  <c r="K408" i="6"/>
  <c r="K607" i="6"/>
  <c r="K608" i="6"/>
  <c r="K609" i="6"/>
  <c r="K610" i="6"/>
  <c r="K611" i="6"/>
  <c r="K538" i="6"/>
  <c r="K409" i="6"/>
  <c r="K410" i="6"/>
  <c r="K502" i="6"/>
  <c r="K467" i="6"/>
  <c r="K454" i="6"/>
  <c r="K428" i="6"/>
  <c r="K506" i="6"/>
  <c r="K503" i="6"/>
  <c r="K468" i="6"/>
  <c r="K469" i="6"/>
  <c r="K465" i="6"/>
  <c r="K522" i="6"/>
  <c r="K504" i="6"/>
  <c r="K535" i="6"/>
  <c r="K457" i="6"/>
  <c r="K470" i="6"/>
  <c r="K530" i="6"/>
  <c r="K612" i="6"/>
  <c r="K429" i="6"/>
  <c r="K613" i="6"/>
  <c r="K614" i="6"/>
  <c r="K434" i="6"/>
  <c r="K430" i="6"/>
  <c r="K435" i="6"/>
  <c r="K436" i="6"/>
  <c r="K441" i="6"/>
  <c r="K442" i="6"/>
  <c r="K443" i="6"/>
  <c r="K414" i="6"/>
  <c r="K431" i="6"/>
  <c r="K432" i="6"/>
  <c r="K433" i="6"/>
  <c r="K507" i="6"/>
  <c r="K508" i="6"/>
  <c r="K418" i="6"/>
  <c r="K509" i="6"/>
  <c r="K419" i="6"/>
  <c r="K420" i="6"/>
  <c r="K510" i="6"/>
  <c r="K511" i="6"/>
  <c r="K513" i="6"/>
  <c r="K505" i="6"/>
  <c r="K514" i="6"/>
  <c r="K515" i="6"/>
  <c r="K421" i="6"/>
  <c r="K440" i="6"/>
  <c r="K472" i="6"/>
  <c r="K471" i="6"/>
  <c r="K473" i="6"/>
  <c r="K475" i="6"/>
  <c r="K476" i="6"/>
  <c r="K539" i="6"/>
  <c r="K536" i="6"/>
  <c r="K537" i="6"/>
  <c r="K477" i="6"/>
  <c r="K479" i="6"/>
  <c r="K480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3" i="7"/>
  <c r="K6" i="6"/>
  <c r="J184" i="7"/>
  <c r="A184" i="7"/>
  <c r="J183" i="7"/>
  <c r="A183" i="7"/>
  <c r="J182" i="7"/>
  <c r="A182" i="7"/>
  <c r="J181" i="7"/>
  <c r="A181" i="7"/>
  <c r="J180" i="7"/>
  <c r="A180" i="7"/>
  <c r="J179" i="7"/>
  <c r="A179" i="7"/>
  <c r="J178" i="7"/>
  <c r="A178" i="7"/>
  <c r="J177" i="7"/>
  <c r="A177" i="7"/>
  <c r="J176" i="7"/>
  <c r="A176" i="7"/>
  <c r="J175" i="7"/>
  <c r="A175" i="7"/>
  <c r="J174" i="7"/>
  <c r="A174" i="7"/>
  <c r="J173" i="7"/>
  <c r="A173" i="7"/>
  <c r="J172" i="7"/>
  <c r="A172" i="7"/>
  <c r="J171" i="7"/>
  <c r="A171" i="7"/>
  <c r="J170" i="7"/>
  <c r="A170" i="7"/>
  <c r="J169" i="7"/>
  <c r="A169" i="7"/>
  <c r="J168" i="7"/>
  <c r="A168" i="7"/>
  <c r="J167" i="7"/>
  <c r="A167" i="7"/>
  <c r="J166" i="7"/>
  <c r="A166" i="7"/>
  <c r="J165" i="7"/>
  <c r="A165" i="7"/>
  <c r="J164" i="7"/>
  <c r="A164" i="7"/>
  <c r="J163" i="7"/>
  <c r="A163" i="7"/>
  <c r="J162" i="7"/>
  <c r="A162" i="7"/>
  <c r="J161" i="7"/>
  <c r="A161" i="7"/>
  <c r="J160" i="7"/>
  <c r="A160" i="7"/>
  <c r="J159" i="7"/>
  <c r="A159" i="7"/>
  <c r="J158" i="7"/>
  <c r="A158" i="7"/>
  <c r="J157" i="7"/>
  <c r="A157" i="7"/>
  <c r="J156" i="7"/>
  <c r="A156" i="7"/>
  <c r="J155" i="7"/>
  <c r="A155" i="7"/>
  <c r="J154" i="7"/>
  <c r="A154" i="7"/>
  <c r="J153" i="7"/>
  <c r="A153" i="7"/>
  <c r="J152" i="7"/>
  <c r="A152" i="7"/>
  <c r="J151" i="7"/>
  <c r="A151" i="7"/>
  <c r="J150" i="7"/>
  <c r="A150" i="7"/>
  <c r="J149" i="7"/>
  <c r="A149" i="7"/>
  <c r="J148" i="7"/>
  <c r="A148" i="7"/>
  <c r="J147" i="7"/>
  <c r="A147" i="7"/>
  <c r="J146" i="7"/>
  <c r="A146" i="7"/>
  <c r="J145" i="7"/>
  <c r="A145" i="7"/>
  <c r="J144" i="7"/>
  <c r="A144" i="7"/>
  <c r="J143" i="7"/>
  <c r="A143" i="7"/>
  <c r="J142" i="7"/>
  <c r="A142" i="7"/>
  <c r="J141" i="7"/>
  <c r="A141" i="7"/>
  <c r="J140" i="7"/>
  <c r="A140" i="7"/>
  <c r="J139" i="7"/>
  <c r="A139" i="7"/>
  <c r="J138" i="7"/>
  <c r="A138" i="7"/>
  <c r="J137" i="7"/>
  <c r="A137" i="7"/>
  <c r="J136" i="7"/>
  <c r="A136" i="7"/>
  <c r="J135" i="7"/>
  <c r="A135" i="7"/>
  <c r="J91" i="7"/>
  <c r="A91" i="7"/>
  <c r="J229" i="7"/>
  <c r="A229" i="7"/>
  <c r="J41" i="7"/>
  <c r="A41" i="7"/>
  <c r="J90" i="7"/>
  <c r="A90" i="7"/>
  <c r="J89" i="7"/>
  <c r="A89" i="7"/>
  <c r="J88" i="7"/>
  <c r="A88" i="7"/>
  <c r="J234" i="7"/>
  <c r="A234" i="7"/>
  <c r="J233" i="7"/>
  <c r="A233" i="7"/>
  <c r="J232" i="7"/>
  <c r="A232" i="7"/>
  <c r="J102" i="7"/>
  <c r="A102" i="7"/>
  <c r="J101" i="7"/>
  <c r="A101" i="7"/>
  <c r="J87" i="7"/>
  <c r="A87" i="7"/>
  <c r="J40" i="7"/>
  <c r="A40" i="7"/>
  <c r="J39" i="7"/>
  <c r="A39" i="7"/>
  <c r="J38" i="7"/>
  <c r="A38" i="7"/>
  <c r="J228" i="7"/>
  <c r="A228" i="7"/>
  <c r="J227" i="7"/>
  <c r="A227" i="7"/>
  <c r="J226" i="7"/>
  <c r="A226" i="7"/>
  <c r="J37" i="7"/>
  <c r="A37" i="7"/>
  <c r="J86" i="7"/>
  <c r="A86" i="7"/>
  <c r="J134" i="7"/>
  <c r="A134" i="7"/>
  <c r="J133" i="7"/>
  <c r="A133" i="7"/>
  <c r="J36" i="7"/>
  <c r="A36" i="7"/>
  <c r="J85" i="7"/>
  <c r="A85" i="7"/>
  <c r="J84" i="7"/>
  <c r="A84" i="7"/>
  <c r="J35" i="7"/>
  <c r="A35" i="7"/>
  <c r="J132" i="7"/>
  <c r="A132" i="7"/>
  <c r="J34" i="7"/>
  <c r="A34" i="7"/>
  <c r="J33" i="7"/>
  <c r="A33" i="7"/>
  <c r="J32" i="7"/>
  <c r="A32" i="7"/>
  <c r="J31" i="7"/>
  <c r="A31" i="7"/>
  <c r="J30" i="7"/>
  <c r="A30" i="7"/>
  <c r="J29" i="7"/>
  <c r="A29" i="7"/>
  <c r="J83" i="7"/>
  <c r="A83" i="7"/>
  <c r="J82" i="7"/>
  <c r="A82" i="7"/>
  <c r="J28" i="7"/>
  <c r="A28" i="7"/>
  <c r="J27" i="7"/>
  <c r="A27" i="7"/>
  <c r="J81" i="7"/>
  <c r="A81" i="7"/>
  <c r="J80" i="7"/>
  <c r="A80" i="7"/>
  <c r="J191" i="7"/>
  <c r="A191" i="7"/>
  <c r="J190" i="7"/>
  <c r="A190" i="7"/>
  <c r="J189" i="7"/>
  <c r="A189" i="7"/>
  <c r="J188" i="7"/>
  <c r="A188" i="7"/>
  <c r="J187" i="7"/>
  <c r="A187" i="7"/>
  <c r="J79" i="7"/>
  <c r="A79" i="7"/>
  <c r="J78" i="7"/>
  <c r="A78" i="7"/>
  <c r="J77" i="7"/>
  <c r="A77" i="7"/>
  <c r="J76" i="7"/>
  <c r="A76" i="7"/>
  <c r="J75" i="7"/>
  <c r="A75" i="7"/>
  <c r="J74" i="7"/>
  <c r="A74" i="7"/>
  <c r="J225" i="7"/>
  <c r="A225" i="7"/>
  <c r="J186" i="7"/>
  <c r="A186" i="7"/>
  <c r="J224" i="7"/>
  <c r="A224" i="7"/>
  <c r="J223" i="7"/>
  <c r="A223" i="7"/>
  <c r="J222" i="7"/>
  <c r="A222" i="7"/>
  <c r="J73" i="7"/>
  <c r="A73" i="7"/>
  <c r="J72" i="7"/>
  <c r="A72" i="7"/>
  <c r="J71" i="7"/>
  <c r="A71" i="7"/>
  <c r="J70" i="7"/>
  <c r="A70" i="7"/>
  <c r="J185" i="7"/>
  <c r="A185" i="7"/>
  <c r="J26" i="7"/>
  <c r="A26" i="7"/>
  <c r="J25" i="7"/>
  <c r="A25" i="7"/>
  <c r="J69" i="7"/>
  <c r="A69" i="7"/>
  <c r="J24" i="7"/>
  <c r="A24" i="7"/>
  <c r="J23" i="7"/>
  <c r="A23" i="7"/>
  <c r="J68" i="7"/>
  <c r="A68" i="7"/>
  <c r="J67" i="7"/>
  <c r="A67" i="7"/>
  <c r="J66" i="7"/>
  <c r="A66" i="7"/>
  <c r="J131" i="7"/>
  <c r="A131" i="7"/>
  <c r="J130" i="7"/>
  <c r="A130" i="7"/>
  <c r="J65" i="7"/>
  <c r="A65" i="7"/>
  <c r="J231" i="7"/>
  <c r="A231" i="7"/>
  <c r="J64" i="7"/>
  <c r="A64" i="7"/>
  <c r="J129" i="7"/>
  <c r="A129" i="7"/>
  <c r="J63" i="7"/>
  <c r="A63" i="7"/>
  <c r="J62" i="7"/>
  <c r="A62" i="7"/>
  <c r="J61" i="7"/>
  <c r="A61" i="7"/>
  <c r="J230" i="7"/>
  <c r="A230" i="7"/>
  <c r="J128" i="7"/>
  <c r="A128" i="7"/>
  <c r="J60" i="7"/>
  <c r="A60" i="7"/>
  <c r="J22" i="7"/>
  <c r="A22" i="7"/>
  <c r="J21" i="7"/>
  <c r="A21" i="7"/>
  <c r="J20" i="7"/>
  <c r="A20" i="7"/>
  <c r="J127" i="7"/>
  <c r="A127" i="7"/>
  <c r="J221" i="7"/>
  <c r="A221" i="7"/>
  <c r="J220" i="7"/>
  <c r="A220" i="7"/>
  <c r="J219" i="7"/>
  <c r="A219" i="7"/>
  <c r="J126" i="7"/>
  <c r="A126" i="7"/>
  <c r="J125" i="7"/>
  <c r="A125" i="7"/>
  <c r="J218" i="7"/>
  <c r="A218" i="7"/>
  <c r="J217" i="7"/>
  <c r="A217" i="7"/>
  <c r="J216" i="7"/>
  <c r="A216" i="7"/>
  <c r="J215" i="7"/>
  <c r="A215" i="7"/>
  <c r="J214" i="7"/>
  <c r="A214" i="7"/>
  <c r="J124" i="7"/>
  <c r="A124" i="7"/>
  <c r="J123" i="7"/>
  <c r="A123" i="7"/>
  <c r="J19" i="7"/>
  <c r="A19" i="7"/>
  <c r="J59" i="7"/>
  <c r="A59" i="7"/>
  <c r="J18" i="7"/>
  <c r="A18" i="7"/>
  <c r="J58" i="7"/>
  <c r="A58" i="7"/>
  <c r="J213" i="7"/>
  <c r="A213" i="7"/>
  <c r="J17" i="7"/>
  <c r="A17" i="7"/>
  <c r="J122" i="7"/>
  <c r="A122" i="7"/>
  <c r="J121" i="7"/>
  <c r="A121" i="7"/>
  <c r="J120" i="7"/>
  <c r="A120" i="7"/>
  <c r="J212" i="7"/>
  <c r="A212" i="7"/>
  <c r="J211" i="7"/>
  <c r="A211" i="7"/>
  <c r="J16" i="7"/>
  <c r="A16" i="7"/>
  <c r="J15" i="7"/>
  <c r="A15" i="7"/>
  <c r="J14" i="7"/>
  <c r="A14" i="7"/>
  <c r="J13" i="7"/>
  <c r="A13" i="7"/>
  <c r="J12" i="7"/>
  <c r="A12" i="7"/>
  <c r="J119" i="7"/>
  <c r="A119" i="7"/>
  <c r="J118" i="7"/>
  <c r="A118" i="7"/>
  <c r="J117" i="7"/>
  <c r="A117" i="7"/>
  <c r="J116" i="7"/>
  <c r="A116" i="7"/>
  <c r="J115" i="7"/>
  <c r="A115" i="7"/>
  <c r="J114" i="7"/>
  <c r="A114" i="7"/>
  <c r="J113" i="7"/>
  <c r="A113" i="7"/>
  <c r="J11" i="7"/>
  <c r="A11" i="7"/>
  <c r="J210" i="7"/>
  <c r="A210" i="7"/>
  <c r="J209" i="7"/>
  <c r="A209" i="7"/>
  <c r="J208" i="7"/>
  <c r="A208" i="7"/>
  <c r="J207" i="7"/>
  <c r="A207" i="7"/>
  <c r="J206" i="7"/>
  <c r="A206" i="7"/>
  <c r="J205" i="7"/>
  <c r="A205" i="7"/>
  <c r="J204" i="7"/>
  <c r="A204" i="7"/>
  <c r="J203" i="7"/>
  <c r="A203" i="7"/>
  <c r="J202" i="7"/>
  <c r="A202" i="7"/>
  <c r="J201" i="7"/>
  <c r="A201" i="7"/>
  <c r="J200" i="7"/>
  <c r="A200" i="7"/>
  <c r="J199" i="7"/>
  <c r="A199" i="7"/>
  <c r="J112" i="7"/>
  <c r="A112" i="7"/>
  <c r="J198" i="7"/>
  <c r="A198" i="7"/>
  <c r="J197" i="7"/>
  <c r="A197" i="7"/>
  <c r="J111" i="7"/>
  <c r="A111" i="7"/>
  <c r="J110" i="7"/>
  <c r="A110" i="7"/>
  <c r="J10" i="7"/>
  <c r="A10" i="7"/>
  <c r="J9" i="7"/>
  <c r="A9" i="7"/>
  <c r="J8" i="7"/>
  <c r="A8" i="7"/>
  <c r="J109" i="7"/>
  <c r="A109" i="7"/>
  <c r="J196" i="7"/>
  <c r="A196" i="7"/>
  <c r="J108" i="7"/>
  <c r="A108" i="7"/>
  <c r="J195" i="7"/>
  <c r="A195" i="7"/>
  <c r="J194" i="7"/>
  <c r="A194" i="7"/>
  <c r="J193" i="7"/>
  <c r="A193" i="7"/>
  <c r="J107" i="7"/>
  <c r="A107" i="7"/>
  <c r="J106" i="7"/>
  <c r="A106" i="7"/>
  <c r="J192" i="7"/>
  <c r="A192" i="7"/>
  <c r="J105" i="7"/>
  <c r="A105" i="7"/>
  <c r="J57" i="7"/>
  <c r="A57" i="7"/>
  <c r="J56" i="7"/>
  <c r="A56" i="7"/>
  <c r="J104" i="7"/>
  <c r="A104" i="7"/>
  <c r="J103" i="7"/>
  <c r="A103" i="7"/>
  <c r="J52" i="7"/>
  <c r="A52" i="7"/>
  <c r="J100" i="7"/>
  <c r="A100" i="7"/>
  <c r="J99" i="7"/>
  <c r="A99" i="7"/>
  <c r="J98" i="7"/>
  <c r="A98" i="7"/>
  <c r="J97" i="7"/>
  <c r="A97" i="7"/>
  <c r="J96" i="7"/>
  <c r="A96" i="7"/>
  <c r="J95" i="7"/>
  <c r="A95" i="7"/>
  <c r="J94" i="7"/>
  <c r="A94" i="7"/>
  <c r="J93" i="7"/>
  <c r="A93" i="7"/>
  <c r="J51" i="7"/>
  <c r="A51" i="7"/>
  <c r="J50" i="7"/>
  <c r="A50" i="7"/>
  <c r="J49" i="7"/>
  <c r="A49" i="7"/>
  <c r="J48" i="7"/>
  <c r="A48" i="7"/>
  <c r="J47" i="7"/>
  <c r="A47" i="7"/>
  <c r="J46" i="7"/>
  <c r="A46" i="7"/>
  <c r="J45" i="7"/>
  <c r="A45" i="7"/>
  <c r="J55" i="7"/>
  <c r="A55" i="7"/>
  <c r="J7" i="7"/>
  <c r="A7" i="7"/>
  <c r="J44" i="7"/>
  <c r="A44" i="7"/>
  <c r="J43" i="7"/>
  <c r="A43" i="7"/>
  <c r="J42" i="7"/>
  <c r="A42" i="7"/>
  <c r="J54" i="7"/>
  <c r="A54" i="7"/>
  <c r="J53" i="7"/>
  <c r="A53" i="7"/>
  <c r="J6" i="7"/>
  <c r="A6" i="7"/>
  <c r="J5" i="7"/>
  <c r="A5" i="7"/>
  <c r="J4" i="7"/>
  <c r="A4" i="7"/>
  <c r="J3" i="7"/>
  <c r="A3" i="7"/>
  <c r="J92" i="7"/>
  <c r="A92" i="7"/>
  <c r="A559" i="6"/>
  <c r="J559" i="6"/>
  <c r="A560" i="6"/>
  <c r="J560" i="6"/>
  <c r="A561" i="6"/>
  <c r="J561" i="6"/>
  <c r="A562" i="6"/>
  <c r="J562" i="6"/>
  <c r="A563" i="6"/>
  <c r="J563" i="6"/>
  <c r="A564" i="6"/>
  <c r="J564" i="6"/>
  <c r="A565" i="6"/>
  <c r="J565" i="6"/>
  <c r="A566" i="6"/>
  <c r="J566" i="6"/>
  <c r="A567" i="6"/>
  <c r="J567" i="6"/>
  <c r="A568" i="6"/>
  <c r="J568" i="6"/>
  <c r="A569" i="6"/>
  <c r="J569" i="6"/>
  <c r="A570" i="6"/>
  <c r="J570" i="6"/>
  <c r="A571" i="6"/>
  <c r="J571" i="6"/>
  <c r="A572" i="6"/>
  <c r="J572" i="6"/>
  <c r="A573" i="6"/>
  <c r="J573" i="6"/>
  <c r="A574" i="6"/>
  <c r="J574" i="6"/>
  <c r="A575" i="6"/>
  <c r="J575" i="6"/>
  <c r="A576" i="6"/>
  <c r="J576" i="6"/>
  <c r="A577" i="6"/>
  <c r="J577" i="6"/>
  <c r="A578" i="6"/>
  <c r="J578" i="6"/>
  <c r="A579" i="6"/>
  <c r="J579" i="6"/>
  <c r="A580" i="6"/>
  <c r="J580" i="6"/>
  <c r="A581" i="6"/>
  <c r="J581" i="6"/>
  <c r="A582" i="6"/>
  <c r="J582" i="6"/>
  <c r="A583" i="6"/>
  <c r="J583" i="6"/>
  <c r="A584" i="6"/>
  <c r="J584" i="6"/>
  <c r="A585" i="6"/>
  <c r="J585" i="6"/>
  <c r="A586" i="6"/>
  <c r="J586" i="6"/>
  <c r="A587" i="6"/>
  <c r="J587" i="6"/>
  <c r="A588" i="6"/>
  <c r="J588" i="6"/>
  <c r="A589" i="6"/>
  <c r="J589" i="6"/>
  <c r="A590" i="6"/>
  <c r="J590" i="6"/>
  <c r="A591" i="6"/>
  <c r="J591" i="6"/>
  <c r="A592" i="6"/>
  <c r="J592" i="6"/>
  <c r="A593" i="6"/>
  <c r="J593" i="6"/>
  <c r="A594" i="6"/>
  <c r="J594" i="6"/>
  <c r="A595" i="6"/>
  <c r="J595" i="6"/>
  <c r="A596" i="6"/>
  <c r="J596" i="6"/>
  <c r="A597" i="6"/>
  <c r="J597" i="6"/>
  <c r="A598" i="6"/>
  <c r="J598" i="6"/>
  <c r="A599" i="6"/>
  <c r="J599" i="6"/>
  <c r="A600" i="6"/>
  <c r="J600" i="6"/>
  <c r="A601" i="6"/>
  <c r="J601" i="6"/>
  <c r="A602" i="6"/>
  <c r="J602" i="6"/>
  <c r="A603" i="6"/>
  <c r="J603" i="6"/>
  <c r="H235" i="7" l="1"/>
  <c r="C235" i="7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480" i="6"/>
  <c r="J479" i="6"/>
  <c r="J477" i="6"/>
  <c r="J537" i="6"/>
  <c r="J536" i="6"/>
  <c r="J539" i="6"/>
  <c r="J481" i="6"/>
  <c r="J386" i="6"/>
  <c r="J489" i="6"/>
  <c r="J447" i="6"/>
  <c r="J478" i="6"/>
  <c r="J448" i="6"/>
  <c r="J604" i="6"/>
  <c r="J385" i="6"/>
  <c r="J387" i="6"/>
  <c r="J388" i="6"/>
  <c r="J393" i="6"/>
  <c r="J449" i="6"/>
  <c r="J391" i="6"/>
  <c r="J389" i="6"/>
  <c r="J390" i="6"/>
  <c r="J392" i="6"/>
  <c r="J394" i="6"/>
  <c r="J517" i="6"/>
  <c r="J482" i="6"/>
  <c r="J483" i="6"/>
  <c r="J484" i="6"/>
  <c r="J485" i="6"/>
  <c r="J486" i="6"/>
  <c r="J605" i="6"/>
  <c r="J606" i="6"/>
  <c r="J487" i="6"/>
  <c r="J488" i="6"/>
  <c r="J518" i="6"/>
  <c r="J450" i="6"/>
  <c r="J451" i="6"/>
  <c r="J519" i="6"/>
  <c r="J520" i="6"/>
  <c r="J494" i="6"/>
  <c r="J495" i="6"/>
  <c r="J496" i="6"/>
  <c r="J521" i="6"/>
  <c r="J498" i="6"/>
  <c r="J523" i="6"/>
  <c r="J444" i="6"/>
  <c r="J524" i="6"/>
  <c r="J455" i="6"/>
  <c r="J456" i="6"/>
  <c r="J525" i="6"/>
  <c r="J458" i="6"/>
  <c r="J474" i="6"/>
  <c r="J445" i="6"/>
  <c r="J526" i="6"/>
  <c r="J459" i="6"/>
  <c r="J527" i="6"/>
  <c r="J460" i="6"/>
  <c r="J528" i="6"/>
  <c r="J529" i="6"/>
  <c r="J531" i="6"/>
  <c r="J446" i="6"/>
  <c r="J512" i="6"/>
  <c r="J532" i="6"/>
  <c r="J437" i="6"/>
  <c r="J438" i="6"/>
  <c r="J439" i="6"/>
  <c r="J411" i="6"/>
  <c r="J461" i="6"/>
  <c r="J462" i="6"/>
  <c r="J516" i="6"/>
  <c r="J463" i="6"/>
  <c r="J533" i="6"/>
  <c r="J396" i="6"/>
  <c r="J397" i="6"/>
  <c r="J398" i="6"/>
  <c r="J399" i="6"/>
  <c r="J422" i="6"/>
  <c r="J400" i="6"/>
  <c r="J395" i="6"/>
  <c r="J427" i="6"/>
  <c r="J534" i="6"/>
  <c r="J401" i="6"/>
  <c r="J402" i="6"/>
  <c r="J490" i="6"/>
  <c r="J491" i="6"/>
  <c r="J492" i="6"/>
  <c r="J493" i="6"/>
  <c r="J497" i="6"/>
  <c r="J499" i="6"/>
  <c r="J500" i="6"/>
  <c r="J412" i="6"/>
  <c r="J413" i="6"/>
  <c r="J403" i="6"/>
  <c r="J415" i="6"/>
  <c r="J416" i="6"/>
  <c r="J417" i="6"/>
  <c r="J404" i="6"/>
  <c r="J405" i="6"/>
  <c r="J406" i="6"/>
  <c r="J407" i="6"/>
  <c r="J501" i="6"/>
  <c r="J464" i="6"/>
  <c r="J452" i="6"/>
  <c r="J453" i="6"/>
  <c r="J423" i="6"/>
  <c r="J424" i="6"/>
  <c r="J425" i="6"/>
  <c r="J466" i="6"/>
  <c r="J426" i="6"/>
  <c r="J408" i="6"/>
  <c r="J607" i="6"/>
  <c r="J608" i="6"/>
  <c r="J609" i="6"/>
  <c r="J610" i="6"/>
  <c r="J611" i="6"/>
  <c r="J538" i="6"/>
  <c r="J409" i="6"/>
  <c r="J410" i="6"/>
  <c r="J502" i="6"/>
  <c r="J467" i="6"/>
  <c r="J454" i="6"/>
  <c r="J428" i="6"/>
  <c r="J506" i="6"/>
  <c r="J503" i="6"/>
  <c r="J468" i="6"/>
  <c r="J469" i="6"/>
  <c r="J465" i="6"/>
  <c r="J522" i="6"/>
  <c r="J504" i="6"/>
  <c r="J535" i="6"/>
  <c r="J457" i="6"/>
  <c r="J470" i="6"/>
  <c r="J530" i="6"/>
  <c r="J612" i="6"/>
  <c r="J429" i="6"/>
  <c r="J613" i="6"/>
  <c r="J614" i="6"/>
  <c r="J434" i="6"/>
  <c r="J430" i="6"/>
  <c r="J435" i="6"/>
  <c r="J436" i="6"/>
  <c r="J441" i="6"/>
  <c r="J442" i="6"/>
  <c r="J443" i="6"/>
  <c r="J414" i="6"/>
  <c r="J431" i="6"/>
  <c r="J432" i="6"/>
  <c r="J433" i="6"/>
  <c r="J507" i="6"/>
  <c r="J508" i="6"/>
  <c r="J418" i="6"/>
  <c r="J509" i="6"/>
  <c r="J419" i="6"/>
  <c r="J420" i="6"/>
  <c r="J510" i="6"/>
  <c r="J511" i="6"/>
  <c r="J513" i="6"/>
  <c r="J505" i="6"/>
  <c r="J514" i="6"/>
  <c r="J515" i="6"/>
  <c r="J421" i="6"/>
  <c r="J440" i="6"/>
  <c r="J472" i="6"/>
  <c r="J471" i="6"/>
  <c r="J473" i="6"/>
  <c r="J475" i="6"/>
  <c r="J476" i="6"/>
  <c r="J6" i="6"/>
  <c r="A481" i="6"/>
  <c r="A386" i="6"/>
  <c r="A489" i="6"/>
  <c r="A447" i="6"/>
  <c r="A478" i="6"/>
  <c r="A448" i="6"/>
  <c r="A604" i="6"/>
  <c r="A385" i="6"/>
  <c r="A387" i="6"/>
  <c r="A388" i="6"/>
  <c r="A393" i="6"/>
  <c r="A449" i="6"/>
  <c r="A391" i="6"/>
  <c r="A389" i="6"/>
  <c r="A390" i="6"/>
  <c r="A392" i="6"/>
  <c r="A394" i="6"/>
  <c r="A517" i="6"/>
  <c r="A482" i="6"/>
  <c r="A483" i="6"/>
  <c r="A484" i="6"/>
  <c r="A485" i="6"/>
  <c r="A486" i="6"/>
  <c r="A605" i="6"/>
  <c r="A606" i="6"/>
  <c r="A487" i="6"/>
  <c r="A488" i="6"/>
  <c r="A518" i="6"/>
  <c r="A450" i="6"/>
  <c r="A451" i="6"/>
  <c r="A519" i="6"/>
  <c r="A520" i="6"/>
  <c r="A494" i="6"/>
  <c r="A495" i="6"/>
  <c r="A496" i="6"/>
  <c r="A521" i="6"/>
  <c r="A498" i="6"/>
  <c r="A523" i="6"/>
  <c r="A444" i="6"/>
  <c r="A524" i="6"/>
  <c r="A455" i="6"/>
  <c r="A456" i="6"/>
  <c r="A525" i="6"/>
  <c r="A458" i="6"/>
  <c r="A474" i="6"/>
  <c r="A445" i="6"/>
  <c r="A526" i="6"/>
  <c r="A459" i="6"/>
  <c r="A527" i="6"/>
  <c r="A460" i="6"/>
  <c r="A528" i="6"/>
  <c r="A529" i="6"/>
  <c r="A531" i="6"/>
  <c r="A446" i="6"/>
  <c r="A512" i="6"/>
  <c r="A532" i="6"/>
  <c r="A437" i="6"/>
  <c r="A438" i="6"/>
  <c r="A439" i="6"/>
  <c r="A411" i="6"/>
  <c r="A461" i="6"/>
  <c r="A462" i="6"/>
  <c r="A516" i="6"/>
  <c r="A463" i="6"/>
  <c r="A533" i="6"/>
  <c r="A396" i="6"/>
  <c r="A397" i="6"/>
  <c r="A398" i="6"/>
  <c r="A399" i="6"/>
  <c r="A422" i="6"/>
  <c r="A400" i="6"/>
  <c r="A395" i="6"/>
  <c r="A427" i="6"/>
  <c r="A534" i="6"/>
  <c r="A401" i="6"/>
  <c r="A402" i="6"/>
  <c r="A490" i="6"/>
  <c r="A491" i="6"/>
  <c r="A492" i="6"/>
  <c r="A493" i="6"/>
  <c r="A497" i="6"/>
  <c r="A499" i="6"/>
  <c r="A500" i="6"/>
  <c r="A412" i="6"/>
  <c r="A413" i="6"/>
  <c r="A403" i="6"/>
  <c r="A415" i="6"/>
  <c r="A416" i="6"/>
  <c r="A417" i="6"/>
  <c r="A404" i="6"/>
  <c r="A405" i="6"/>
  <c r="A406" i="6"/>
  <c r="A407" i="6"/>
  <c r="A501" i="6"/>
  <c r="A464" i="6"/>
  <c r="A452" i="6"/>
  <c r="A453" i="6"/>
  <c r="A423" i="6"/>
  <c r="A424" i="6"/>
  <c r="A425" i="6"/>
  <c r="A466" i="6"/>
  <c r="A426" i="6"/>
  <c r="A408" i="6"/>
  <c r="A607" i="6"/>
  <c r="A608" i="6"/>
  <c r="A609" i="6"/>
  <c r="A610" i="6"/>
  <c r="A611" i="6"/>
  <c r="A538" i="6"/>
  <c r="A409" i="6"/>
  <c r="A410" i="6"/>
  <c r="A502" i="6"/>
  <c r="A467" i="6"/>
  <c r="A454" i="6"/>
  <c r="A428" i="6"/>
  <c r="A506" i="6"/>
  <c r="A503" i="6"/>
  <c r="A468" i="6"/>
  <c r="A469" i="6"/>
  <c r="A465" i="6"/>
  <c r="A522" i="6"/>
  <c r="A504" i="6"/>
  <c r="A535" i="6"/>
  <c r="A457" i="6"/>
  <c r="A470" i="6"/>
  <c r="A530" i="6"/>
  <c r="A612" i="6"/>
  <c r="A429" i="6"/>
  <c r="A613" i="6"/>
  <c r="A614" i="6"/>
  <c r="A434" i="6"/>
  <c r="A430" i="6"/>
  <c r="A435" i="6"/>
  <c r="A436" i="6"/>
  <c r="A441" i="6"/>
  <c r="A442" i="6"/>
  <c r="A443" i="6"/>
  <c r="A414" i="6"/>
  <c r="A431" i="6"/>
  <c r="A432" i="6"/>
  <c r="A433" i="6"/>
  <c r="A507" i="6"/>
  <c r="A508" i="6"/>
  <c r="A418" i="6"/>
  <c r="A509" i="6"/>
  <c r="A419" i="6"/>
  <c r="A420" i="6"/>
  <c r="A510" i="6"/>
  <c r="A511" i="6"/>
  <c r="A513" i="6"/>
  <c r="A505" i="6"/>
  <c r="A514" i="6"/>
  <c r="A515" i="6"/>
  <c r="A421" i="6"/>
  <c r="A440" i="6"/>
  <c r="A472" i="6"/>
  <c r="A471" i="6"/>
  <c r="A473" i="6"/>
  <c r="A475" i="6"/>
  <c r="A476" i="6"/>
  <c r="A539" i="6"/>
  <c r="A536" i="6"/>
  <c r="A537" i="6"/>
  <c r="A477" i="6"/>
  <c r="A479" i="6"/>
  <c r="A480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6" i="6"/>
  <c r="F235" i="7" l="1"/>
  <c r="H615" i="6"/>
  <c r="J615" i="6" s="1"/>
  <c r="C615" i="6"/>
  <c r="F615" i="6" l="1"/>
</calcChain>
</file>

<file path=xl/sharedStrings.xml><?xml version="1.0" encoding="utf-8"?>
<sst xmlns="http://schemas.openxmlformats.org/spreadsheetml/2006/main" count="37" uniqueCount="20">
  <si>
    <t>日期/Ngày:</t>
  </si>
  <si>
    <t>Loại</t>
  </si>
  <si>
    <t xml:space="preserve">
越南铁王流体控制设备有限公司
CÔNG TY TNHH THIẾT BỊ KIẾM SOÁT DÒNG CHẢY KING DOM VIỆT NAM</t>
  </si>
  <si>
    <r>
      <t xml:space="preserve">收货人
</t>
    </r>
    <r>
      <rPr>
        <b/>
        <sz val="12"/>
        <rFont val="Times New Roman"/>
        <family val="1"/>
      </rPr>
      <t xml:space="preserve">Người nhận </t>
    </r>
  </si>
  <si>
    <r>
      <t xml:space="preserve">送货人
</t>
    </r>
    <r>
      <rPr>
        <b/>
        <sz val="12"/>
        <rFont val="Times New Roman"/>
        <family val="1"/>
      </rPr>
      <t>Người giao</t>
    </r>
  </si>
  <si>
    <t xml:space="preserve">   部门主管
Chủ quản BP</t>
  </si>
  <si>
    <t>序号
STT</t>
  </si>
  <si>
    <t>客户订单号
Đơn đặt hàng của khách hàng</t>
  </si>
  <si>
    <t>工单号
Mã công đơn</t>
  </si>
  <si>
    <t>料号
Mã liệu</t>
  </si>
  <si>
    <t>品名
Tên hàng</t>
  </si>
  <si>
    <t>规格
Quy cách</t>
  </si>
  <si>
    <t>完工数量
Số lượng hoàn thành</t>
  </si>
  <si>
    <t>单位重量
Đơn vị trọng lượng</t>
  </si>
  <si>
    <t>完成重量
Trọng lượng hoàn thành</t>
  </si>
  <si>
    <t>Chất liệu</t>
  </si>
  <si>
    <t>Khối lượng hàng WCB</t>
  </si>
  <si>
    <t>Khối lượng hàng khác</t>
  </si>
  <si>
    <t>Tổng</t>
  </si>
  <si>
    <t>DANH SÁCH HÀNG ĐÃ HOÀN THÀNH XỬ LÝ NHIỆT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</si>
</sst>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\ &quot;Kg&quot;"/>
    <numFmt numFmtId="166" formatCode="dd/mm/yyyy"/>
  </numFmts>
  <fonts count="10">
    <font>
      <sz val="12"/>
      <name val="宋体"/>
      <charset val="134"/>
    </font>
    <font>
      <sz val="12"/>
      <name val="宋体"/>
      <charset val="134"/>
    </font>
    <font>
      <sz val="12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9"/>
      <color theme="1"/>
      <name val="Times New Roman"/>
      <family val="1"/>
    </font>
    <font>
      <b/>
      <sz val="12"/>
      <name val="宋体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6" fillId="2" borderId="3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Continuous" vertical="center" wrapText="1"/>
    </xf>
    <xf numFmtId="0" fontId="2" fillId="2" borderId="0" xfId="0" applyFont="1" applyFill="1" applyAlignment="1">
      <alignment horizontal="centerContinuous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Continuous" vertical="center" wrapText="1"/>
    </xf>
    <xf numFmtId="165" fontId="6" fillId="2" borderId="2" xfId="0" applyNumberFormat="1" applyFont="1" applyFill="1" applyBorder="1" applyAlignment="1">
      <alignment vertical="center" wrapText="1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Continuous" vertical="center" wrapText="1"/>
    </xf>
    <xf numFmtId="0" fontId="6" fillId="2" borderId="1" xfId="0" applyFont="1" applyFill="1" applyBorder="1" applyAlignment="1">
      <alignment horizontal="centerContinuous" vertical="center" wrapText="1"/>
    </xf>
    <xf numFmtId="166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B761D84-E895-46D6-BBF8-90D302658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184668</xdr:colOff>
      <xdr:row>0</xdr:row>
      <xdr:rowOff>58317</xdr:rowOff>
    </xdr:from>
    <xdr:to>
      <xdr:col>2</xdr:col>
      <xdr:colOff>700294</xdr:colOff>
      <xdr:row>0</xdr:row>
      <xdr:rowOff>343007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DE5CD-C6D0-37B8-6980-08BA758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668" y="58317"/>
          <a:ext cx="1927397" cy="284690"/>
        </a:xfrm>
        <a:prstGeom prst="rect">
          <a:avLst/>
        </a:prstGeom>
      </xdr:spPr>
    </xdr:pic>
    <xdr:clientData/>
  </xdr:twoCellAnchor>
  <xdr:twoCellAnchor editAs="oneCell">
    <xdr:from>
      <xdr:col>0</xdr:col>
      <xdr:colOff>246789</xdr:colOff>
      <xdr:row>0</xdr:row>
      <xdr:rowOff>381168</xdr:rowOff>
    </xdr:from>
    <xdr:to>
      <xdr:col>2</xdr:col>
      <xdr:colOff>726342</xdr:colOff>
      <xdr:row>0</xdr:row>
      <xdr:rowOff>496957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810B7B-25FE-F242-ED5E-6AB5A8DF0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789" y="381168"/>
          <a:ext cx="1891324" cy="115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19BA-F4F6-4348-BEF7-1027E41B2552}">
  <dimension ref="A1:K617"/>
  <sheetViews>
    <sheetView tabSelected="1" zoomScaleNormal="100" zoomScaleSheetLayoutView="70" zoomScalePageLayoutView="70" workbookViewId="0">
      <pane ySplit="5" topLeftCell="A6" activePane="bottomLeft" state="frozen"/>
      <selection pane="bottomLeft" activeCell="C3" sqref="C3"/>
    </sheetView>
  </sheetViews>
  <sheetFormatPr defaultColWidth="8.625" defaultRowHeight="15.75"/>
  <cols>
    <col min="1" max="1" width="5" style="3" customWidth="1"/>
    <col min="2" max="2" width="13.5" style="1" customWidth="1"/>
    <col min="3" max="3" width="14.625" style="1" customWidth="1"/>
    <col min="4" max="4" width="13.375" style="1" customWidth="1"/>
    <col min="5" max="5" width="20.375" style="1" customWidth="1"/>
    <col min="6" max="6" width="18.875" style="1" customWidth="1"/>
    <col min="7" max="7" width="13" style="1" bestFit="1" customWidth="1"/>
    <col min="8" max="8" width="9.625" style="1" customWidth="1"/>
    <col min="9" max="9" width="11" style="1" customWidth="1"/>
    <col min="10" max="10" width="8.625" style="1" customWidth="1"/>
    <col min="11" max="16384" width="8.625" style="1"/>
  </cols>
  <sheetData>
    <row r="1" spans="1:11" ht="62.25" customHeight="1">
      <c r="A1" s="19" t="s">
        <v>2</v>
      </c>
      <c r="B1" s="19"/>
      <c r="C1" s="19"/>
      <c r="D1" s="19"/>
      <c r="E1" s="19"/>
      <c r="F1" s="19"/>
      <c r="G1" s="19"/>
      <c r="H1" s="19"/>
      <c r="I1" s="19"/>
    </row>
    <row r="2" spans="1:11" ht="19.5" customHeight="1">
      <c r="A2" s="20" t="s">
        <v>19</v>
      </c>
      <c r="B2" s="20"/>
      <c r="C2" s="20"/>
      <c r="D2" s="20"/>
      <c r="E2" s="20"/>
      <c r="F2" s="20"/>
      <c r="G2" s="20"/>
      <c r="H2" s="20"/>
      <c r="I2" s="20"/>
    </row>
    <row r="3" spans="1:11" ht="24.75" customHeight="1">
      <c r="A3" s="4"/>
      <c r="B3" s="4" t="s">
        <v>0</v>
      </c>
      <c r="C3" s="18">
        <v>46194</v>
      </c>
      <c r="D3" s="4"/>
      <c r="E3" s="4"/>
      <c r="F3" s="4"/>
      <c r="G3" s="4"/>
      <c r="H3" s="4"/>
      <c r="I3" s="4"/>
      <c r="J3" s="4"/>
    </row>
    <row r="4" spans="1:11" ht="30" customHeight="1">
      <c r="A4" s="21" t="s">
        <v>6</v>
      </c>
      <c r="B4" s="21" t="s">
        <v>7</v>
      </c>
      <c r="C4" s="21" t="s">
        <v>8</v>
      </c>
      <c r="D4" s="21" t="s">
        <v>9</v>
      </c>
      <c r="E4" s="21" t="s">
        <v>10</v>
      </c>
      <c r="F4" s="21" t="s">
        <v>11</v>
      </c>
      <c r="G4" s="21" t="s">
        <v>12</v>
      </c>
      <c r="H4" s="21" t="s">
        <v>13</v>
      </c>
      <c r="I4" s="21" t="s">
        <v>14</v>
      </c>
    </row>
    <row r="5" spans="1:11" ht="74.25" customHeight="1">
      <c r="A5" s="21"/>
      <c r="B5" s="21"/>
      <c r="C5" s="21"/>
      <c r="D5" s="21"/>
      <c r="E5" s="21"/>
      <c r="F5" s="21"/>
      <c r="G5" s="21"/>
      <c r="H5" s="21"/>
      <c r="I5" s="21"/>
      <c r="J5" s="3" t="s">
        <v>1</v>
      </c>
      <c r="K5" s="3" t="s">
        <v>15</v>
      </c>
    </row>
    <row r="6" spans="1:11" ht="21.75" customHeight="1">
      <c r="A6" s="5" t="str">
        <f>IF(E6="","",SUBTOTAL(103,$E$6:E6))</f>
        <v/>
      </c>
      <c r="B6" s="6"/>
      <c r="C6" s="6"/>
      <c r="D6" s="6"/>
      <c r="E6" s="2"/>
      <c r="F6" s="2"/>
      <c r="G6" s="2"/>
      <c r="H6" s="2"/>
      <c r="I6" s="2"/>
      <c r="J6" s="1" t="str">
        <f t="shared" ref="J6:J69" si="0">IF(ISERROR(SEARCH("热处理", E6))=FALSE, "XLN", IF(ISERROR(SEARCH("114", E6))=FALSE, "XLN", IF(ISERROR(SEARCH("OM", E6))=FALSE, "NO", IF(ISERROR(SEARCH("试棒毛坯", E6))=FALSE, "XLN", IF(ISERROR(SEARCH("M35", F6))=FALSE, "NO", IF(OR(LEFT(F6, 2)="DN", LEFT(F6, 3)="NPS", ISERROR(SEARCH("LADISH", E6))=FALSE), "XLN", "NO"))))))</f>
        <v>NO</v>
      </c>
      <c r="K6" s="1" t="str">
        <f t="shared" ref="K6:K69" si="1">IF(ISERROR(FIND("304",F6))=FALSE,304,IF(ISERROR(FIND("316",F6))=FALSE,316,IF(ISERROR(FIND("CF8M",F6))=FALSE,316,IF(ISERROR(SEARCH("wcb",F6))=FALSE,"WCB",IF(ISERROR(SEARCH("cd3mn",F6))=FALSE,"CD3MN",IF(ISERROR(SEARCH("CN7M",F6))=FALSE,"CN7M",IF(ISERROR(SEARCH("M35",F6))=FALSE,"M35",IF(ISERROR(SEARCH("CF3M",F6))=FALSE,"CF3M",IF(ISERROR(SEARCH("CD3MWCuN",F6))=FALSE, "CD3MWCuN",  IF(ISERROR(SEARCH("CW12MW",F6))=FALSE, "CW12MW", IF(ISERROR(SEARCH("CF8",F6))=FALSE, 304," ")))))))))))</f>
        <v xml:space="preserve"> </v>
      </c>
    </row>
    <row r="7" spans="1:11" ht="21.75" customHeight="1">
      <c r="A7" s="5" t="str">
        <f>IF(E7="","",SUBTOTAL(103,$E$6:E7))</f>
        <v/>
      </c>
      <c r="B7" s="6"/>
      <c r="C7" s="6"/>
      <c r="D7" s="6"/>
      <c r="E7" s="2"/>
      <c r="F7" s="2"/>
      <c r="G7" s="2"/>
      <c r="H7" s="2"/>
      <c r="I7" s="2"/>
      <c r="J7" s="1" t="str">
        <f t="shared" si="0"/>
        <v>NO</v>
      </c>
      <c r="K7" s="1" t="str">
        <f t="shared" si="1"/>
        <v xml:space="preserve"> </v>
      </c>
    </row>
    <row r="8" spans="1:11" ht="21.75" customHeight="1">
      <c r="A8" s="5" t="str">
        <f>IF(E8="","",SUBTOTAL(103,$E$6:E8))</f>
        <v/>
      </c>
      <c r="B8" s="6"/>
      <c r="C8" s="6"/>
      <c r="D8" s="6"/>
      <c r="E8" s="2"/>
      <c r="F8" s="2"/>
      <c r="G8" s="2"/>
      <c r="H8" s="2"/>
      <c r="I8" s="2"/>
      <c r="J8" s="1" t="str">
        <f t="shared" si="0"/>
        <v>NO</v>
      </c>
      <c r="K8" s="1" t="str">
        <f t="shared" si="1"/>
        <v xml:space="preserve"> </v>
      </c>
    </row>
    <row r="9" spans="1:11" ht="21.75" customHeight="1">
      <c r="A9" s="5" t="str">
        <f>IF(E9="","",SUBTOTAL(103,$E$6:E9))</f>
        <v/>
      </c>
      <c r="B9" s="6"/>
      <c r="C9" s="6"/>
      <c r="D9" s="6"/>
      <c r="E9" s="2"/>
      <c r="F9" s="2"/>
      <c r="G9" s="2"/>
      <c r="H9" s="2"/>
      <c r="I9" s="2"/>
      <c r="J9" s="1" t="str">
        <f t="shared" si="0"/>
        <v>NO</v>
      </c>
      <c r="K9" s="1" t="str">
        <f t="shared" si="1"/>
        <v xml:space="preserve"> </v>
      </c>
    </row>
    <row r="10" spans="1:11" ht="21.75" customHeight="1">
      <c r="A10" s="5" t="str">
        <f>IF(E10="","",SUBTOTAL(103,$E$6:E10))</f>
        <v/>
      </c>
      <c r="B10" s="6"/>
      <c r="C10" s="6"/>
      <c r="D10" s="6"/>
      <c r="E10" s="2"/>
      <c r="F10" s="2"/>
      <c r="G10" s="2"/>
      <c r="H10" s="2"/>
      <c r="I10" s="2"/>
      <c r="J10" s="1" t="str">
        <f t="shared" si="0"/>
        <v>NO</v>
      </c>
      <c r="K10" s="1" t="str">
        <f t="shared" si="1"/>
        <v xml:space="preserve"> </v>
      </c>
    </row>
    <row r="11" spans="1:11" ht="21.75" customHeight="1">
      <c r="A11" s="5" t="str">
        <f>IF(E11="","",SUBTOTAL(103,$E$6:E11))</f>
        <v/>
      </c>
      <c r="B11" s="6"/>
      <c r="C11" s="6"/>
      <c r="D11" s="6"/>
      <c r="E11" s="2"/>
      <c r="F11" s="2"/>
      <c r="G11" s="2"/>
      <c r="H11" s="2"/>
      <c r="I11" s="2"/>
      <c r="J11" s="1" t="str">
        <f t="shared" si="0"/>
        <v>NO</v>
      </c>
      <c r="K11" s="1" t="str">
        <f t="shared" si="1"/>
        <v xml:space="preserve"> </v>
      </c>
    </row>
    <row r="12" spans="1:11" ht="21.75" customHeight="1">
      <c r="A12" s="5" t="str">
        <f>IF(E12="","",SUBTOTAL(103,$E$6:E12))</f>
        <v/>
      </c>
      <c r="B12" s="6"/>
      <c r="C12" s="6"/>
      <c r="D12" s="6"/>
      <c r="E12" s="2"/>
      <c r="F12" s="2"/>
      <c r="G12" s="2"/>
      <c r="H12" s="2"/>
      <c r="I12" s="2"/>
      <c r="J12" s="1" t="str">
        <f t="shared" si="0"/>
        <v>NO</v>
      </c>
      <c r="K12" s="1" t="str">
        <f t="shared" si="1"/>
        <v xml:space="preserve"> </v>
      </c>
    </row>
    <row r="13" spans="1:11" ht="21.75" customHeight="1">
      <c r="A13" s="5" t="str">
        <f>IF(E13="","",SUBTOTAL(103,$E$6:E13))</f>
        <v/>
      </c>
      <c r="B13" s="6"/>
      <c r="C13" s="6"/>
      <c r="D13" s="6"/>
      <c r="E13" s="2"/>
      <c r="F13" s="2"/>
      <c r="G13" s="2"/>
      <c r="H13" s="2"/>
      <c r="I13" s="2"/>
      <c r="J13" s="1" t="str">
        <f t="shared" si="0"/>
        <v>NO</v>
      </c>
      <c r="K13" s="1" t="str">
        <f t="shared" si="1"/>
        <v xml:space="preserve"> </v>
      </c>
    </row>
    <row r="14" spans="1:11" ht="21.75" customHeight="1">
      <c r="A14" s="5" t="str">
        <f>IF(E14="","",SUBTOTAL(103,$E$6:E14))</f>
        <v/>
      </c>
      <c r="B14" s="6"/>
      <c r="C14" s="6"/>
      <c r="D14" s="6"/>
      <c r="E14" s="2"/>
      <c r="F14" s="2"/>
      <c r="G14" s="2"/>
      <c r="H14" s="2"/>
      <c r="I14" s="2"/>
      <c r="J14" s="1" t="str">
        <f t="shared" si="0"/>
        <v>NO</v>
      </c>
      <c r="K14" s="1" t="str">
        <f t="shared" si="1"/>
        <v xml:space="preserve"> </v>
      </c>
    </row>
    <row r="15" spans="1:11" ht="21.75" customHeight="1">
      <c r="A15" s="5" t="str">
        <f>IF(E15="","",SUBTOTAL(103,$E$6:E15))</f>
        <v/>
      </c>
      <c r="B15" s="6"/>
      <c r="C15" s="6"/>
      <c r="D15" s="6"/>
      <c r="E15" s="2"/>
      <c r="F15" s="2"/>
      <c r="G15" s="2"/>
      <c r="H15" s="2"/>
      <c r="I15" s="2"/>
      <c r="J15" s="1" t="str">
        <f t="shared" si="0"/>
        <v>NO</v>
      </c>
      <c r="K15" s="1" t="str">
        <f t="shared" si="1"/>
        <v xml:space="preserve"> </v>
      </c>
    </row>
    <row r="16" spans="1:11" ht="21.75" customHeight="1">
      <c r="A16" s="5" t="str">
        <f>IF(E16="","",SUBTOTAL(103,$E$6:E16))</f>
        <v/>
      </c>
      <c r="B16" s="6"/>
      <c r="C16" s="6"/>
      <c r="D16" s="6"/>
      <c r="E16" s="2"/>
      <c r="F16" s="2"/>
      <c r="G16" s="2"/>
      <c r="H16" s="2"/>
      <c r="I16" s="2"/>
      <c r="J16" s="1" t="str">
        <f t="shared" si="0"/>
        <v>NO</v>
      </c>
      <c r="K16" s="1" t="str">
        <f t="shared" si="1"/>
        <v xml:space="preserve"> </v>
      </c>
    </row>
    <row r="17" spans="1:11" ht="21.75" customHeight="1">
      <c r="A17" s="5" t="str">
        <f>IF(E17="","",SUBTOTAL(103,$E$6:E17))</f>
        <v/>
      </c>
      <c r="B17" s="6"/>
      <c r="C17" s="6"/>
      <c r="D17" s="6"/>
      <c r="E17" s="2"/>
      <c r="F17" s="2"/>
      <c r="G17" s="2"/>
      <c r="H17" s="2"/>
      <c r="I17" s="2"/>
      <c r="J17" s="1" t="str">
        <f t="shared" si="0"/>
        <v>NO</v>
      </c>
      <c r="K17" s="1" t="str">
        <f t="shared" si="1"/>
        <v xml:space="preserve"> </v>
      </c>
    </row>
    <row r="18" spans="1:11" ht="21.75" customHeight="1">
      <c r="A18" s="5" t="str">
        <f>IF(E18="","",SUBTOTAL(103,$E$6:E18))</f>
        <v/>
      </c>
      <c r="B18" s="6"/>
      <c r="C18" s="6"/>
      <c r="D18" s="6"/>
      <c r="E18" s="2"/>
      <c r="F18" s="2"/>
      <c r="G18" s="2"/>
      <c r="H18" s="2"/>
      <c r="I18" s="2"/>
      <c r="J18" s="1" t="str">
        <f t="shared" si="0"/>
        <v>NO</v>
      </c>
      <c r="K18" s="1" t="str">
        <f t="shared" si="1"/>
        <v xml:space="preserve"> </v>
      </c>
    </row>
    <row r="19" spans="1:11" ht="21.75" customHeight="1">
      <c r="A19" s="5" t="str">
        <f>IF(E19="","",SUBTOTAL(103,$E$6:E19))</f>
        <v/>
      </c>
      <c r="B19" s="6"/>
      <c r="C19" s="6"/>
      <c r="D19" s="6"/>
      <c r="E19" s="2"/>
      <c r="F19" s="2"/>
      <c r="G19" s="2"/>
      <c r="H19" s="2"/>
      <c r="I19" s="2"/>
      <c r="J19" s="1" t="str">
        <f t="shared" si="0"/>
        <v>NO</v>
      </c>
      <c r="K19" s="1" t="str">
        <f t="shared" si="1"/>
        <v xml:space="preserve"> </v>
      </c>
    </row>
    <row r="20" spans="1:11" ht="21.75" customHeight="1">
      <c r="A20" s="5" t="str">
        <f>IF(E20="","",SUBTOTAL(103,$E$6:E20))</f>
        <v/>
      </c>
      <c r="B20" s="6"/>
      <c r="C20" s="6"/>
      <c r="D20" s="6"/>
      <c r="E20" s="2"/>
      <c r="F20" s="2"/>
      <c r="G20" s="2"/>
      <c r="H20" s="2"/>
      <c r="I20" s="2"/>
      <c r="J20" s="1" t="str">
        <f t="shared" si="0"/>
        <v>NO</v>
      </c>
      <c r="K20" s="1" t="str">
        <f t="shared" si="1"/>
        <v xml:space="preserve"> </v>
      </c>
    </row>
    <row r="21" spans="1:11" ht="21.75" customHeight="1">
      <c r="A21" s="5" t="str">
        <f>IF(E21="","",SUBTOTAL(103,$E$6:E21))</f>
        <v/>
      </c>
      <c r="B21" s="6"/>
      <c r="C21" s="6"/>
      <c r="D21" s="6"/>
      <c r="E21" s="2"/>
      <c r="F21" s="2"/>
      <c r="G21" s="2"/>
      <c r="H21" s="2"/>
      <c r="I21" s="2"/>
      <c r="J21" s="1" t="str">
        <f t="shared" si="0"/>
        <v>NO</v>
      </c>
      <c r="K21" s="1" t="str">
        <f t="shared" si="1"/>
        <v xml:space="preserve"> </v>
      </c>
    </row>
    <row r="22" spans="1:11" ht="21.75" customHeight="1">
      <c r="A22" s="5" t="str">
        <f>IF(E22="","",SUBTOTAL(103,$E$6:E22))</f>
        <v/>
      </c>
      <c r="B22" s="6"/>
      <c r="C22" s="6"/>
      <c r="D22" s="6"/>
      <c r="E22" s="2"/>
      <c r="F22" s="2"/>
      <c r="G22" s="2"/>
      <c r="H22" s="2"/>
      <c r="I22" s="2"/>
      <c r="J22" s="1" t="str">
        <f t="shared" si="0"/>
        <v>NO</v>
      </c>
      <c r="K22" s="1" t="str">
        <f t="shared" si="1"/>
        <v xml:space="preserve"> </v>
      </c>
    </row>
    <row r="23" spans="1:11" ht="21.75" customHeight="1">
      <c r="A23" s="5" t="str">
        <f>IF(E23="","",SUBTOTAL(103,$E$6:E23))</f>
        <v/>
      </c>
      <c r="B23" s="6"/>
      <c r="C23" s="6"/>
      <c r="D23" s="6"/>
      <c r="E23" s="2"/>
      <c r="F23" s="2"/>
      <c r="G23" s="2"/>
      <c r="H23" s="2"/>
      <c r="I23" s="2"/>
      <c r="J23" s="1" t="str">
        <f t="shared" si="0"/>
        <v>NO</v>
      </c>
      <c r="K23" s="1" t="str">
        <f t="shared" si="1"/>
        <v xml:space="preserve"> </v>
      </c>
    </row>
    <row r="24" spans="1:11" ht="21.75" customHeight="1">
      <c r="A24" s="5" t="str">
        <f>IF(E24="","",SUBTOTAL(103,$E$6:E24))</f>
        <v/>
      </c>
      <c r="B24" s="6"/>
      <c r="C24" s="6"/>
      <c r="D24" s="6"/>
      <c r="E24" s="2"/>
      <c r="F24" s="2"/>
      <c r="G24" s="2"/>
      <c r="H24" s="2"/>
      <c r="I24" s="2"/>
      <c r="J24" s="1" t="str">
        <f t="shared" si="0"/>
        <v>NO</v>
      </c>
      <c r="K24" s="1" t="str">
        <f t="shared" si="1"/>
        <v xml:space="preserve"> </v>
      </c>
    </row>
    <row r="25" spans="1:11" ht="21.75" customHeight="1">
      <c r="A25" s="5" t="str">
        <f>IF(E25="","",SUBTOTAL(103,$E$6:E25))</f>
        <v/>
      </c>
      <c r="B25" s="6"/>
      <c r="C25" s="6"/>
      <c r="D25" s="6"/>
      <c r="E25" s="2"/>
      <c r="F25" s="2"/>
      <c r="G25" s="2"/>
      <c r="H25" s="2"/>
      <c r="I25" s="2"/>
      <c r="J25" s="1" t="str">
        <f t="shared" si="0"/>
        <v>NO</v>
      </c>
      <c r="K25" s="1" t="str">
        <f t="shared" si="1"/>
        <v xml:space="preserve"> </v>
      </c>
    </row>
    <row r="26" spans="1:11" ht="21.75" customHeight="1">
      <c r="A26" s="5" t="str">
        <f>IF(E26="","",SUBTOTAL(103,$E$6:E26))</f>
        <v/>
      </c>
      <c r="B26" s="6"/>
      <c r="C26" s="6"/>
      <c r="D26" s="6"/>
      <c r="E26" s="2"/>
      <c r="F26" s="2"/>
      <c r="G26" s="2"/>
      <c r="H26" s="2"/>
      <c r="I26" s="2"/>
      <c r="J26" s="1" t="str">
        <f t="shared" si="0"/>
        <v>NO</v>
      </c>
      <c r="K26" s="1" t="str">
        <f t="shared" si="1"/>
        <v xml:space="preserve"> </v>
      </c>
    </row>
    <row r="27" spans="1:11" ht="21.75" customHeight="1">
      <c r="A27" s="5" t="str">
        <f>IF(E27="","",SUBTOTAL(103,$E$6:E27))</f>
        <v/>
      </c>
      <c r="B27" s="6"/>
      <c r="C27" s="6"/>
      <c r="D27" s="6"/>
      <c r="E27" s="2"/>
      <c r="F27" s="2"/>
      <c r="G27" s="2"/>
      <c r="H27" s="2"/>
      <c r="I27" s="2"/>
      <c r="J27" s="1" t="str">
        <f t="shared" si="0"/>
        <v>NO</v>
      </c>
      <c r="K27" s="1" t="str">
        <f t="shared" si="1"/>
        <v xml:space="preserve"> </v>
      </c>
    </row>
    <row r="28" spans="1:11" ht="21.75" customHeight="1">
      <c r="A28" s="5" t="str">
        <f>IF(E28="","",SUBTOTAL(103,$E$6:E28))</f>
        <v/>
      </c>
      <c r="B28" s="6"/>
      <c r="C28" s="6"/>
      <c r="D28" s="6"/>
      <c r="E28" s="2"/>
      <c r="F28" s="2"/>
      <c r="G28" s="2"/>
      <c r="H28" s="2"/>
      <c r="I28" s="2"/>
      <c r="J28" s="1" t="str">
        <f t="shared" si="0"/>
        <v>NO</v>
      </c>
      <c r="K28" s="1" t="str">
        <f t="shared" si="1"/>
        <v xml:space="preserve"> </v>
      </c>
    </row>
    <row r="29" spans="1:11" ht="21.75" customHeight="1">
      <c r="A29" s="5" t="str">
        <f>IF(E29="","",SUBTOTAL(103,$E$6:E29))</f>
        <v/>
      </c>
      <c r="B29" s="6"/>
      <c r="C29" s="6"/>
      <c r="D29" s="6"/>
      <c r="E29" s="2"/>
      <c r="F29" s="2"/>
      <c r="G29" s="2"/>
      <c r="H29" s="2"/>
      <c r="I29" s="2"/>
      <c r="J29" s="1" t="str">
        <f t="shared" si="0"/>
        <v>NO</v>
      </c>
      <c r="K29" s="1" t="str">
        <f t="shared" si="1"/>
        <v xml:space="preserve"> </v>
      </c>
    </row>
    <row r="30" spans="1:11" ht="21.75" customHeight="1">
      <c r="A30" s="5" t="str">
        <f>IF(E30="","",SUBTOTAL(103,$E$6:E30))</f>
        <v/>
      </c>
      <c r="B30" s="6"/>
      <c r="C30" s="6"/>
      <c r="D30" s="6"/>
      <c r="E30" s="2"/>
      <c r="F30" s="2"/>
      <c r="G30" s="2"/>
      <c r="H30" s="2"/>
      <c r="I30" s="2"/>
      <c r="J30" s="1" t="str">
        <f t="shared" si="0"/>
        <v>NO</v>
      </c>
      <c r="K30" s="1" t="str">
        <f t="shared" si="1"/>
        <v xml:space="preserve"> </v>
      </c>
    </row>
    <row r="31" spans="1:11" ht="21.75" customHeight="1">
      <c r="A31" s="5" t="str">
        <f>IF(E31="","",SUBTOTAL(103,$E$6:E31))</f>
        <v/>
      </c>
      <c r="B31" s="6"/>
      <c r="C31" s="6"/>
      <c r="D31" s="6"/>
      <c r="E31" s="2"/>
      <c r="F31" s="2"/>
      <c r="G31" s="2"/>
      <c r="H31" s="2"/>
      <c r="I31" s="2"/>
      <c r="J31" s="1" t="str">
        <f t="shared" si="0"/>
        <v>NO</v>
      </c>
      <c r="K31" s="1" t="str">
        <f t="shared" si="1"/>
        <v xml:space="preserve"> </v>
      </c>
    </row>
    <row r="32" spans="1:11" ht="21.75" customHeight="1">
      <c r="A32" s="5" t="str">
        <f>IF(E32="","",SUBTOTAL(103,$E$6:E32))</f>
        <v/>
      </c>
      <c r="B32" s="6"/>
      <c r="C32" s="6"/>
      <c r="D32" s="6"/>
      <c r="E32" s="2"/>
      <c r="F32" s="2"/>
      <c r="G32" s="2"/>
      <c r="H32" s="2"/>
      <c r="I32" s="2"/>
      <c r="J32" s="1" t="str">
        <f t="shared" si="0"/>
        <v>NO</v>
      </c>
      <c r="K32" s="1" t="str">
        <f t="shared" si="1"/>
        <v xml:space="preserve"> </v>
      </c>
    </row>
    <row r="33" spans="1:11" ht="21.75" customHeight="1">
      <c r="A33" s="5" t="str">
        <f>IF(E33="","",SUBTOTAL(103,$E$6:E33))</f>
        <v/>
      </c>
      <c r="B33" s="6"/>
      <c r="C33" s="6"/>
      <c r="D33" s="6"/>
      <c r="E33" s="2"/>
      <c r="F33" s="2"/>
      <c r="G33" s="2"/>
      <c r="H33" s="2"/>
      <c r="I33" s="2"/>
      <c r="J33" s="1" t="str">
        <f t="shared" si="0"/>
        <v>NO</v>
      </c>
      <c r="K33" s="1" t="str">
        <f t="shared" si="1"/>
        <v xml:space="preserve"> </v>
      </c>
    </row>
    <row r="34" spans="1:11" ht="21.75" customHeight="1">
      <c r="A34" s="5" t="str">
        <f>IF(E34="","",SUBTOTAL(103,$E$6:E34))</f>
        <v/>
      </c>
      <c r="B34" s="6"/>
      <c r="C34" s="6"/>
      <c r="D34" s="6"/>
      <c r="E34" s="2"/>
      <c r="F34" s="2"/>
      <c r="G34" s="2"/>
      <c r="H34" s="2"/>
      <c r="I34" s="2"/>
      <c r="J34" s="1" t="str">
        <f t="shared" si="0"/>
        <v>NO</v>
      </c>
      <c r="K34" s="1" t="str">
        <f t="shared" si="1"/>
        <v xml:space="preserve"> </v>
      </c>
    </row>
    <row r="35" spans="1:11" ht="21.75" customHeight="1">
      <c r="A35" s="5" t="str">
        <f>IF(E35="","",SUBTOTAL(103,$E$6:E35))</f>
        <v/>
      </c>
      <c r="B35" s="6"/>
      <c r="C35" s="6"/>
      <c r="D35" s="6"/>
      <c r="E35" s="2"/>
      <c r="F35" s="2"/>
      <c r="G35" s="2"/>
      <c r="H35" s="2"/>
      <c r="I35" s="2"/>
      <c r="J35" s="1" t="str">
        <f t="shared" si="0"/>
        <v>NO</v>
      </c>
      <c r="K35" s="1" t="str">
        <f t="shared" si="1"/>
        <v xml:space="preserve"> </v>
      </c>
    </row>
    <row r="36" spans="1:11" ht="21.75" customHeight="1">
      <c r="A36" s="5" t="str">
        <f>IF(E36="","",SUBTOTAL(103,$E$6:E36))</f>
        <v/>
      </c>
      <c r="B36" s="6"/>
      <c r="C36" s="6"/>
      <c r="D36" s="6"/>
      <c r="E36" s="2"/>
      <c r="F36" s="2"/>
      <c r="G36" s="2"/>
      <c r="H36" s="2"/>
      <c r="I36" s="2"/>
      <c r="J36" s="1" t="str">
        <f t="shared" si="0"/>
        <v>NO</v>
      </c>
      <c r="K36" s="1" t="str">
        <f t="shared" si="1"/>
        <v xml:space="preserve"> </v>
      </c>
    </row>
    <row r="37" spans="1:11" ht="21.75" customHeight="1">
      <c r="A37" s="5" t="str">
        <f>IF(E37="","",SUBTOTAL(103,$E$6:E37))</f>
        <v/>
      </c>
      <c r="B37" s="6"/>
      <c r="C37" s="6"/>
      <c r="D37" s="6"/>
      <c r="E37" s="2"/>
      <c r="F37" s="2"/>
      <c r="G37" s="2"/>
      <c r="H37" s="2"/>
      <c r="I37" s="2"/>
      <c r="J37" s="1" t="str">
        <f t="shared" si="0"/>
        <v>NO</v>
      </c>
      <c r="K37" s="1" t="str">
        <f t="shared" si="1"/>
        <v xml:space="preserve"> </v>
      </c>
    </row>
    <row r="38" spans="1:11" ht="21.75" customHeight="1">
      <c r="A38" s="5" t="str">
        <f>IF(E38="","",SUBTOTAL(103,$E$6:E38))</f>
        <v/>
      </c>
      <c r="B38" s="6"/>
      <c r="C38" s="6"/>
      <c r="D38" s="6"/>
      <c r="E38" s="2"/>
      <c r="F38" s="2"/>
      <c r="G38" s="2"/>
      <c r="H38" s="2"/>
      <c r="I38" s="2"/>
      <c r="J38" s="1" t="str">
        <f t="shared" si="0"/>
        <v>NO</v>
      </c>
      <c r="K38" s="1" t="str">
        <f t="shared" si="1"/>
        <v xml:space="preserve"> </v>
      </c>
    </row>
    <row r="39" spans="1:11" ht="21.75" customHeight="1">
      <c r="A39" s="5" t="str">
        <f>IF(E39="","",SUBTOTAL(103,$E$6:E39))</f>
        <v/>
      </c>
      <c r="B39" s="6"/>
      <c r="C39" s="6"/>
      <c r="D39" s="6"/>
      <c r="E39" s="2"/>
      <c r="F39" s="2"/>
      <c r="G39" s="2"/>
      <c r="H39" s="2"/>
      <c r="I39" s="2"/>
      <c r="J39" s="1" t="str">
        <f t="shared" si="0"/>
        <v>NO</v>
      </c>
      <c r="K39" s="1" t="str">
        <f t="shared" si="1"/>
        <v xml:space="preserve"> </v>
      </c>
    </row>
    <row r="40" spans="1:11" ht="21.75" customHeight="1">
      <c r="A40" s="5" t="str">
        <f>IF(E40="","",SUBTOTAL(103,$E$6:E40))</f>
        <v/>
      </c>
      <c r="B40" s="6"/>
      <c r="C40" s="6"/>
      <c r="D40" s="6"/>
      <c r="E40" s="2"/>
      <c r="F40" s="2"/>
      <c r="G40" s="2"/>
      <c r="H40" s="2"/>
      <c r="I40" s="2"/>
      <c r="J40" s="1" t="str">
        <f t="shared" si="0"/>
        <v>NO</v>
      </c>
      <c r="K40" s="1" t="str">
        <f t="shared" si="1"/>
        <v xml:space="preserve"> </v>
      </c>
    </row>
    <row r="41" spans="1:11" ht="21.75" customHeight="1">
      <c r="A41" s="5" t="str">
        <f>IF(E41="","",SUBTOTAL(103,$E$6:E41))</f>
        <v/>
      </c>
      <c r="B41" s="6"/>
      <c r="C41" s="6"/>
      <c r="D41" s="6"/>
      <c r="E41" s="2"/>
      <c r="F41" s="2"/>
      <c r="G41" s="2"/>
      <c r="H41" s="2"/>
      <c r="I41" s="2"/>
      <c r="J41" s="1" t="str">
        <f t="shared" si="0"/>
        <v>NO</v>
      </c>
      <c r="K41" s="1" t="str">
        <f t="shared" si="1"/>
        <v xml:space="preserve"> </v>
      </c>
    </row>
    <row r="42" spans="1:11" ht="21.75" customHeight="1">
      <c r="A42" s="5" t="str">
        <f>IF(E42="","",SUBTOTAL(103,$E$6:E42))</f>
        <v/>
      </c>
      <c r="B42" s="6"/>
      <c r="C42" s="6"/>
      <c r="D42" s="6"/>
      <c r="E42" s="2"/>
      <c r="F42" s="2"/>
      <c r="G42" s="2"/>
      <c r="H42" s="2"/>
      <c r="I42" s="2"/>
      <c r="J42" s="1" t="str">
        <f t="shared" si="0"/>
        <v>NO</v>
      </c>
      <c r="K42" s="1" t="str">
        <f t="shared" si="1"/>
        <v xml:space="preserve"> </v>
      </c>
    </row>
    <row r="43" spans="1:11" ht="21.75" customHeight="1">
      <c r="A43" s="5" t="str">
        <f>IF(E43="","",SUBTOTAL(103,$E$6:E43))</f>
        <v/>
      </c>
      <c r="B43" s="6"/>
      <c r="C43" s="6"/>
      <c r="D43" s="6"/>
      <c r="E43" s="2"/>
      <c r="F43" s="2"/>
      <c r="G43" s="2"/>
      <c r="H43" s="2"/>
      <c r="I43" s="2"/>
      <c r="J43" s="1" t="str">
        <f t="shared" si="0"/>
        <v>NO</v>
      </c>
      <c r="K43" s="1" t="str">
        <f t="shared" si="1"/>
        <v xml:space="preserve"> </v>
      </c>
    </row>
    <row r="44" spans="1:11" ht="21.75" customHeight="1">
      <c r="A44" s="5" t="str">
        <f>IF(E44="","",SUBTOTAL(103,$E$6:E44))</f>
        <v/>
      </c>
      <c r="B44" s="6"/>
      <c r="C44" s="6"/>
      <c r="D44" s="6"/>
      <c r="E44" s="2"/>
      <c r="F44" s="2"/>
      <c r="G44" s="2"/>
      <c r="H44" s="2"/>
      <c r="I44" s="2"/>
      <c r="J44" s="1" t="str">
        <f t="shared" si="0"/>
        <v>NO</v>
      </c>
      <c r="K44" s="1" t="str">
        <f t="shared" si="1"/>
        <v xml:space="preserve"> </v>
      </c>
    </row>
    <row r="45" spans="1:11" ht="21.75" customHeight="1">
      <c r="A45" s="5" t="str">
        <f>IF(E45="","",SUBTOTAL(103,$E$6:E45))</f>
        <v/>
      </c>
      <c r="B45" s="6"/>
      <c r="C45" s="6"/>
      <c r="D45" s="6"/>
      <c r="E45" s="2"/>
      <c r="F45" s="2"/>
      <c r="G45" s="2"/>
      <c r="H45" s="2"/>
      <c r="I45" s="2"/>
      <c r="J45" s="1" t="str">
        <f t="shared" si="0"/>
        <v>NO</v>
      </c>
      <c r="K45" s="1" t="str">
        <f t="shared" si="1"/>
        <v xml:space="preserve"> </v>
      </c>
    </row>
    <row r="46" spans="1:11" ht="21.75" customHeight="1">
      <c r="A46" s="5" t="str">
        <f>IF(E46="","",SUBTOTAL(103,$E$6:E46))</f>
        <v/>
      </c>
      <c r="B46" s="6"/>
      <c r="C46" s="6"/>
      <c r="D46" s="6"/>
      <c r="E46" s="2"/>
      <c r="F46" s="2"/>
      <c r="G46" s="2"/>
      <c r="H46" s="2"/>
      <c r="I46" s="2"/>
      <c r="J46" s="1" t="str">
        <f t="shared" si="0"/>
        <v>NO</v>
      </c>
      <c r="K46" s="1" t="str">
        <f t="shared" si="1"/>
        <v xml:space="preserve"> </v>
      </c>
    </row>
    <row r="47" spans="1:11" ht="21.75" customHeight="1">
      <c r="A47" s="5" t="str">
        <f>IF(E47="","",SUBTOTAL(103,$E$6:E47))</f>
        <v/>
      </c>
      <c r="B47" s="6"/>
      <c r="C47" s="6"/>
      <c r="D47" s="6"/>
      <c r="E47" s="2"/>
      <c r="F47" s="2"/>
      <c r="G47" s="2"/>
      <c r="H47" s="2"/>
      <c r="I47" s="2"/>
      <c r="J47" s="1" t="str">
        <f t="shared" si="0"/>
        <v>NO</v>
      </c>
      <c r="K47" s="1" t="str">
        <f t="shared" si="1"/>
        <v xml:space="preserve"> </v>
      </c>
    </row>
    <row r="48" spans="1:11" ht="21.75" customHeight="1">
      <c r="A48" s="5" t="str">
        <f>IF(E48="","",SUBTOTAL(103,$E$6:E48))</f>
        <v/>
      </c>
      <c r="B48" s="6"/>
      <c r="C48" s="6"/>
      <c r="D48" s="6"/>
      <c r="E48" s="2"/>
      <c r="F48" s="2"/>
      <c r="G48" s="2"/>
      <c r="H48" s="2"/>
      <c r="I48" s="2"/>
      <c r="J48" s="1" t="str">
        <f t="shared" si="0"/>
        <v>NO</v>
      </c>
      <c r="K48" s="1" t="str">
        <f t="shared" si="1"/>
        <v xml:space="preserve"> </v>
      </c>
    </row>
    <row r="49" spans="1:11" ht="21.75" customHeight="1">
      <c r="A49" s="5" t="str">
        <f>IF(E49="","",SUBTOTAL(103,$E$6:E49))</f>
        <v/>
      </c>
      <c r="B49" s="6"/>
      <c r="C49" s="6"/>
      <c r="D49" s="6"/>
      <c r="E49" s="2"/>
      <c r="F49" s="2"/>
      <c r="G49" s="2"/>
      <c r="H49" s="2"/>
      <c r="I49" s="2"/>
      <c r="J49" s="1" t="str">
        <f t="shared" si="0"/>
        <v>NO</v>
      </c>
      <c r="K49" s="1" t="str">
        <f t="shared" si="1"/>
        <v xml:space="preserve"> </v>
      </c>
    </row>
    <row r="50" spans="1:11" ht="21.75" customHeight="1">
      <c r="A50" s="5" t="str">
        <f>IF(E50="","",SUBTOTAL(103,$E$6:E50))</f>
        <v/>
      </c>
      <c r="B50" s="6"/>
      <c r="C50" s="6"/>
      <c r="D50" s="6"/>
      <c r="E50" s="2"/>
      <c r="F50" s="2"/>
      <c r="G50" s="2"/>
      <c r="H50" s="2"/>
      <c r="I50" s="2"/>
      <c r="J50" s="1" t="str">
        <f t="shared" si="0"/>
        <v>NO</v>
      </c>
      <c r="K50" s="1" t="str">
        <f t="shared" si="1"/>
        <v xml:space="preserve"> </v>
      </c>
    </row>
    <row r="51" spans="1:11" ht="21.75" customHeight="1">
      <c r="A51" s="5" t="str">
        <f>IF(E51="","",SUBTOTAL(103,$E$6:E51))</f>
        <v/>
      </c>
      <c r="B51" s="6"/>
      <c r="C51" s="6"/>
      <c r="D51" s="6"/>
      <c r="E51" s="2"/>
      <c r="F51" s="2"/>
      <c r="G51" s="2"/>
      <c r="H51" s="2"/>
      <c r="I51" s="2"/>
      <c r="J51" s="1" t="str">
        <f t="shared" si="0"/>
        <v>NO</v>
      </c>
      <c r="K51" s="1" t="str">
        <f t="shared" si="1"/>
        <v xml:space="preserve"> </v>
      </c>
    </row>
    <row r="52" spans="1:11" ht="21.75" customHeight="1">
      <c r="A52" s="5" t="str">
        <f>IF(E52="","",SUBTOTAL(103,$E$6:E52))</f>
        <v/>
      </c>
      <c r="B52" s="6"/>
      <c r="C52" s="6"/>
      <c r="D52" s="6"/>
      <c r="E52" s="2"/>
      <c r="F52" s="2"/>
      <c r="G52" s="2"/>
      <c r="H52" s="2"/>
      <c r="I52" s="2"/>
      <c r="J52" s="1" t="str">
        <f t="shared" si="0"/>
        <v>NO</v>
      </c>
      <c r="K52" s="1" t="str">
        <f t="shared" si="1"/>
        <v xml:space="preserve"> </v>
      </c>
    </row>
    <row r="53" spans="1:11" ht="21.75" customHeight="1">
      <c r="A53" s="5" t="str">
        <f>IF(E53="","",SUBTOTAL(103,$E$6:E53))</f>
        <v/>
      </c>
      <c r="B53" s="6"/>
      <c r="C53" s="6"/>
      <c r="D53" s="6"/>
      <c r="E53" s="2"/>
      <c r="F53" s="2"/>
      <c r="G53" s="2"/>
      <c r="H53" s="2"/>
      <c r="I53" s="2"/>
      <c r="J53" s="1" t="str">
        <f t="shared" si="0"/>
        <v>NO</v>
      </c>
      <c r="K53" s="1" t="str">
        <f t="shared" si="1"/>
        <v xml:space="preserve"> </v>
      </c>
    </row>
    <row r="54" spans="1:11" ht="21.75" customHeight="1">
      <c r="A54" s="5" t="str">
        <f>IF(E54="","",SUBTOTAL(103,$E$6:E54))</f>
        <v/>
      </c>
      <c r="B54" s="6"/>
      <c r="C54" s="6"/>
      <c r="D54" s="6"/>
      <c r="E54" s="2"/>
      <c r="F54" s="2"/>
      <c r="G54" s="2"/>
      <c r="H54" s="2"/>
      <c r="I54" s="2"/>
      <c r="J54" s="1" t="str">
        <f t="shared" si="0"/>
        <v>NO</v>
      </c>
      <c r="K54" s="1" t="str">
        <f t="shared" si="1"/>
        <v xml:space="preserve"> </v>
      </c>
    </row>
    <row r="55" spans="1:11" ht="21.75" customHeight="1">
      <c r="A55" s="5" t="str">
        <f>IF(E55="","",SUBTOTAL(103,$E$6:E55))</f>
        <v/>
      </c>
      <c r="B55" s="6"/>
      <c r="C55" s="6"/>
      <c r="D55" s="6"/>
      <c r="E55" s="2"/>
      <c r="F55" s="2"/>
      <c r="G55" s="2"/>
      <c r="H55" s="2"/>
      <c r="I55" s="2"/>
      <c r="J55" s="1" t="str">
        <f t="shared" si="0"/>
        <v>NO</v>
      </c>
      <c r="K55" s="1" t="str">
        <f t="shared" si="1"/>
        <v xml:space="preserve"> </v>
      </c>
    </row>
    <row r="56" spans="1:11" ht="21.75" customHeight="1">
      <c r="A56" s="5" t="str">
        <f>IF(E56="","",SUBTOTAL(103,$E$6:E56))</f>
        <v/>
      </c>
      <c r="B56" s="6"/>
      <c r="C56" s="6"/>
      <c r="D56" s="6"/>
      <c r="E56" s="2"/>
      <c r="F56" s="2"/>
      <c r="G56" s="2"/>
      <c r="H56" s="2"/>
      <c r="I56" s="2"/>
      <c r="J56" s="1" t="str">
        <f t="shared" si="0"/>
        <v>NO</v>
      </c>
      <c r="K56" s="1" t="str">
        <f t="shared" si="1"/>
        <v xml:space="preserve"> </v>
      </c>
    </row>
    <row r="57" spans="1:11" ht="21.75" customHeight="1">
      <c r="A57" s="5" t="str">
        <f>IF(E57="","",SUBTOTAL(103,$E$6:E57))</f>
        <v/>
      </c>
      <c r="B57" s="6"/>
      <c r="C57" s="6"/>
      <c r="D57" s="6"/>
      <c r="E57" s="2"/>
      <c r="F57" s="2"/>
      <c r="G57" s="2"/>
      <c r="H57" s="2"/>
      <c r="I57" s="2"/>
      <c r="J57" s="1" t="str">
        <f t="shared" si="0"/>
        <v>NO</v>
      </c>
      <c r="K57" s="1" t="str">
        <f t="shared" si="1"/>
        <v xml:space="preserve"> </v>
      </c>
    </row>
    <row r="58" spans="1:11" ht="21.75" customHeight="1">
      <c r="A58" s="5" t="str">
        <f>IF(E58="","",SUBTOTAL(103,$E$6:E58))</f>
        <v/>
      </c>
      <c r="B58" s="6"/>
      <c r="C58" s="6"/>
      <c r="D58" s="6"/>
      <c r="E58" s="2"/>
      <c r="F58" s="2"/>
      <c r="G58" s="2"/>
      <c r="H58" s="2"/>
      <c r="I58" s="2"/>
      <c r="J58" s="1" t="str">
        <f t="shared" si="0"/>
        <v>NO</v>
      </c>
      <c r="K58" s="1" t="str">
        <f t="shared" si="1"/>
        <v xml:space="preserve"> </v>
      </c>
    </row>
    <row r="59" spans="1:11" ht="21.75" customHeight="1">
      <c r="A59" s="5" t="str">
        <f>IF(E59="","",SUBTOTAL(103,$E$6:E59))</f>
        <v/>
      </c>
      <c r="B59" s="6"/>
      <c r="C59" s="6"/>
      <c r="D59" s="6"/>
      <c r="E59" s="2"/>
      <c r="F59" s="2"/>
      <c r="G59" s="2"/>
      <c r="H59" s="2"/>
      <c r="I59" s="2"/>
      <c r="J59" s="1" t="str">
        <f t="shared" si="0"/>
        <v>NO</v>
      </c>
      <c r="K59" s="1" t="str">
        <f t="shared" si="1"/>
        <v xml:space="preserve"> </v>
      </c>
    </row>
    <row r="60" spans="1:11" ht="21.75" customHeight="1">
      <c r="A60" s="5" t="str">
        <f>IF(E60="","",SUBTOTAL(103,$E$6:E60))</f>
        <v/>
      </c>
      <c r="B60" s="6"/>
      <c r="C60" s="6"/>
      <c r="D60" s="6"/>
      <c r="E60" s="2"/>
      <c r="F60" s="2"/>
      <c r="G60" s="2"/>
      <c r="H60" s="2"/>
      <c r="I60" s="2"/>
      <c r="J60" s="1" t="str">
        <f t="shared" si="0"/>
        <v>NO</v>
      </c>
      <c r="K60" s="1" t="str">
        <f t="shared" si="1"/>
        <v xml:space="preserve"> </v>
      </c>
    </row>
    <row r="61" spans="1:11" ht="21.75" customHeight="1">
      <c r="A61" s="5" t="str">
        <f>IF(E61="","",SUBTOTAL(103,$E$6:E61))</f>
        <v/>
      </c>
      <c r="B61" s="6"/>
      <c r="C61" s="6"/>
      <c r="D61" s="6"/>
      <c r="E61" s="2"/>
      <c r="F61" s="2"/>
      <c r="G61" s="2"/>
      <c r="H61" s="2"/>
      <c r="I61" s="2"/>
      <c r="J61" s="1" t="str">
        <f t="shared" si="0"/>
        <v>NO</v>
      </c>
      <c r="K61" s="1" t="str">
        <f t="shared" si="1"/>
        <v xml:space="preserve"> </v>
      </c>
    </row>
    <row r="62" spans="1:11" ht="21.75" customHeight="1">
      <c r="A62" s="5" t="str">
        <f>IF(E62="","",SUBTOTAL(103,$E$6:E62))</f>
        <v/>
      </c>
      <c r="B62" s="6"/>
      <c r="C62" s="6"/>
      <c r="D62" s="6"/>
      <c r="E62" s="2"/>
      <c r="F62" s="2"/>
      <c r="G62" s="2"/>
      <c r="H62" s="2"/>
      <c r="I62" s="2"/>
      <c r="J62" s="1" t="str">
        <f t="shared" si="0"/>
        <v>NO</v>
      </c>
      <c r="K62" s="1" t="str">
        <f t="shared" si="1"/>
        <v xml:space="preserve"> </v>
      </c>
    </row>
    <row r="63" spans="1:11" ht="21.75" customHeight="1">
      <c r="A63" s="5" t="str">
        <f>IF(E63="","",SUBTOTAL(103,$E$6:E63))</f>
        <v/>
      </c>
      <c r="B63" s="6"/>
      <c r="C63" s="6"/>
      <c r="D63" s="6"/>
      <c r="E63" s="2"/>
      <c r="F63" s="2"/>
      <c r="G63" s="2"/>
      <c r="H63" s="2"/>
      <c r="I63" s="2"/>
      <c r="J63" s="1" t="str">
        <f t="shared" si="0"/>
        <v>NO</v>
      </c>
      <c r="K63" s="1" t="str">
        <f t="shared" si="1"/>
        <v xml:space="preserve"> </v>
      </c>
    </row>
    <row r="64" spans="1:11" ht="21.75" customHeight="1">
      <c r="A64" s="5" t="str">
        <f>IF(E64="","",SUBTOTAL(103,$E$6:E64))</f>
        <v/>
      </c>
      <c r="B64" s="6"/>
      <c r="C64" s="6"/>
      <c r="D64" s="6"/>
      <c r="E64" s="2"/>
      <c r="F64" s="2"/>
      <c r="G64" s="2"/>
      <c r="H64" s="2"/>
      <c r="I64" s="2"/>
      <c r="J64" s="1" t="str">
        <f t="shared" si="0"/>
        <v>NO</v>
      </c>
      <c r="K64" s="1" t="str">
        <f t="shared" si="1"/>
        <v xml:space="preserve"> </v>
      </c>
    </row>
    <row r="65" spans="1:11" ht="21.75" customHeight="1">
      <c r="A65" s="5" t="str">
        <f>IF(E65="","",SUBTOTAL(103,$E$6:E65))</f>
        <v/>
      </c>
      <c r="B65" s="6"/>
      <c r="C65" s="6"/>
      <c r="D65" s="6"/>
      <c r="E65" s="2"/>
      <c r="F65" s="2"/>
      <c r="G65" s="2"/>
      <c r="H65" s="2"/>
      <c r="I65" s="2"/>
      <c r="J65" s="1" t="str">
        <f t="shared" si="0"/>
        <v>NO</v>
      </c>
      <c r="K65" s="1" t="str">
        <f t="shared" si="1"/>
        <v xml:space="preserve"> </v>
      </c>
    </row>
    <row r="66" spans="1:11" ht="21.75" customHeight="1">
      <c r="A66" s="5" t="str">
        <f>IF(E66="","",SUBTOTAL(103,$E$6:E66))</f>
        <v/>
      </c>
      <c r="B66" s="6"/>
      <c r="C66" s="6"/>
      <c r="D66" s="6"/>
      <c r="E66" s="2"/>
      <c r="F66" s="2"/>
      <c r="G66" s="2"/>
      <c r="H66" s="2"/>
      <c r="I66" s="2"/>
      <c r="J66" s="1" t="str">
        <f t="shared" si="0"/>
        <v>NO</v>
      </c>
      <c r="K66" s="1" t="str">
        <f t="shared" si="1"/>
        <v xml:space="preserve"> </v>
      </c>
    </row>
    <row r="67" spans="1:11" ht="21.75" customHeight="1">
      <c r="A67" s="5" t="str">
        <f>IF(E67="","",SUBTOTAL(103,$E$6:E67))</f>
        <v/>
      </c>
      <c r="B67" s="6"/>
      <c r="C67" s="6"/>
      <c r="D67" s="6"/>
      <c r="E67" s="2"/>
      <c r="F67" s="2"/>
      <c r="G67" s="2"/>
      <c r="H67" s="2"/>
      <c r="I67" s="2"/>
      <c r="J67" s="1" t="str">
        <f t="shared" si="0"/>
        <v>NO</v>
      </c>
      <c r="K67" s="1" t="str">
        <f t="shared" si="1"/>
        <v xml:space="preserve"> </v>
      </c>
    </row>
    <row r="68" spans="1:11" ht="21.75" customHeight="1">
      <c r="A68" s="5" t="str">
        <f>IF(E68="","",SUBTOTAL(103,$E$6:E68))</f>
        <v/>
      </c>
      <c r="B68" s="6"/>
      <c r="C68" s="6"/>
      <c r="D68" s="6"/>
      <c r="E68" s="2"/>
      <c r="F68" s="2"/>
      <c r="G68" s="2"/>
      <c r="H68" s="2"/>
      <c r="I68" s="2"/>
      <c r="J68" s="1" t="str">
        <f t="shared" si="0"/>
        <v>NO</v>
      </c>
      <c r="K68" s="1" t="str">
        <f t="shared" si="1"/>
        <v xml:space="preserve"> </v>
      </c>
    </row>
    <row r="69" spans="1:11" ht="21.75" customHeight="1">
      <c r="A69" s="5" t="str">
        <f>IF(E69="","",SUBTOTAL(103,$E$6:E69))</f>
        <v/>
      </c>
      <c r="B69" s="6"/>
      <c r="C69" s="6"/>
      <c r="D69" s="6"/>
      <c r="E69" s="2"/>
      <c r="F69" s="2"/>
      <c r="G69" s="2"/>
      <c r="H69" s="2"/>
      <c r="I69" s="2"/>
      <c r="J69" s="1" t="str">
        <f t="shared" si="0"/>
        <v>NO</v>
      </c>
      <c r="K69" s="1" t="str">
        <f t="shared" si="1"/>
        <v xml:space="preserve"> </v>
      </c>
    </row>
    <row r="70" spans="1:11" ht="21.75" customHeight="1">
      <c r="A70" s="5" t="str">
        <f>IF(E70="","",SUBTOTAL(103,$E$6:E70))</f>
        <v/>
      </c>
      <c r="B70" s="6"/>
      <c r="C70" s="6"/>
      <c r="D70" s="6"/>
      <c r="E70" s="2"/>
      <c r="F70" s="2"/>
      <c r="G70" s="2"/>
      <c r="H70" s="2"/>
      <c r="I70" s="2"/>
      <c r="J70" s="1" t="str">
        <f t="shared" ref="J70:J133" si="2">IF(ISERROR(SEARCH("热处理", E70))=FALSE, "XLN", IF(ISERROR(SEARCH("114", E70))=FALSE, "XLN", IF(ISERROR(SEARCH("OM", E70))=FALSE, "NO", IF(ISERROR(SEARCH("试棒毛坯", E70))=FALSE, "XLN", IF(ISERROR(SEARCH("M35", F70))=FALSE, "NO", IF(OR(LEFT(F70, 2)="DN", LEFT(F70, 3)="NPS", ISERROR(SEARCH("LADISH", E70))=FALSE), "XLN", "NO"))))))</f>
        <v>NO</v>
      </c>
      <c r="K70" s="1" t="str">
        <f t="shared" ref="K70:K133" si="3">IF(ISERROR(FIND("304",F70))=FALSE,304,IF(ISERROR(FIND("316",F70))=FALSE,316,IF(ISERROR(FIND("CF8M",F70))=FALSE,316,IF(ISERROR(SEARCH("wcb",F70))=FALSE,"WCB",IF(ISERROR(SEARCH("cd3mn",F70))=FALSE,"CD3MN",IF(ISERROR(SEARCH("CN7M",F70))=FALSE,"CN7M",IF(ISERROR(SEARCH("M35",F70))=FALSE,"M35",IF(ISERROR(SEARCH("CF3M",F70))=FALSE,"CF3M",IF(ISERROR(SEARCH("CD3MWCuN",F70))=FALSE, "CD3MWCuN",  IF(ISERROR(SEARCH("CW12MW",F70))=FALSE, "CW12MW", IF(ISERROR(SEARCH("CF8",F70))=FALSE, 304," ")))))))))))</f>
        <v xml:space="preserve"> </v>
      </c>
    </row>
    <row r="71" spans="1:11" ht="21.75" customHeight="1">
      <c r="A71" s="5" t="str">
        <f>IF(E71="","",SUBTOTAL(103,$E$6:E71))</f>
        <v/>
      </c>
      <c r="B71" s="6"/>
      <c r="C71" s="6"/>
      <c r="D71" s="6"/>
      <c r="E71" s="2"/>
      <c r="F71" s="2"/>
      <c r="G71" s="2"/>
      <c r="H71" s="2"/>
      <c r="I71" s="2"/>
      <c r="J71" s="1" t="str">
        <f t="shared" si="2"/>
        <v>NO</v>
      </c>
      <c r="K71" s="1" t="str">
        <f t="shared" si="3"/>
        <v xml:space="preserve"> </v>
      </c>
    </row>
    <row r="72" spans="1:11" ht="21.75" customHeight="1">
      <c r="A72" s="5" t="str">
        <f>IF(E72="","",SUBTOTAL(103,$E$6:E72))</f>
        <v/>
      </c>
      <c r="B72" s="6"/>
      <c r="C72" s="6"/>
      <c r="D72" s="6"/>
      <c r="E72" s="2"/>
      <c r="F72" s="2"/>
      <c r="G72" s="2"/>
      <c r="H72" s="2"/>
      <c r="I72" s="2"/>
      <c r="J72" s="1" t="str">
        <f t="shared" si="2"/>
        <v>NO</v>
      </c>
      <c r="K72" s="1" t="str">
        <f t="shared" si="3"/>
        <v xml:space="preserve"> </v>
      </c>
    </row>
    <row r="73" spans="1:11" ht="21.75" customHeight="1">
      <c r="A73" s="5" t="str">
        <f>IF(E73="","",SUBTOTAL(103,$E$6:E73))</f>
        <v/>
      </c>
      <c r="B73" s="6"/>
      <c r="C73" s="6"/>
      <c r="D73" s="6"/>
      <c r="E73" s="2"/>
      <c r="F73" s="2"/>
      <c r="G73" s="2"/>
      <c r="H73" s="2"/>
      <c r="I73" s="2"/>
      <c r="J73" s="1" t="str">
        <f t="shared" si="2"/>
        <v>NO</v>
      </c>
      <c r="K73" s="1" t="str">
        <f t="shared" si="3"/>
        <v xml:space="preserve"> </v>
      </c>
    </row>
    <row r="74" spans="1:11" ht="21.75" customHeight="1">
      <c r="A74" s="5" t="str">
        <f>IF(E74="","",SUBTOTAL(103,$E$6:E74))</f>
        <v/>
      </c>
      <c r="B74" s="6"/>
      <c r="C74" s="6"/>
      <c r="D74" s="6"/>
      <c r="E74" s="2"/>
      <c r="F74" s="2"/>
      <c r="G74" s="2"/>
      <c r="H74" s="2"/>
      <c r="I74" s="2"/>
      <c r="J74" s="1" t="str">
        <f t="shared" si="2"/>
        <v>NO</v>
      </c>
      <c r="K74" s="1" t="str">
        <f t="shared" si="3"/>
        <v xml:space="preserve"> </v>
      </c>
    </row>
    <row r="75" spans="1:11" ht="21.75" customHeight="1">
      <c r="A75" s="5" t="str">
        <f>IF(E75="","",SUBTOTAL(103,$E$6:E75))</f>
        <v/>
      </c>
      <c r="B75" s="6"/>
      <c r="C75" s="6"/>
      <c r="D75" s="6"/>
      <c r="E75" s="2"/>
      <c r="F75" s="2"/>
      <c r="G75" s="2"/>
      <c r="H75" s="2"/>
      <c r="I75" s="2"/>
      <c r="J75" s="1" t="str">
        <f t="shared" si="2"/>
        <v>NO</v>
      </c>
      <c r="K75" s="1" t="str">
        <f t="shared" si="3"/>
        <v xml:space="preserve"> </v>
      </c>
    </row>
    <row r="76" spans="1:11" ht="21.75" customHeight="1">
      <c r="A76" s="5" t="str">
        <f>IF(E76="","",SUBTOTAL(103,$E$6:E76))</f>
        <v/>
      </c>
      <c r="B76" s="6"/>
      <c r="C76" s="6"/>
      <c r="D76" s="6"/>
      <c r="E76" s="2"/>
      <c r="F76" s="2"/>
      <c r="G76" s="2"/>
      <c r="H76" s="2"/>
      <c r="I76" s="2"/>
      <c r="J76" s="1" t="str">
        <f t="shared" si="2"/>
        <v>NO</v>
      </c>
      <c r="K76" s="1" t="str">
        <f t="shared" si="3"/>
        <v xml:space="preserve"> </v>
      </c>
    </row>
    <row r="77" spans="1:11" ht="21.75" customHeight="1">
      <c r="A77" s="5" t="str">
        <f>IF(E77="","",SUBTOTAL(103,$E$6:E77))</f>
        <v/>
      </c>
      <c r="B77" s="6"/>
      <c r="C77" s="6"/>
      <c r="D77" s="6"/>
      <c r="E77" s="2"/>
      <c r="F77" s="2"/>
      <c r="G77" s="2"/>
      <c r="H77" s="2"/>
      <c r="I77" s="2"/>
      <c r="J77" s="1" t="str">
        <f t="shared" si="2"/>
        <v>NO</v>
      </c>
      <c r="K77" s="1" t="str">
        <f t="shared" si="3"/>
        <v xml:space="preserve"> </v>
      </c>
    </row>
    <row r="78" spans="1:11" ht="21.75" customHeight="1">
      <c r="A78" s="5" t="str">
        <f>IF(E78="","",SUBTOTAL(103,$E$6:E78))</f>
        <v/>
      </c>
      <c r="B78" s="6"/>
      <c r="C78" s="6"/>
      <c r="D78" s="6"/>
      <c r="E78" s="2"/>
      <c r="F78" s="2"/>
      <c r="G78" s="2"/>
      <c r="H78" s="2"/>
      <c r="I78" s="2"/>
      <c r="J78" s="1" t="str">
        <f t="shared" si="2"/>
        <v>NO</v>
      </c>
      <c r="K78" s="1" t="str">
        <f t="shared" si="3"/>
        <v xml:space="preserve"> </v>
      </c>
    </row>
    <row r="79" spans="1:11" ht="21.75" customHeight="1">
      <c r="A79" s="5" t="str">
        <f>IF(E79="","",SUBTOTAL(103,$E$6:E79))</f>
        <v/>
      </c>
      <c r="B79" s="6"/>
      <c r="C79" s="6"/>
      <c r="D79" s="6"/>
      <c r="E79" s="2"/>
      <c r="F79" s="2"/>
      <c r="G79" s="2"/>
      <c r="H79" s="2"/>
      <c r="I79" s="2"/>
      <c r="J79" s="1" t="str">
        <f t="shared" si="2"/>
        <v>NO</v>
      </c>
      <c r="K79" s="1" t="str">
        <f t="shared" si="3"/>
        <v xml:space="preserve"> </v>
      </c>
    </row>
    <row r="80" spans="1:11" ht="21.75" customHeight="1">
      <c r="A80" s="5" t="str">
        <f>IF(E80="","",SUBTOTAL(103,$E$6:E80))</f>
        <v/>
      </c>
      <c r="B80" s="6"/>
      <c r="C80" s="6"/>
      <c r="D80" s="6"/>
      <c r="E80" s="2"/>
      <c r="F80" s="2"/>
      <c r="G80" s="2"/>
      <c r="H80" s="2"/>
      <c r="I80" s="2"/>
      <c r="J80" s="1" t="str">
        <f t="shared" si="2"/>
        <v>NO</v>
      </c>
      <c r="K80" s="1" t="str">
        <f t="shared" si="3"/>
        <v xml:space="preserve"> </v>
      </c>
    </row>
    <row r="81" spans="1:11" ht="21.75" customHeight="1">
      <c r="A81" s="5" t="str">
        <f>IF(E81="","",SUBTOTAL(103,$E$6:E81))</f>
        <v/>
      </c>
      <c r="B81" s="6"/>
      <c r="C81" s="6"/>
      <c r="D81" s="6"/>
      <c r="E81" s="2"/>
      <c r="F81" s="2"/>
      <c r="G81" s="2"/>
      <c r="H81" s="2"/>
      <c r="I81" s="2"/>
      <c r="J81" s="1" t="str">
        <f t="shared" si="2"/>
        <v>NO</v>
      </c>
      <c r="K81" s="1" t="str">
        <f t="shared" si="3"/>
        <v xml:space="preserve"> </v>
      </c>
    </row>
    <row r="82" spans="1:11" ht="21.75" customHeight="1">
      <c r="A82" s="5" t="str">
        <f>IF(E82="","",SUBTOTAL(103,$E$6:E82))</f>
        <v/>
      </c>
      <c r="B82" s="6"/>
      <c r="C82" s="6"/>
      <c r="D82" s="6"/>
      <c r="E82" s="2"/>
      <c r="F82" s="2"/>
      <c r="G82" s="2"/>
      <c r="H82" s="2"/>
      <c r="I82" s="2"/>
      <c r="J82" s="1" t="str">
        <f t="shared" si="2"/>
        <v>NO</v>
      </c>
      <c r="K82" s="1" t="str">
        <f t="shared" si="3"/>
        <v xml:space="preserve"> </v>
      </c>
    </row>
    <row r="83" spans="1:11" ht="21.75" customHeight="1">
      <c r="A83" s="5" t="str">
        <f>IF(E83="","",SUBTOTAL(103,$E$6:E83))</f>
        <v/>
      </c>
      <c r="B83" s="6"/>
      <c r="C83" s="6"/>
      <c r="D83" s="6"/>
      <c r="E83" s="2"/>
      <c r="F83" s="2"/>
      <c r="G83" s="2"/>
      <c r="H83" s="2"/>
      <c r="I83" s="2"/>
      <c r="J83" s="1" t="str">
        <f t="shared" si="2"/>
        <v>NO</v>
      </c>
      <c r="K83" s="1" t="str">
        <f t="shared" si="3"/>
        <v xml:space="preserve"> </v>
      </c>
    </row>
    <row r="84" spans="1:11" ht="21.75" customHeight="1">
      <c r="A84" s="5" t="str">
        <f>IF(E84="","",SUBTOTAL(103,$E$6:E84))</f>
        <v/>
      </c>
      <c r="B84" s="6"/>
      <c r="C84" s="6"/>
      <c r="D84" s="6"/>
      <c r="E84" s="2"/>
      <c r="F84" s="2"/>
      <c r="G84" s="2"/>
      <c r="H84" s="2"/>
      <c r="I84" s="2"/>
      <c r="J84" s="1" t="str">
        <f t="shared" si="2"/>
        <v>NO</v>
      </c>
      <c r="K84" s="1" t="str">
        <f t="shared" si="3"/>
        <v xml:space="preserve"> </v>
      </c>
    </row>
    <row r="85" spans="1:11" ht="21.75" customHeight="1">
      <c r="A85" s="5" t="str">
        <f>IF(E85="","",SUBTOTAL(103,$E$6:E85))</f>
        <v/>
      </c>
      <c r="B85" s="6"/>
      <c r="C85" s="6"/>
      <c r="D85" s="6"/>
      <c r="E85" s="2"/>
      <c r="F85" s="2"/>
      <c r="G85" s="2"/>
      <c r="H85" s="2"/>
      <c r="I85" s="2"/>
      <c r="J85" s="1" t="str">
        <f t="shared" si="2"/>
        <v>NO</v>
      </c>
      <c r="K85" s="1" t="str">
        <f t="shared" si="3"/>
        <v xml:space="preserve"> </v>
      </c>
    </row>
    <row r="86" spans="1:11" ht="21.75" customHeight="1">
      <c r="A86" s="5" t="str">
        <f>IF(E86="","",SUBTOTAL(103,$E$6:E86))</f>
        <v/>
      </c>
      <c r="B86" s="6"/>
      <c r="C86" s="6"/>
      <c r="D86" s="6"/>
      <c r="E86" s="2"/>
      <c r="F86" s="2"/>
      <c r="G86" s="2"/>
      <c r="H86" s="2"/>
      <c r="I86" s="2"/>
      <c r="J86" s="1" t="str">
        <f t="shared" si="2"/>
        <v>NO</v>
      </c>
      <c r="K86" s="1" t="str">
        <f t="shared" si="3"/>
        <v xml:space="preserve"> </v>
      </c>
    </row>
    <row r="87" spans="1:11" ht="21.75" customHeight="1">
      <c r="A87" s="5" t="str">
        <f>IF(E87="","",SUBTOTAL(103,$E$6:E87))</f>
        <v/>
      </c>
      <c r="B87" s="6"/>
      <c r="C87" s="6"/>
      <c r="D87" s="6"/>
      <c r="E87" s="2"/>
      <c r="F87" s="2"/>
      <c r="G87" s="2"/>
      <c r="H87" s="2"/>
      <c r="I87" s="2"/>
      <c r="J87" s="1" t="str">
        <f t="shared" si="2"/>
        <v>NO</v>
      </c>
      <c r="K87" s="1" t="str">
        <f t="shared" si="3"/>
        <v xml:space="preserve"> </v>
      </c>
    </row>
    <row r="88" spans="1:11" ht="21.75" customHeight="1">
      <c r="A88" s="5" t="str">
        <f>IF(E88="","",SUBTOTAL(103,$E$6:E88))</f>
        <v/>
      </c>
      <c r="B88" s="6"/>
      <c r="C88" s="6"/>
      <c r="D88" s="6"/>
      <c r="E88" s="2"/>
      <c r="F88" s="2"/>
      <c r="G88" s="2"/>
      <c r="H88" s="2"/>
      <c r="I88" s="2"/>
      <c r="J88" s="1" t="str">
        <f t="shared" si="2"/>
        <v>NO</v>
      </c>
      <c r="K88" s="1" t="str">
        <f t="shared" si="3"/>
        <v xml:space="preserve"> </v>
      </c>
    </row>
    <row r="89" spans="1:11" ht="21.75" customHeight="1">
      <c r="A89" s="5" t="str">
        <f>IF(E89="","",SUBTOTAL(103,$E$6:E89))</f>
        <v/>
      </c>
      <c r="B89" s="6"/>
      <c r="C89" s="6"/>
      <c r="D89" s="6"/>
      <c r="E89" s="2"/>
      <c r="F89" s="2"/>
      <c r="G89" s="2"/>
      <c r="H89" s="2"/>
      <c r="I89" s="2"/>
      <c r="J89" s="1" t="str">
        <f t="shared" si="2"/>
        <v>NO</v>
      </c>
      <c r="K89" s="1" t="str">
        <f t="shared" si="3"/>
        <v xml:space="preserve"> </v>
      </c>
    </row>
    <row r="90" spans="1:11" ht="21.75" customHeight="1">
      <c r="A90" s="5" t="str">
        <f>IF(E90="","",SUBTOTAL(103,$E$6:E90))</f>
        <v/>
      </c>
      <c r="B90" s="6"/>
      <c r="C90" s="6"/>
      <c r="D90" s="6"/>
      <c r="E90" s="2"/>
      <c r="F90" s="2"/>
      <c r="G90" s="2"/>
      <c r="H90" s="2"/>
      <c r="I90" s="2"/>
      <c r="J90" s="1" t="str">
        <f t="shared" si="2"/>
        <v>NO</v>
      </c>
      <c r="K90" s="1" t="str">
        <f t="shared" si="3"/>
        <v xml:space="preserve"> </v>
      </c>
    </row>
    <row r="91" spans="1:11" ht="21.75" customHeight="1">
      <c r="A91" s="5" t="str">
        <f>IF(E91="","",SUBTOTAL(103,$E$6:E91))</f>
        <v/>
      </c>
      <c r="B91" s="6"/>
      <c r="C91" s="6"/>
      <c r="D91" s="6"/>
      <c r="E91" s="2"/>
      <c r="F91" s="2"/>
      <c r="G91" s="2"/>
      <c r="H91" s="2"/>
      <c r="I91" s="2"/>
      <c r="J91" s="1" t="str">
        <f t="shared" si="2"/>
        <v>NO</v>
      </c>
      <c r="K91" s="1" t="str">
        <f t="shared" si="3"/>
        <v xml:space="preserve"> </v>
      </c>
    </row>
    <row r="92" spans="1:11" ht="21.75" customHeight="1">
      <c r="A92" s="5" t="str">
        <f>IF(E92="","",SUBTOTAL(103,$E$6:E92))</f>
        <v/>
      </c>
      <c r="B92" s="6"/>
      <c r="C92" s="6"/>
      <c r="D92" s="6"/>
      <c r="E92" s="2"/>
      <c r="F92" s="2"/>
      <c r="G92" s="2"/>
      <c r="H92" s="2"/>
      <c r="I92" s="2"/>
      <c r="J92" s="1" t="str">
        <f t="shared" si="2"/>
        <v>NO</v>
      </c>
      <c r="K92" s="1" t="str">
        <f t="shared" si="3"/>
        <v xml:space="preserve"> </v>
      </c>
    </row>
    <row r="93" spans="1:11" ht="21.75" customHeight="1">
      <c r="A93" s="5" t="str">
        <f>IF(E93="","",SUBTOTAL(103,$E$6:E93))</f>
        <v/>
      </c>
      <c r="B93" s="6"/>
      <c r="C93" s="6"/>
      <c r="D93" s="6"/>
      <c r="E93" s="2"/>
      <c r="F93" s="2"/>
      <c r="G93" s="2"/>
      <c r="H93" s="2"/>
      <c r="I93" s="2"/>
      <c r="J93" s="1" t="str">
        <f t="shared" si="2"/>
        <v>NO</v>
      </c>
      <c r="K93" s="1" t="str">
        <f t="shared" si="3"/>
        <v xml:space="preserve"> </v>
      </c>
    </row>
    <row r="94" spans="1:11" ht="21.75" customHeight="1">
      <c r="A94" s="5" t="str">
        <f>IF(E94="","",SUBTOTAL(103,$E$6:E94))</f>
        <v/>
      </c>
      <c r="B94" s="6"/>
      <c r="C94" s="6"/>
      <c r="D94" s="6"/>
      <c r="E94" s="2"/>
      <c r="F94" s="2"/>
      <c r="G94" s="2"/>
      <c r="H94" s="2"/>
      <c r="I94" s="2"/>
      <c r="J94" s="1" t="str">
        <f t="shared" si="2"/>
        <v>NO</v>
      </c>
      <c r="K94" s="1" t="str">
        <f t="shared" si="3"/>
        <v xml:space="preserve"> </v>
      </c>
    </row>
    <row r="95" spans="1:11" ht="21.75" customHeight="1">
      <c r="A95" s="5" t="str">
        <f>IF(E95="","",SUBTOTAL(103,$E$6:E95))</f>
        <v/>
      </c>
      <c r="B95" s="6"/>
      <c r="C95" s="6"/>
      <c r="D95" s="6"/>
      <c r="E95" s="2"/>
      <c r="F95" s="2"/>
      <c r="G95" s="2"/>
      <c r="H95" s="2"/>
      <c r="I95" s="2"/>
      <c r="J95" s="1" t="str">
        <f t="shared" si="2"/>
        <v>NO</v>
      </c>
      <c r="K95" s="1" t="str">
        <f t="shared" si="3"/>
        <v xml:space="preserve"> </v>
      </c>
    </row>
    <row r="96" spans="1:11" ht="21.75" customHeight="1">
      <c r="A96" s="5" t="str">
        <f>IF(E96="","",SUBTOTAL(103,$E$6:E96))</f>
        <v/>
      </c>
      <c r="B96" s="6"/>
      <c r="C96" s="6"/>
      <c r="D96" s="6"/>
      <c r="E96" s="2"/>
      <c r="F96" s="2"/>
      <c r="G96" s="2"/>
      <c r="H96" s="2"/>
      <c r="I96" s="2"/>
      <c r="J96" s="1" t="str">
        <f t="shared" si="2"/>
        <v>NO</v>
      </c>
      <c r="K96" s="1" t="str">
        <f t="shared" si="3"/>
        <v xml:space="preserve"> </v>
      </c>
    </row>
    <row r="97" spans="1:11" ht="21.75" customHeight="1">
      <c r="A97" s="5" t="str">
        <f>IF(E97="","",SUBTOTAL(103,$E$6:E97))</f>
        <v/>
      </c>
      <c r="B97" s="6"/>
      <c r="C97" s="6"/>
      <c r="D97" s="6"/>
      <c r="E97" s="2"/>
      <c r="F97" s="2"/>
      <c r="G97" s="2"/>
      <c r="H97" s="2"/>
      <c r="I97" s="2"/>
      <c r="J97" s="1" t="str">
        <f t="shared" si="2"/>
        <v>NO</v>
      </c>
      <c r="K97" s="1" t="str">
        <f t="shared" si="3"/>
        <v xml:space="preserve"> </v>
      </c>
    </row>
    <row r="98" spans="1:11" ht="21.75" customHeight="1">
      <c r="A98" s="5" t="str">
        <f>IF(E98="","",SUBTOTAL(103,$E$6:E98))</f>
        <v/>
      </c>
      <c r="B98" s="6"/>
      <c r="C98" s="6"/>
      <c r="D98" s="6"/>
      <c r="E98" s="2"/>
      <c r="F98" s="2"/>
      <c r="G98" s="2"/>
      <c r="H98" s="2"/>
      <c r="I98" s="2"/>
      <c r="J98" s="1" t="str">
        <f t="shared" si="2"/>
        <v>NO</v>
      </c>
      <c r="K98" s="1" t="str">
        <f t="shared" si="3"/>
        <v xml:space="preserve"> </v>
      </c>
    </row>
    <row r="99" spans="1:11" ht="21.75" customHeight="1">
      <c r="A99" s="5" t="str">
        <f>IF(E99="","",SUBTOTAL(103,$E$6:E99))</f>
        <v/>
      </c>
      <c r="B99" s="6"/>
      <c r="C99" s="6"/>
      <c r="D99" s="6"/>
      <c r="E99" s="2"/>
      <c r="F99" s="2"/>
      <c r="G99" s="2"/>
      <c r="H99" s="2"/>
      <c r="I99" s="2"/>
      <c r="J99" s="1" t="str">
        <f t="shared" si="2"/>
        <v>NO</v>
      </c>
      <c r="K99" s="1" t="str">
        <f t="shared" si="3"/>
        <v xml:space="preserve"> </v>
      </c>
    </row>
    <row r="100" spans="1:11" ht="21.75" customHeight="1">
      <c r="A100" s="5" t="str">
        <f>IF(E100="","",SUBTOTAL(103,$E$6:E100))</f>
        <v/>
      </c>
      <c r="B100" s="6"/>
      <c r="C100" s="6"/>
      <c r="D100" s="6"/>
      <c r="E100" s="2"/>
      <c r="F100" s="2"/>
      <c r="G100" s="2"/>
      <c r="H100" s="2"/>
      <c r="I100" s="2"/>
      <c r="J100" s="1" t="str">
        <f t="shared" si="2"/>
        <v>NO</v>
      </c>
      <c r="K100" s="1" t="str">
        <f t="shared" si="3"/>
        <v xml:space="preserve"> </v>
      </c>
    </row>
    <row r="101" spans="1:11" ht="21.75" customHeight="1">
      <c r="A101" s="5" t="str">
        <f>IF(E101="","",SUBTOTAL(103,$E$6:E101))</f>
        <v/>
      </c>
      <c r="B101" s="6"/>
      <c r="C101" s="6"/>
      <c r="D101" s="6"/>
      <c r="E101" s="2"/>
      <c r="F101" s="2"/>
      <c r="G101" s="2"/>
      <c r="H101" s="2"/>
      <c r="I101" s="2"/>
      <c r="J101" s="1" t="str">
        <f t="shared" si="2"/>
        <v>NO</v>
      </c>
      <c r="K101" s="1" t="str">
        <f t="shared" si="3"/>
        <v xml:space="preserve"> </v>
      </c>
    </row>
    <row r="102" spans="1:11" ht="21.75" customHeight="1">
      <c r="A102" s="5" t="str">
        <f>IF(E102="","",SUBTOTAL(103,$E$6:E102))</f>
        <v/>
      </c>
      <c r="B102" s="6"/>
      <c r="C102" s="6"/>
      <c r="D102" s="6"/>
      <c r="E102" s="2"/>
      <c r="F102" s="2"/>
      <c r="G102" s="2"/>
      <c r="H102" s="2"/>
      <c r="I102" s="2"/>
      <c r="J102" s="1" t="str">
        <f t="shared" si="2"/>
        <v>NO</v>
      </c>
      <c r="K102" s="1" t="str">
        <f t="shared" si="3"/>
        <v xml:space="preserve"> </v>
      </c>
    </row>
    <row r="103" spans="1:11" ht="21.75" customHeight="1">
      <c r="A103" s="5" t="str">
        <f>IF(E103="","",SUBTOTAL(103,$E$6:E103))</f>
        <v/>
      </c>
      <c r="B103" s="6"/>
      <c r="C103" s="6"/>
      <c r="D103" s="6"/>
      <c r="E103" s="2"/>
      <c r="F103" s="2"/>
      <c r="G103" s="2"/>
      <c r="H103" s="2"/>
      <c r="I103" s="2"/>
      <c r="J103" s="1" t="str">
        <f t="shared" si="2"/>
        <v>NO</v>
      </c>
      <c r="K103" s="1" t="str">
        <f t="shared" si="3"/>
        <v xml:space="preserve"> </v>
      </c>
    </row>
    <row r="104" spans="1:11" ht="21.75" customHeight="1">
      <c r="A104" s="5" t="str">
        <f>IF(E104="","",SUBTOTAL(103,$E$6:E104))</f>
        <v/>
      </c>
      <c r="B104" s="6"/>
      <c r="C104" s="6"/>
      <c r="D104" s="6"/>
      <c r="E104" s="2"/>
      <c r="F104" s="2"/>
      <c r="G104" s="2"/>
      <c r="H104" s="2"/>
      <c r="I104" s="2"/>
      <c r="J104" s="1" t="str">
        <f t="shared" si="2"/>
        <v>NO</v>
      </c>
      <c r="K104" s="1" t="str">
        <f t="shared" si="3"/>
        <v xml:space="preserve"> </v>
      </c>
    </row>
    <row r="105" spans="1:11" ht="21.75" customHeight="1">
      <c r="A105" s="5" t="str">
        <f>IF(E105="","",SUBTOTAL(103,$E$6:E105))</f>
        <v/>
      </c>
      <c r="B105" s="6"/>
      <c r="C105" s="6"/>
      <c r="D105" s="6"/>
      <c r="E105" s="2"/>
      <c r="F105" s="2"/>
      <c r="G105" s="2"/>
      <c r="H105" s="2"/>
      <c r="I105" s="2"/>
      <c r="J105" s="1" t="str">
        <f t="shared" si="2"/>
        <v>NO</v>
      </c>
      <c r="K105" s="1" t="str">
        <f t="shared" si="3"/>
        <v xml:space="preserve"> </v>
      </c>
    </row>
    <row r="106" spans="1:11" ht="21.75" customHeight="1">
      <c r="A106" s="5" t="str">
        <f>IF(E106="","",SUBTOTAL(103,$E$6:E106))</f>
        <v/>
      </c>
      <c r="B106" s="6"/>
      <c r="C106" s="6"/>
      <c r="D106" s="6"/>
      <c r="E106" s="2"/>
      <c r="F106" s="2"/>
      <c r="G106" s="2"/>
      <c r="H106" s="2"/>
      <c r="I106" s="2"/>
      <c r="J106" s="1" t="str">
        <f t="shared" si="2"/>
        <v>NO</v>
      </c>
      <c r="K106" s="1" t="str">
        <f t="shared" si="3"/>
        <v xml:space="preserve"> </v>
      </c>
    </row>
    <row r="107" spans="1:11" ht="21.75" customHeight="1">
      <c r="A107" s="5" t="str">
        <f>IF(E107="","",SUBTOTAL(103,$E$6:E107))</f>
        <v/>
      </c>
      <c r="B107" s="6"/>
      <c r="C107" s="6"/>
      <c r="D107" s="6"/>
      <c r="E107" s="2"/>
      <c r="F107" s="2"/>
      <c r="G107" s="2"/>
      <c r="H107" s="2"/>
      <c r="I107" s="2"/>
      <c r="J107" s="1" t="str">
        <f t="shared" si="2"/>
        <v>NO</v>
      </c>
      <c r="K107" s="1" t="str">
        <f t="shared" si="3"/>
        <v xml:space="preserve"> </v>
      </c>
    </row>
    <row r="108" spans="1:11" ht="21.75" customHeight="1">
      <c r="A108" s="5" t="str">
        <f>IF(E108="","",SUBTOTAL(103,$E$6:E108))</f>
        <v/>
      </c>
      <c r="B108" s="6"/>
      <c r="C108" s="6"/>
      <c r="D108" s="6"/>
      <c r="E108" s="2"/>
      <c r="F108" s="2"/>
      <c r="G108" s="2"/>
      <c r="H108" s="2"/>
      <c r="I108" s="2"/>
      <c r="J108" s="1" t="str">
        <f t="shared" si="2"/>
        <v>NO</v>
      </c>
      <c r="K108" s="1" t="str">
        <f t="shared" si="3"/>
        <v xml:space="preserve"> </v>
      </c>
    </row>
    <row r="109" spans="1:11" ht="21.75" customHeight="1">
      <c r="A109" s="5" t="str">
        <f>IF(E109="","",SUBTOTAL(103,$E$6:E109))</f>
        <v/>
      </c>
      <c r="B109" s="6"/>
      <c r="C109" s="6"/>
      <c r="D109" s="6"/>
      <c r="E109" s="2"/>
      <c r="F109" s="2"/>
      <c r="G109" s="2"/>
      <c r="H109" s="2"/>
      <c r="I109" s="2"/>
      <c r="J109" s="1" t="str">
        <f t="shared" si="2"/>
        <v>NO</v>
      </c>
      <c r="K109" s="1" t="str">
        <f t="shared" si="3"/>
        <v xml:space="preserve"> </v>
      </c>
    </row>
    <row r="110" spans="1:11" ht="21.75" customHeight="1">
      <c r="A110" s="5" t="str">
        <f>IF(E110="","",SUBTOTAL(103,$E$6:E110))</f>
        <v/>
      </c>
      <c r="B110" s="6"/>
      <c r="C110" s="6"/>
      <c r="D110" s="6"/>
      <c r="E110" s="2"/>
      <c r="F110" s="2"/>
      <c r="G110" s="2"/>
      <c r="H110" s="2"/>
      <c r="I110" s="2"/>
      <c r="J110" s="1" t="str">
        <f t="shared" si="2"/>
        <v>NO</v>
      </c>
      <c r="K110" s="1" t="str">
        <f t="shared" si="3"/>
        <v xml:space="preserve"> </v>
      </c>
    </row>
    <row r="111" spans="1:11" ht="21.75" customHeight="1">
      <c r="A111" s="5" t="str">
        <f>IF(E111="","",SUBTOTAL(103,$E$6:E111))</f>
        <v/>
      </c>
      <c r="B111" s="6"/>
      <c r="C111" s="6"/>
      <c r="D111" s="6"/>
      <c r="E111" s="2"/>
      <c r="F111" s="2"/>
      <c r="G111" s="2"/>
      <c r="H111" s="2"/>
      <c r="I111" s="2"/>
      <c r="J111" s="1" t="str">
        <f t="shared" si="2"/>
        <v>NO</v>
      </c>
      <c r="K111" s="1" t="str">
        <f t="shared" si="3"/>
        <v xml:space="preserve"> </v>
      </c>
    </row>
    <row r="112" spans="1:11" ht="21.75" customHeight="1">
      <c r="A112" s="5" t="str">
        <f>IF(E112="","",SUBTOTAL(103,$E$6:E112))</f>
        <v/>
      </c>
      <c r="B112" s="6"/>
      <c r="C112" s="6"/>
      <c r="D112" s="6"/>
      <c r="E112" s="2"/>
      <c r="F112" s="2"/>
      <c r="G112" s="2"/>
      <c r="H112" s="2"/>
      <c r="I112" s="2"/>
      <c r="J112" s="1" t="str">
        <f t="shared" si="2"/>
        <v>NO</v>
      </c>
      <c r="K112" s="1" t="str">
        <f t="shared" si="3"/>
        <v xml:space="preserve"> </v>
      </c>
    </row>
    <row r="113" spans="1:11" ht="21.75" customHeight="1">
      <c r="A113" s="5" t="str">
        <f>IF(E113="","",SUBTOTAL(103,$E$6:E113))</f>
        <v/>
      </c>
      <c r="B113" s="6"/>
      <c r="C113" s="6"/>
      <c r="D113" s="6"/>
      <c r="E113" s="2"/>
      <c r="F113" s="2"/>
      <c r="G113" s="2"/>
      <c r="H113" s="2"/>
      <c r="I113" s="2"/>
      <c r="J113" s="1" t="str">
        <f t="shared" si="2"/>
        <v>NO</v>
      </c>
      <c r="K113" s="1" t="str">
        <f t="shared" si="3"/>
        <v xml:space="preserve"> </v>
      </c>
    </row>
    <row r="114" spans="1:11" ht="21.75" customHeight="1">
      <c r="A114" s="5" t="str">
        <f>IF(E114="","",SUBTOTAL(103,$E$6:E114))</f>
        <v/>
      </c>
      <c r="B114" s="6"/>
      <c r="C114" s="6"/>
      <c r="D114" s="6"/>
      <c r="E114" s="2"/>
      <c r="F114" s="2"/>
      <c r="G114" s="2"/>
      <c r="H114" s="2"/>
      <c r="I114" s="2"/>
      <c r="J114" s="1" t="str">
        <f t="shared" si="2"/>
        <v>NO</v>
      </c>
      <c r="K114" s="1" t="str">
        <f t="shared" si="3"/>
        <v xml:space="preserve"> </v>
      </c>
    </row>
    <row r="115" spans="1:11" ht="21.75" customHeight="1">
      <c r="A115" s="5" t="str">
        <f>IF(E115="","",SUBTOTAL(103,$E$6:E115))</f>
        <v/>
      </c>
      <c r="B115" s="6"/>
      <c r="C115" s="6"/>
      <c r="D115" s="6"/>
      <c r="E115" s="2"/>
      <c r="F115" s="2"/>
      <c r="G115" s="2"/>
      <c r="H115" s="2"/>
      <c r="I115" s="2"/>
      <c r="J115" s="1" t="str">
        <f t="shared" si="2"/>
        <v>NO</v>
      </c>
      <c r="K115" s="1" t="str">
        <f t="shared" si="3"/>
        <v xml:space="preserve"> </v>
      </c>
    </row>
    <row r="116" spans="1:11" ht="21.75" customHeight="1">
      <c r="A116" s="5" t="str">
        <f>IF(E116="","",SUBTOTAL(103,$E$6:E116))</f>
        <v/>
      </c>
      <c r="B116" s="6"/>
      <c r="C116" s="6"/>
      <c r="D116" s="6"/>
      <c r="E116" s="2"/>
      <c r="F116" s="2"/>
      <c r="G116" s="2"/>
      <c r="H116" s="2"/>
      <c r="I116" s="2"/>
      <c r="J116" s="1" t="str">
        <f t="shared" si="2"/>
        <v>NO</v>
      </c>
      <c r="K116" s="1" t="str">
        <f t="shared" si="3"/>
        <v xml:space="preserve"> </v>
      </c>
    </row>
    <row r="117" spans="1:11" ht="21.75" customHeight="1">
      <c r="A117" s="5" t="str">
        <f>IF(E117="","",SUBTOTAL(103,$E$6:E117))</f>
        <v/>
      </c>
      <c r="B117" s="6"/>
      <c r="C117" s="6"/>
      <c r="D117" s="6"/>
      <c r="E117" s="2"/>
      <c r="F117" s="2"/>
      <c r="G117" s="2"/>
      <c r="H117" s="2"/>
      <c r="I117" s="2"/>
      <c r="J117" s="1" t="str">
        <f t="shared" si="2"/>
        <v>NO</v>
      </c>
      <c r="K117" s="1" t="str">
        <f t="shared" si="3"/>
        <v xml:space="preserve"> </v>
      </c>
    </row>
    <row r="118" spans="1:11" ht="21.75" customHeight="1">
      <c r="A118" s="5" t="str">
        <f>IF(E118="","",SUBTOTAL(103,$E$6:E118))</f>
        <v/>
      </c>
      <c r="B118" s="6"/>
      <c r="C118" s="6"/>
      <c r="D118" s="6"/>
      <c r="E118" s="2"/>
      <c r="F118" s="2"/>
      <c r="G118" s="2"/>
      <c r="H118" s="2"/>
      <c r="I118" s="2"/>
      <c r="J118" s="1" t="str">
        <f t="shared" si="2"/>
        <v>NO</v>
      </c>
      <c r="K118" s="1" t="str">
        <f t="shared" si="3"/>
        <v xml:space="preserve"> </v>
      </c>
    </row>
    <row r="119" spans="1:11" ht="21.75" customHeight="1">
      <c r="A119" s="5" t="str">
        <f>IF(E119="","",SUBTOTAL(103,$E$6:E119))</f>
        <v/>
      </c>
      <c r="B119" s="6"/>
      <c r="C119" s="6"/>
      <c r="D119" s="6"/>
      <c r="E119" s="2"/>
      <c r="F119" s="2"/>
      <c r="G119" s="2"/>
      <c r="H119" s="2"/>
      <c r="I119" s="2"/>
      <c r="J119" s="1" t="str">
        <f t="shared" si="2"/>
        <v>NO</v>
      </c>
      <c r="K119" s="1" t="str">
        <f t="shared" si="3"/>
        <v xml:space="preserve"> </v>
      </c>
    </row>
    <row r="120" spans="1:11" ht="21.75" customHeight="1">
      <c r="A120" s="5" t="str">
        <f>IF(E120="","",SUBTOTAL(103,$E$6:E120))</f>
        <v/>
      </c>
      <c r="B120" s="6"/>
      <c r="C120" s="6"/>
      <c r="D120" s="6"/>
      <c r="E120" s="2"/>
      <c r="F120" s="2"/>
      <c r="G120" s="2"/>
      <c r="H120" s="2"/>
      <c r="I120" s="2"/>
      <c r="J120" s="1" t="str">
        <f t="shared" si="2"/>
        <v>NO</v>
      </c>
      <c r="K120" s="1" t="str">
        <f t="shared" si="3"/>
        <v xml:space="preserve"> </v>
      </c>
    </row>
    <row r="121" spans="1:11" ht="21.75" customHeight="1">
      <c r="A121" s="5" t="str">
        <f>IF(E121="","",SUBTOTAL(103,$E$6:E121))</f>
        <v/>
      </c>
      <c r="B121" s="6"/>
      <c r="C121" s="6"/>
      <c r="D121" s="6"/>
      <c r="E121" s="2"/>
      <c r="F121" s="2"/>
      <c r="G121" s="2"/>
      <c r="H121" s="2"/>
      <c r="I121" s="2"/>
      <c r="J121" s="1" t="str">
        <f t="shared" si="2"/>
        <v>NO</v>
      </c>
      <c r="K121" s="1" t="str">
        <f t="shared" si="3"/>
        <v xml:space="preserve"> </v>
      </c>
    </row>
    <row r="122" spans="1:11" ht="21.75" customHeight="1">
      <c r="A122" s="5" t="str">
        <f>IF(E122="","",SUBTOTAL(103,$E$6:E122))</f>
        <v/>
      </c>
      <c r="B122" s="6"/>
      <c r="C122" s="6"/>
      <c r="D122" s="6"/>
      <c r="E122" s="2"/>
      <c r="F122" s="2"/>
      <c r="G122" s="2"/>
      <c r="H122" s="2"/>
      <c r="I122" s="2"/>
      <c r="J122" s="1" t="str">
        <f t="shared" si="2"/>
        <v>NO</v>
      </c>
      <c r="K122" s="1" t="str">
        <f t="shared" si="3"/>
        <v xml:space="preserve"> </v>
      </c>
    </row>
    <row r="123" spans="1:11" ht="21.75" customHeight="1">
      <c r="A123" s="5" t="str">
        <f>IF(E123="","",SUBTOTAL(103,$E$6:E123))</f>
        <v/>
      </c>
      <c r="B123" s="6"/>
      <c r="C123" s="6"/>
      <c r="D123" s="6"/>
      <c r="E123" s="2"/>
      <c r="F123" s="2"/>
      <c r="G123" s="2"/>
      <c r="H123" s="2"/>
      <c r="I123" s="2"/>
      <c r="J123" s="1" t="str">
        <f t="shared" si="2"/>
        <v>NO</v>
      </c>
      <c r="K123" s="1" t="str">
        <f t="shared" si="3"/>
        <v xml:space="preserve"> </v>
      </c>
    </row>
    <row r="124" spans="1:11" ht="21.75" customHeight="1">
      <c r="A124" s="5" t="str">
        <f>IF(E124="","",SUBTOTAL(103,$E$6:E124))</f>
        <v/>
      </c>
      <c r="B124" s="6"/>
      <c r="C124" s="6"/>
      <c r="D124" s="6"/>
      <c r="E124" s="2"/>
      <c r="F124" s="2"/>
      <c r="G124" s="2"/>
      <c r="H124" s="2"/>
      <c r="I124" s="2"/>
      <c r="J124" s="1" t="str">
        <f t="shared" si="2"/>
        <v>NO</v>
      </c>
      <c r="K124" s="1" t="str">
        <f t="shared" si="3"/>
        <v xml:space="preserve"> </v>
      </c>
    </row>
    <row r="125" spans="1:11" ht="21.75" customHeight="1">
      <c r="A125" s="5" t="str">
        <f>IF(E125="","",SUBTOTAL(103,$E$6:E125))</f>
        <v/>
      </c>
      <c r="B125" s="6"/>
      <c r="C125" s="6"/>
      <c r="D125" s="6"/>
      <c r="E125" s="2"/>
      <c r="F125" s="2"/>
      <c r="G125" s="2"/>
      <c r="H125" s="2"/>
      <c r="I125" s="2"/>
      <c r="J125" s="1" t="str">
        <f t="shared" si="2"/>
        <v>NO</v>
      </c>
      <c r="K125" s="1" t="str">
        <f t="shared" si="3"/>
        <v xml:space="preserve"> </v>
      </c>
    </row>
    <row r="126" spans="1:11" ht="21.75" customHeight="1">
      <c r="A126" s="5" t="str">
        <f>IF(E126="","",SUBTOTAL(103,$E$6:E126))</f>
        <v/>
      </c>
      <c r="B126" s="6"/>
      <c r="C126" s="6"/>
      <c r="D126" s="6"/>
      <c r="E126" s="2"/>
      <c r="F126" s="2"/>
      <c r="G126" s="2"/>
      <c r="H126" s="2"/>
      <c r="I126" s="2"/>
      <c r="J126" s="1" t="str">
        <f t="shared" si="2"/>
        <v>NO</v>
      </c>
      <c r="K126" s="1" t="str">
        <f t="shared" si="3"/>
        <v xml:space="preserve"> </v>
      </c>
    </row>
    <row r="127" spans="1:11" ht="21.75" customHeight="1">
      <c r="A127" s="5" t="str">
        <f>IF(E127="","",SUBTOTAL(103,$E$6:E127))</f>
        <v/>
      </c>
      <c r="B127" s="6"/>
      <c r="C127" s="6"/>
      <c r="D127" s="6"/>
      <c r="E127" s="2"/>
      <c r="F127" s="2"/>
      <c r="G127" s="2"/>
      <c r="H127" s="2"/>
      <c r="I127" s="2"/>
      <c r="J127" s="1" t="str">
        <f t="shared" si="2"/>
        <v>NO</v>
      </c>
      <c r="K127" s="1" t="str">
        <f t="shared" si="3"/>
        <v xml:space="preserve"> </v>
      </c>
    </row>
    <row r="128" spans="1:11" ht="21.75" customHeight="1">
      <c r="A128" s="5" t="str">
        <f>IF(E128="","",SUBTOTAL(103,$E$6:E128))</f>
        <v/>
      </c>
      <c r="B128" s="6"/>
      <c r="C128" s="6"/>
      <c r="D128" s="6"/>
      <c r="E128" s="2"/>
      <c r="F128" s="2"/>
      <c r="G128" s="2"/>
      <c r="H128" s="2"/>
      <c r="I128" s="2"/>
      <c r="J128" s="1" t="str">
        <f t="shared" si="2"/>
        <v>NO</v>
      </c>
      <c r="K128" s="1" t="str">
        <f t="shared" si="3"/>
        <v xml:space="preserve"> </v>
      </c>
    </row>
    <row r="129" spans="1:11" ht="21.75" customHeight="1">
      <c r="A129" s="5" t="str">
        <f>IF(E129="","",SUBTOTAL(103,$E$6:E129))</f>
        <v/>
      </c>
      <c r="B129" s="6"/>
      <c r="C129" s="6"/>
      <c r="D129" s="6"/>
      <c r="E129" s="2"/>
      <c r="F129" s="2"/>
      <c r="G129" s="2"/>
      <c r="H129" s="2"/>
      <c r="I129" s="2"/>
      <c r="J129" s="1" t="str">
        <f t="shared" si="2"/>
        <v>NO</v>
      </c>
      <c r="K129" s="1" t="str">
        <f t="shared" si="3"/>
        <v xml:space="preserve"> </v>
      </c>
    </row>
    <row r="130" spans="1:11" ht="21.75" customHeight="1">
      <c r="A130" s="5" t="str">
        <f>IF(E130="","",SUBTOTAL(103,$E$6:E130))</f>
        <v/>
      </c>
      <c r="B130" s="6"/>
      <c r="C130" s="6"/>
      <c r="D130" s="6"/>
      <c r="E130" s="2"/>
      <c r="F130" s="2"/>
      <c r="G130" s="2"/>
      <c r="H130" s="2"/>
      <c r="I130" s="2"/>
      <c r="J130" s="1" t="str">
        <f t="shared" si="2"/>
        <v>NO</v>
      </c>
      <c r="K130" s="1" t="str">
        <f t="shared" si="3"/>
        <v xml:space="preserve"> </v>
      </c>
    </row>
    <row r="131" spans="1:11" ht="21.75" customHeight="1">
      <c r="A131" s="5" t="str">
        <f>IF(E131="","",SUBTOTAL(103,$E$6:E131))</f>
        <v/>
      </c>
      <c r="B131" s="6"/>
      <c r="C131" s="6"/>
      <c r="D131" s="6"/>
      <c r="E131" s="2"/>
      <c r="F131" s="2"/>
      <c r="G131" s="2"/>
      <c r="H131" s="2"/>
      <c r="I131" s="2"/>
      <c r="J131" s="1" t="str">
        <f t="shared" si="2"/>
        <v>NO</v>
      </c>
      <c r="K131" s="1" t="str">
        <f t="shared" si="3"/>
        <v xml:space="preserve"> </v>
      </c>
    </row>
    <row r="132" spans="1:11" ht="21.75" customHeight="1">
      <c r="A132" s="5" t="str">
        <f>IF(E132="","",SUBTOTAL(103,$E$6:E132))</f>
        <v/>
      </c>
      <c r="B132" s="6"/>
      <c r="C132" s="6"/>
      <c r="D132" s="6"/>
      <c r="E132" s="2"/>
      <c r="F132" s="2"/>
      <c r="G132" s="2"/>
      <c r="H132" s="2"/>
      <c r="I132" s="2"/>
      <c r="J132" s="1" t="str">
        <f t="shared" si="2"/>
        <v>NO</v>
      </c>
      <c r="K132" s="1" t="str">
        <f t="shared" si="3"/>
        <v xml:space="preserve"> </v>
      </c>
    </row>
    <row r="133" spans="1:11" ht="21.75" customHeight="1">
      <c r="A133" s="5" t="str">
        <f>IF(E133="","",SUBTOTAL(103,$E$6:E133))</f>
        <v/>
      </c>
      <c r="B133" s="6"/>
      <c r="C133" s="6"/>
      <c r="D133" s="6"/>
      <c r="E133" s="2"/>
      <c r="F133" s="2"/>
      <c r="G133" s="2"/>
      <c r="H133" s="2"/>
      <c r="I133" s="2"/>
      <c r="J133" s="1" t="str">
        <f t="shared" si="2"/>
        <v>NO</v>
      </c>
      <c r="K133" s="1" t="str">
        <f t="shared" si="3"/>
        <v xml:space="preserve"> </v>
      </c>
    </row>
    <row r="134" spans="1:11" ht="21.75" customHeight="1">
      <c r="A134" s="5" t="str">
        <f>IF(E134="","",SUBTOTAL(103,$E$6:E134))</f>
        <v/>
      </c>
      <c r="B134" s="6"/>
      <c r="C134" s="6"/>
      <c r="D134" s="6"/>
      <c r="E134" s="2"/>
      <c r="F134" s="2"/>
      <c r="G134" s="2"/>
      <c r="H134" s="2"/>
      <c r="I134" s="2"/>
      <c r="J134" s="1" t="str">
        <f t="shared" ref="J134:J197" si="4">IF(ISERROR(SEARCH("热处理", E134))=FALSE, "XLN", IF(ISERROR(SEARCH("114", E134))=FALSE, "XLN", IF(ISERROR(SEARCH("OM", E134))=FALSE, "NO", IF(ISERROR(SEARCH("试棒毛坯", E134))=FALSE, "XLN", IF(ISERROR(SEARCH("M35", F134))=FALSE, "NO", IF(OR(LEFT(F134, 2)="DN", LEFT(F134, 3)="NPS", ISERROR(SEARCH("LADISH", E134))=FALSE), "XLN", "NO"))))))</f>
        <v>NO</v>
      </c>
      <c r="K134" s="1" t="str">
        <f t="shared" ref="K134:K197" si="5">IF(ISERROR(FIND("304",F134))=FALSE,304,IF(ISERROR(FIND("316",F134))=FALSE,316,IF(ISERROR(FIND("CF8M",F134))=FALSE,316,IF(ISERROR(SEARCH("wcb",F134))=FALSE,"WCB",IF(ISERROR(SEARCH("cd3mn",F134))=FALSE,"CD3MN",IF(ISERROR(SEARCH("CN7M",F134))=FALSE,"CN7M",IF(ISERROR(SEARCH("M35",F134))=FALSE,"M35",IF(ISERROR(SEARCH("CF3M",F134))=FALSE,"CF3M",IF(ISERROR(SEARCH("CD3MWCuN",F134))=FALSE, "CD3MWCuN",  IF(ISERROR(SEARCH("CW12MW",F134))=FALSE, "CW12MW", IF(ISERROR(SEARCH("CF8",F134))=FALSE, 304," ")))))))))))</f>
        <v xml:space="preserve"> </v>
      </c>
    </row>
    <row r="135" spans="1:11" ht="21.75" customHeight="1">
      <c r="A135" s="5" t="str">
        <f>IF(E135="","",SUBTOTAL(103,$E$6:E135))</f>
        <v/>
      </c>
      <c r="B135" s="6"/>
      <c r="C135" s="6"/>
      <c r="D135" s="6"/>
      <c r="E135" s="2"/>
      <c r="F135" s="2"/>
      <c r="G135" s="2"/>
      <c r="H135" s="2"/>
      <c r="I135" s="2"/>
      <c r="J135" s="1" t="str">
        <f t="shared" si="4"/>
        <v>NO</v>
      </c>
      <c r="K135" s="1" t="str">
        <f t="shared" si="5"/>
        <v xml:space="preserve"> </v>
      </c>
    </row>
    <row r="136" spans="1:11" ht="21.75" customHeight="1">
      <c r="A136" s="5" t="str">
        <f>IF(E136="","",SUBTOTAL(103,$E$6:E136))</f>
        <v/>
      </c>
      <c r="B136" s="6"/>
      <c r="C136" s="6"/>
      <c r="D136" s="6"/>
      <c r="E136" s="2"/>
      <c r="F136" s="2"/>
      <c r="G136" s="2"/>
      <c r="H136" s="2"/>
      <c r="I136" s="2"/>
      <c r="J136" s="1" t="str">
        <f t="shared" si="4"/>
        <v>NO</v>
      </c>
      <c r="K136" s="1" t="str">
        <f t="shared" si="5"/>
        <v xml:space="preserve"> </v>
      </c>
    </row>
    <row r="137" spans="1:11" ht="21.75" customHeight="1">
      <c r="A137" s="5" t="str">
        <f>IF(E137="","",SUBTOTAL(103,$E$6:E137))</f>
        <v/>
      </c>
      <c r="B137" s="6"/>
      <c r="C137" s="6"/>
      <c r="D137" s="6"/>
      <c r="E137" s="2"/>
      <c r="F137" s="2"/>
      <c r="G137" s="2"/>
      <c r="H137" s="2"/>
      <c r="I137" s="2"/>
      <c r="J137" s="1" t="str">
        <f t="shared" si="4"/>
        <v>NO</v>
      </c>
      <c r="K137" s="1" t="str">
        <f t="shared" si="5"/>
        <v xml:space="preserve"> </v>
      </c>
    </row>
    <row r="138" spans="1:11" ht="21.75" customHeight="1">
      <c r="A138" s="5" t="str">
        <f>IF(E138="","",SUBTOTAL(103,$E$6:E138))</f>
        <v/>
      </c>
      <c r="B138" s="6"/>
      <c r="C138" s="6"/>
      <c r="D138" s="6"/>
      <c r="E138" s="2"/>
      <c r="F138" s="2"/>
      <c r="G138" s="2"/>
      <c r="H138" s="2"/>
      <c r="I138" s="2"/>
      <c r="J138" s="1" t="str">
        <f t="shared" si="4"/>
        <v>NO</v>
      </c>
      <c r="K138" s="1" t="str">
        <f t="shared" si="5"/>
        <v xml:space="preserve"> </v>
      </c>
    </row>
    <row r="139" spans="1:11" ht="21.75" customHeight="1">
      <c r="A139" s="5" t="str">
        <f>IF(E139="","",SUBTOTAL(103,$E$6:E139))</f>
        <v/>
      </c>
      <c r="B139" s="6"/>
      <c r="C139" s="6"/>
      <c r="D139" s="6"/>
      <c r="E139" s="2"/>
      <c r="F139" s="2"/>
      <c r="G139" s="2"/>
      <c r="H139" s="2"/>
      <c r="I139" s="2"/>
      <c r="J139" s="1" t="str">
        <f t="shared" si="4"/>
        <v>NO</v>
      </c>
      <c r="K139" s="1" t="str">
        <f t="shared" si="5"/>
        <v xml:space="preserve"> </v>
      </c>
    </row>
    <row r="140" spans="1:11" ht="21.75" customHeight="1">
      <c r="A140" s="5" t="str">
        <f>IF(E140="","",SUBTOTAL(103,$E$6:E140))</f>
        <v/>
      </c>
      <c r="B140" s="6"/>
      <c r="C140" s="6"/>
      <c r="D140" s="6"/>
      <c r="E140" s="2"/>
      <c r="F140" s="2"/>
      <c r="G140" s="2"/>
      <c r="H140" s="2"/>
      <c r="I140" s="2"/>
      <c r="J140" s="1" t="str">
        <f t="shared" si="4"/>
        <v>NO</v>
      </c>
      <c r="K140" s="1" t="str">
        <f t="shared" si="5"/>
        <v xml:space="preserve"> </v>
      </c>
    </row>
    <row r="141" spans="1:11" ht="21.75" customHeight="1">
      <c r="A141" s="5" t="str">
        <f>IF(E141="","",SUBTOTAL(103,$E$6:E141))</f>
        <v/>
      </c>
      <c r="B141" s="6"/>
      <c r="C141" s="6"/>
      <c r="D141" s="6"/>
      <c r="E141" s="2"/>
      <c r="F141" s="2"/>
      <c r="G141" s="2"/>
      <c r="H141" s="2"/>
      <c r="I141" s="2"/>
      <c r="J141" s="1" t="str">
        <f t="shared" si="4"/>
        <v>NO</v>
      </c>
      <c r="K141" s="1" t="str">
        <f t="shared" si="5"/>
        <v xml:space="preserve"> </v>
      </c>
    </row>
    <row r="142" spans="1:11" ht="21.75" customHeight="1">
      <c r="A142" s="5" t="str">
        <f>IF(E142="","",SUBTOTAL(103,$E$6:E142))</f>
        <v/>
      </c>
      <c r="B142" s="6"/>
      <c r="C142" s="6"/>
      <c r="D142" s="6"/>
      <c r="E142" s="2"/>
      <c r="F142" s="2"/>
      <c r="G142" s="2"/>
      <c r="H142" s="2"/>
      <c r="I142" s="2"/>
      <c r="J142" s="1" t="str">
        <f t="shared" si="4"/>
        <v>NO</v>
      </c>
      <c r="K142" s="1" t="str">
        <f t="shared" si="5"/>
        <v xml:space="preserve"> </v>
      </c>
    </row>
    <row r="143" spans="1:11" ht="21.75" customHeight="1">
      <c r="A143" s="5" t="str">
        <f>IF(E143="","",SUBTOTAL(103,$E$6:E143))</f>
        <v/>
      </c>
      <c r="B143" s="6"/>
      <c r="C143" s="6"/>
      <c r="D143" s="6"/>
      <c r="E143" s="2"/>
      <c r="F143" s="2"/>
      <c r="G143" s="2"/>
      <c r="H143" s="2"/>
      <c r="I143" s="2"/>
      <c r="J143" s="1" t="str">
        <f t="shared" si="4"/>
        <v>NO</v>
      </c>
      <c r="K143" s="1" t="str">
        <f t="shared" si="5"/>
        <v xml:space="preserve"> </v>
      </c>
    </row>
    <row r="144" spans="1:11" ht="21.75" customHeight="1">
      <c r="A144" s="5" t="str">
        <f>IF(E144="","",SUBTOTAL(103,$E$6:E144))</f>
        <v/>
      </c>
      <c r="B144" s="6"/>
      <c r="C144" s="6"/>
      <c r="D144" s="6"/>
      <c r="E144" s="2"/>
      <c r="F144" s="2"/>
      <c r="G144" s="2"/>
      <c r="H144" s="2"/>
      <c r="I144" s="2"/>
      <c r="J144" s="1" t="str">
        <f t="shared" si="4"/>
        <v>NO</v>
      </c>
      <c r="K144" s="1" t="str">
        <f t="shared" si="5"/>
        <v xml:space="preserve"> </v>
      </c>
    </row>
    <row r="145" spans="1:11" ht="21.75" customHeight="1">
      <c r="A145" s="5" t="str">
        <f>IF(E145="","",SUBTOTAL(103,$E$6:E145))</f>
        <v/>
      </c>
      <c r="B145" s="6"/>
      <c r="C145" s="6"/>
      <c r="D145" s="6"/>
      <c r="E145" s="2"/>
      <c r="F145" s="2"/>
      <c r="G145" s="2"/>
      <c r="H145" s="2"/>
      <c r="I145" s="2"/>
      <c r="J145" s="1" t="str">
        <f t="shared" si="4"/>
        <v>NO</v>
      </c>
      <c r="K145" s="1" t="str">
        <f t="shared" si="5"/>
        <v xml:space="preserve"> </v>
      </c>
    </row>
    <row r="146" spans="1:11" ht="21.75" customHeight="1">
      <c r="A146" s="5" t="str">
        <f>IF(E146="","",SUBTOTAL(103,$E$6:E146))</f>
        <v/>
      </c>
      <c r="B146" s="6"/>
      <c r="C146" s="6"/>
      <c r="D146" s="6"/>
      <c r="E146" s="2"/>
      <c r="F146" s="2"/>
      <c r="G146" s="2"/>
      <c r="H146" s="2"/>
      <c r="I146" s="2"/>
      <c r="J146" s="1" t="str">
        <f t="shared" si="4"/>
        <v>NO</v>
      </c>
      <c r="K146" s="1" t="str">
        <f t="shared" si="5"/>
        <v xml:space="preserve"> </v>
      </c>
    </row>
    <row r="147" spans="1:11" ht="21.75" customHeight="1">
      <c r="A147" s="5" t="str">
        <f>IF(E147="","",SUBTOTAL(103,$E$6:E147))</f>
        <v/>
      </c>
      <c r="B147" s="6"/>
      <c r="C147" s="6"/>
      <c r="D147" s="6"/>
      <c r="E147" s="2"/>
      <c r="F147" s="2"/>
      <c r="G147" s="2"/>
      <c r="H147" s="2"/>
      <c r="I147" s="2"/>
      <c r="J147" s="1" t="str">
        <f t="shared" si="4"/>
        <v>NO</v>
      </c>
      <c r="K147" s="1" t="str">
        <f t="shared" si="5"/>
        <v xml:space="preserve"> </v>
      </c>
    </row>
    <row r="148" spans="1:11" ht="21.75" customHeight="1">
      <c r="A148" s="5" t="str">
        <f>IF(E148="","",SUBTOTAL(103,$E$6:E148))</f>
        <v/>
      </c>
      <c r="B148" s="6"/>
      <c r="C148" s="6"/>
      <c r="D148" s="6"/>
      <c r="E148" s="2"/>
      <c r="F148" s="2"/>
      <c r="G148" s="2"/>
      <c r="H148" s="2"/>
      <c r="I148" s="2"/>
      <c r="J148" s="1" t="str">
        <f t="shared" si="4"/>
        <v>NO</v>
      </c>
      <c r="K148" s="1" t="str">
        <f t="shared" si="5"/>
        <v xml:space="preserve"> </v>
      </c>
    </row>
    <row r="149" spans="1:11" ht="21.75" customHeight="1">
      <c r="A149" s="5" t="str">
        <f>IF(E149="","",SUBTOTAL(103,$E$6:E149))</f>
        <v/>
      </c>
      <c r="B149" s="6"/>
      <c r="C149" s="6"/>
      <c r="D149" s="6"/>
      <c r="E149" s="2"/>
      <c r="F149" s="2"/>
      <c r="G149" s="2"/>
      <c r="H149" s="2"/>
      <c r="I149" s="2"/>
      <c r="J149" s="1" t="str">
        <f t="shared" si="4"/>
        <v>NO</v>
      </c>
      <c r="K149" s="1" t="str">
        <f t="shared" si="5"/>
        <v xml:space="preserve"> </v>
      </c>
    </row>
    <row r="150" spans="1:11" ht="21.75" customHeight="1">
      <c r="A150" s="5" t="str">
        <f>IF(E150="","",SUBTOTAL(103,$E$6:E150))</f>
        <v/>
      </c>
      <c r="B150" s="6"/>
      <c r="C150" s="6"/>
      <c r="D150" s="6"/>
      <c r="E150" s="2"/>
      <c r="F150" s="2"/>
      <c r="G150" s="2"/>
      <c r="H150" s="2"/>
      <c r="I150" s="2"/>
      <c r="J150" s="1" t="str">
        <f t="shared" si="4"/>
        <v>NO</v>
      </c>
      <c r="K150" s="1" t="str">
        <f t="shared" si="5"/>
        <v xml:space="preserve"> </v>
      </c>
    </row>
    <row r="151" spans="1:11" ht="21.75" customHeight="1">
      <c r="A151" s="5" t="str">
        <f>IF(E151="","",SUBTOTAL(103,$E$6:E151))</f>
        <v/>
      </c>
      <c r="B151" s="6"/>
      <c r="C151" s="6"/>
      <c r="D151" s="6"/>
      <c r="E151" s="2"/>
      <c r="F151" s="2"/>
      <c r="G151" s="2"/>
      <c r="H151" s="2"/>
      <c r="I151" s="2"/>
      <c r="J151" s="1" t="str">
        <f t="shared" si="4"/>
        <v>NO</v>
      </c>
      <c r="K151" s="1" t="str">
        <f t="shared" si="5"/>
        <v xml:space="preserve"> </v>
      </c>
    </row>
    <row r="152" spans="1:11" ht="21.75" customHeight="1">
      <c r="A152" s="5" t="str">
        <f>IF(E152="","",SUBTOTAL(103,$E$6:E152))</f>
        <v/>
      </c>
      <c r="B152" s="6"/>
      <c r="C152" s="6"/>
      <c r="D152" s="6"/>
      <c r="E152" s="2"/>
      <c r="F152" s="2"/>
      <c r="G152" s="2"/>
      <c r="H152" s="2"/>
      <c r="I152" s="2"/>
      <c r="J152" s="1" t="str">
        <f t="shared" si="4"/>
        <v>NO</v>
      </c>
      <c r="K152" s="1" t="str">
        <f t="shared" si="5"/>
        <v xml:space="preserve"> </v>
      </c>
    </row>
    <row r="153" spans="1:11" ht="21.75" customHeight="1">
      <c r="A153" s="5" t="str">
        <f>IF(E153="","",SUBTOTAL(103,$E$6:E153))</f>
        <v/>
      </c>
      <c r="B153" s="6"/>
      <c r="C153" s="6"/>
      <c r="D153" s="6"/>
      <c r="E153" s="2"/>
      <c r="F153" s="2"/>
      <c r="G153" s="2"/>
      <c r="H153" s="2"/>
      <c r="I153" s="2"/>
      <c r="J153" s="1" t="str">
        <f t="shared" si="4"/>
        <v>NO</v>
      </c>
      <c r="K153" s="1" t="str">
        <f t="shared" si="5"/>
        <v xml:space="preserve"> </v>
      </c>
    </row>
    <row r="154" spans="1:11" ht="21.75" customHeight="1">
      <c r="A154" s="5" t="str">
        <f>IF(E154="","",SUBTOTAL(103,$E$6:E154))</f>
        <v/>
      </c>
      <c r="B154" s="6"/>
      <c r="C154" s="6"/>
      <c r="D154" s="6"/>
      <c r="E154" s="2"/>
      <c r="F154" s="2"/>
      <c r="G154" s="2"/>
      <c r="H154" s="2"/>
      <c r="I154" s="2"/>
      <c r="J154" s="1" t="str">
        <f t="shared" si="4"/>
        <v>NO</v>
      </c>
      <c r="K154" s="1" t="str">
        <f t="shared" si="5"/>
        <v xml:space="preserve"> </v>
      </c>
    </row>
    <row r="155" spans="1:11" ht="21.75" customHeight="1">
      <c r="A155" s="5" t="str">
        <f>IF(E155="","",SUBTOTAL(103,$E$6:E155))</f>
        <v/>
      </c>
      <c r="B155" s="6"/>
      <c r="C155" s="6"/>
      <c r="D155" s="6"/>
      <c r="E155" s="2"/>
      <c r="F155" s="2"/>
      <c r="G155" s="2"/>
      <c r="H155" s="2"/>
      <c r="I155" s="2"/>
      <c r="J155" s="1" t="str">
        <f t="shared" si="4"/>
        <v>NO</v>
      </c>
      <c r="K155" s="1" t="str">
        <f t="shared" si="5"/>
        <v xml:space="preserve"> </v>
      </c>
    </row>
    <row r="156" spans="1:11" ht="21.75" customHeight="1">
      <c r="A156" s="5" t="str">
        <f>IF(E156="","",SUBTOTAL(103,$E$6:E156))</f>
        <v/>
      </c>
      <c r="B156" s="6"/>
      <c r="C156" s="6"/>
      <c r="D156" s="6"/>
      <c r="E156" s="2"/>
      <c r="F156" s="2"/>
      <c r="G156" s="2"/>
      <c r="H156" s="2"/>
      <c r="I156" s="2"/>
      <c r="J156" s="1" t="str">
        <f t="shared" si="4"/>
        <v>NO</v>
      </c>
      <c r="K156" s="1" t="str">
        <f t="shared" si="5"/>
        <v xml:space="preserve"> </v>
      </c>
    </row>
    <row r="157" spans="1:11" ht="21.75" customHeight="1">
      <c r="A157" s="5" t="str">
        <f>IF(E157="","",SUBTOTAL(103,$E$6:E157))</f>
        <v/>
      </c>
      <c r="B157" s="6"/>
      <c r="C157" s="6"/>
      <c r="D157" s="6"/>
      <c r="E157" s="2"/>
      <c r="F157" s="2"/>
      <c r="G157" s="2"/>
      <c r="H157" s="2"/>
      <c r="I157" s="2"/>
      <c r="J157" s="1" t="str">
        <f t="shared" si="4"/>
        <v>NO</v>
      </c>
      <c r="K157" s="1" t="str">
        <f t="shared" si="5"/>
        <v xml:space="preserve"> </v>
      </c>
    </row>
    <row r="158" spans="1:11" ht="21.75" customHeight="1">
      <c r="A158" s="5" t="str">
        <f>IF(E158="","",SUBTOTAL(103,$E$6:E158))</f>
        <v/>
      </c>
      <c r="B158" s="6"/>
      <c r="C158" s="6"/>
      <c r="D158" s="6"/>
      <c r="E158" s="2"/>
      <c r="F158" s="2"/>
      <c r="G158" s="2"/>
      <c r="H158" s="2"/>
      <c r="I158" s="2"/>
      <c r="J158" s="1" t="str">
        <f t="shared" si="4"/>
        <v>NO</v>
      </c>
      <c r="K158" s="1" t="str">
        <f t="shared" si="5"/>
        <v xml:space="preserve"> </v>
      </c>
    </row>
    <row r="159" spans="1:11" ht="21.75" customHeight="1">
      <c r="A159" s="5" t="str">
        <f>IF(E159="","",SUBTOTAL(103,$E$6:E159))</f>
        <v/>
      </c>
      <c r="B159" s="6"/>
      <c r="C159" s="6"/>
      <c r="D159" s="6"/>
      <c r="E159" s="2"/>
      <c r="F159" s="2"/>
      <c r="G159" s="2"/>
      <c r="H159" s="2"/>
      <c r="I159" s="2"/>
      <c r="J159" s="1" t="str">
        <f t="shared" si="4"/>
        <v>NO</v>
      </c>
      <c r="K159" s="1" t="str">
        <f t="shared" si="5"/>
        <v xml:space="preserve"> </v>
      </c>
    </row>
    <row r="160" spans="1:11" ht="21.75" customHeight="1">
      <c r="A160" s="5" t="str">
        <f>IF(E160="","",SUBTOTAL(103,$E$6:E160))</f>
        <v/>
      </c>
      <c r="B160" s="6"/>
      <c r="C160" s="6"/>
      <c r="D160" s="6"/>
      <c r="E160" s="2"/>
      <c r="F160" s="2"/>
      <c r="G160" s="2"/>
      <c r="H160" s="2"/>
      <c r="I160" s="2"/>
      <c r="J160" s="1" t="str">
        <f t="shared" si="4"/>
        <v>NO</v>
      </c>
      <c r="K160" s="1" t="str">
        <f t="shared" si="5"/>
        <v xml:space="preserve"> </v>
      </c>
    </row>
    <row r="161" spans="1:11" ht="21.75" customHeight="1">
      <c r="A161" s="5" t="str">
        <f>IF(E161="","",SUBTOTAL(103,$E$6:E161))</f>
        <v/>
      </c>
      <c r="B161" s="6"/>
      <c r="C161" s="6"/>
      <c r="D161" s="6"/>
      <c r="E161" s="2"/>
      <c r="F161" s="2"/>
      <c r="G161" s="2"/>
      <c r="H161" s="2"/>
      <c r="I161" s="2"/>
      <c r="J161" s="1" t="str">
        <f t="shared" si="4"/>
        <v>NO</v>
      </c>
      <c r="K161" s="1" t="str">
        <f t="shared" si="5"/>
        <v xml:space="preserve"> </v>
      </c>
    </row>
    <row r="162" spans="1:11" ht="21.75" customHeight="1">
      <c r="A162" s="5" t="str">
        <f>IF(E162="","",SUBTOTAL(103,$E$6:E162))</f>
        <v/>
      </c>
      <c r="B162" s="6"/>
      <c r="C162" s="6"/>
      <c r="D162" s="6"/>
      <c r="E162" s="2"/>
      <c r="F162" s="2"/>
      <c r="G162" s="2"/>
      <c r="H162" s="2"/>
      <c r="I162" s="2"/>
      <c r="J162" s="1" t="str">
        <f t="shared" si="4"/>
        <v>NO</v>
      </c>
      <c r="K162" s="1" t="str">
        <f t="shared" si="5"/>
        <v xml:space="preserve"> </v>
      </c>
    </row>
    <row r="163" spans="1:11" ht="21.75" customHeight="1">
      <c r="A163" s="5" t="str">
        <f>IF(E163="","",SUBTOTAL(103,$E$6:E163))</f>
        <v/>
      </c>
      <c r="B163" s="6"/>
      <c r="C163" s="6"/>
      <c r="D163" s="6"/>
      <c r="E163" s="2"/>
      <c r="F163" s="2"/>
      <c r="G163" s="2"/>
      <c r="H163" s="2"/>
      <c r="I163" s="2"/>
      <c r="J163" s="1" t="str">
        <f t="shared" si="4"/>
        <v>NO</v>
      </c>
      <c r="K163" s="1" t="str">
        <f t="shared" si="5"/>
        <v xml:space="preserve"> </v>
      </c>
    </row>
    <row r="164" spans="1:11" ht="21.75" customHeight="1">
      <c r="A164" s="5" t="str">
        <f>IF(E164="","",SUBTOTAL(103,$E$6:E164))</f>
        <v/>
      </c>
      <c r="B164" s="6"/>
      <c r="C164" s="6"/>
      <c r="D164" s="6"/>
      <c r="E164" s="2"/>
      <c r="F164" s="2"/>
      <c r="G164" s="2"/>
      <c r="H164" s="2"/>
      <c r="I164" s="2"/>
      <c r="J164" s="1" t="str">
        <f t="shared" si="4"/>
        <v>NO</v>
      </c>
      <c r="K164" s="1" t="str">
        <f t="shared" si="5"/>
        <v xml:space="preserve"> </v>
      </c>
    </row>
    <row r="165" spans="1:11" ht="21.75" customHeight="1">
      <c r="A165" s="5" t="str">
        <f>IF(E165="","",SUBTOTAL(103,$E$6:E165))</f>
        <v/>
      </c>
      <c r="B165" s="6"/>
      <c r="C165" s="6"/>
      <c r="D165" s="6"/>
      <c r="E165" s="2"/>
      <c r="F165" s="2"/>
      <c r="G165" s="2"/>
      <c r="H165" s="2"/>
      <c r="I165" s="2"/>
      <c r="J165" s="1" t="str">
        <f t="shared" si="4"/>
        <v>NO</v>
      </c>
      <c r="K165" s="1" t="str">
        <f t="shared" si="5"/>
        <v xml:space="preserve"> </v>
      </c>
    </row>
    <row r="166" spans="1:11" ht="21.75" customHeight="1">
      <c r="A166" s="5" t="str">
        <f>IF(E166="","",SUBTOTAL(103,$E$6:E166))</f>
        <v/>
      </c>
      <c r="B166" s="6"/>
      <c r="C166" s="6"/>
      <c r="D166" s="6"/>
      <c r="E166" s="2"/>
      <c r="F166" s="2"/>
      <c r="G166" s="2"/>
      <c r="H166" s="2"/>
      <c r="I166" s="2"/>
      <c r="J166" s="1" t="str">
        <f t="shared" si="4"/>
        <v>NO</v>
      </c>
      <c r="K166" s="1" t="str">
        <f t="shared" si="5"/>
        <v xml:space="preserve"> </v>
      </c>
    </row>
    <row r="167" spans="1:11" ht="21.75" customHeight="1">
      <c r="A167" s="5" t="str">
        <f>IF(E167="","",SUBTOTAL(103,$E$6:E167))</f>
        <v/>
      </c>
      <c r="B167" s="6"/>
      <c r="C167" s="6"/>
      <c r="D167" s="6"/>
      <c r="E167" s="2"/>
      <c r="F167" s="2"/>
      <c r="G167" s="2"/>
      <c r="H167" s="2"/>
      <c r="I167" s="2"/>
      <c r="J167" s="1" t="str">
        <f t="shared" si="4"/>
        <v>NO</v>
      </c>
      <c r="K167" s="1" t="str">
        <f t="shared" si="5"/>
        <v xml:space="preserve"> </v>
      </c>
    </row>
    <row r="168" spans="1:11" ht="21.75" customHeight="1">
      <c r="A168" s="5" t="str">
        <f>IF(E168="","",SUBTOTAL(103,$E$6:E168))</f>
        <v/>
      </c>
      <c r="B168" s="6"/>
      <c r="C168" s="6"/>
      <c r="D168" s="6"/>
      <c r="E168" s="2"/>
      <c r="F168" s="2"/>
      <c r="G168" s="2"/>
      <c r="H168" s="2"/>
      <c r="I168" s="2"/>
      <c r="J168" s="1" t="str">
        <f t="shared" si="4"/>
        <v>NO</v>
      </c>
      <c r="K168" s="1" t="str">
        <f t="shared" si="5"/>
        <v xml:space="preserve"> </v>
      </c>
    </row>
    <row r="169" spans="1:11" ht="21.75" customHeight="1">
      <c r="A169" s="5" t="str">
        <f>IF(E169="","",SUBTOTAL(103,$E$6:E169))</f>
        <v/>
      </c>
      <c r="B169" s="6"/>
      <c r="C169" s="6"/>
      <c r="D169" s="6"/>
      <c r="E169" s="2"/>
      <c r="F169" s="2"/>
      <c r="G169" s="2"/>
      <c r="H169" s="2"/>
      <c r="I169" s="2"/>
      <c r="J169" s="1" t="str">
        <f t="shared" si="4"/>
        <v>NO</v>
      </c>
      <c r="K169" s="1" t="str">
        <f t="shared" si="5"/>
        <v xml:space="preserve"> </v>
      </c>
    </row>
    <row r="170" spans="1:11" ht="21.75" customHeight="1">
      <c r="A170" s="5" t="str">
        <f>IF(E170="","",SUBTOTAL(103,$E$6:E170))</f>
        <v/>
      </c>
      <c r="B170" s="6"/>
      <c r="C170" s="6"/>
      <c r="D170" s="6"/>
      <c r="E170" s="2"/>
      <c r="F170" s="2"/>
      <c r="G170" s="2"/>
      <c r="H170" s="2"/>
      <c r="I170" s="2"/>
      <c r="J170" s="1" t="str">
        <f t="shared" si="4"/>
        <v>NO</v>
      </c>
      <c r="K170" s="1" t="str">
        <f t="shared" si="5"/>
        <v xml:space="preserve"> </v>
      </c>
    </row>
    <row r="171" spans="1:11" ht="21.75" customHeight="1">
      <c r="A171" s="5" t="str">
        <f>IF(E171="","",SUBTOTAL(103,$E$6:E171))</f>
        <v/>
      </c>
      <c r="B171" s="6"/>
      <c r="C171" s="6"/>
      <c r="D171" s="6"/>
      <c r="E171" s="2"/>
      <c r="F171" s="2"/>
      <c r="G171" s="2"/>
      <c r="H171" s="2"/>
      <c r="I171" s="2"/>
      <c r="J171" s="1" t="str">
        <f t="shared" si="4"/>
        <v>NO</v>
      </c>
      <c r="K171" s="1" t="str">
        <f t="shared" si="5"/>
        <v xml:space="preserve"> </v>
      </c>
    </row>
    <row r="172" spans="1:11" ht="21.75" customHeight="1">
      <c r="A172" s="5" t="str">
        <f>IF(E172="","",SUBTOTAL(103,$E$6:E172))</f>
        <v/>
      </c>
      <c r="B172" s="6"/>
      <c r="C172" s="6"/>
      <c r="D172" s="6"/>
      <c r="E172" s="2"/>
      <c r="F172" s="2"/>
      <c r="G172" s="2"/>
      <c r="H172" s="2"/>
      <c r="I172" s="2"/>
      <c r="J172" s="1" t="str">
        <f t="shared" si="4"/>
        <v>NO</v>
      </c>
      <c r="K172" s="1" t="str">
        <f t="shared" si="5"/>
        <v xml:space="preserve"> </v>
      </c>
    </row>
    <row r="173" spans="1:11" ht="21.75" customHeight="1">
      <c r="A173" s="5" t="str">
        <f>IF(E173="","",SUBTOTAL(103,$E$6:E173))</f>
        <v/>
      </c>
      <c r="B173" s="6"/>
      <c r="C173" s="6"/>
      <c r="D173" s="6"/>
      <c r="E173" s="2"/>
      <c r="F173" s="2"/>
      <c r="G173" s="2"/>
      <c r="H173" s="2"/>
      <c r="I173" s="2"/>
      <c r="J173" s="1" t="str">
        <f t="shared" si="4"/>
        <v>NO</v>
      </c>
      <c r="K173" s="1" t="str">
        <f t="shared" si="5"/>
        <v xml:space="preserve"> </v>
      </c>
    </row>
    <row r="174" spans="1:11" ht="21.75" customHeight="1">
      <c r="A174" s="5" t="str">
        <f>IF(E174="","",SUBTOTAL(103,$E$6:E174))</f>
        <v/>
      </c>
      <c r="B174" s="6"/>
      <c r="C174" s="6"/>
      <c r="D174" s="6"/>
      <c r="E174" s="2"/>
      <c r="F174" s="2"/>
      <c r="G174" s="2"/>
      <c r="H174" s="2"/>
      <c r="I174" s="2"/>
      <c r="J174" s="1" t="str">
        <f t="shared" si="4"/>
        <v>NO</v>
      </c>
      <c r="K174" s="1" t="str">
        <f t="shared" si="5"/>
        <v xml:space="preserve"> </v>
      </c>
    </row>
    <row r="175" spans="1:11" ht="21.75" customHeight="1">
      <c r="A175" s="5" t="str">
        <f>IF(E175="","",SUBTOTAL(103,$E$6:E175))</f>
        <v/>
      </c>
      <c r="B175" s="6"/>
      <c r="C175" s="6"/>
      <c r="D175" s="6"/>
      <c r="E175" s="2"/>
      <c r="F175" s="2"/>
      <c r="G175" s="2"/>
      <c r="H175" s="2"/>
      <c r="I175" s="2"/>
      <c r="J175" s="1" t="str">
        <f t="shared" si="4"/>
        <v>NO</v>
      </c>
      <c r="K175" s="1" t="str">
        <f t="shared" si="5"/>
        <v xml:space="preserve"> </v>
      </c>
    </row>
    <row r="176" spans="1:11" ht="21.75" customHeight="1">
      <c r="A176" s="5" t="str">
        <f>IF(E176="","",SUBTOTAL(103,$E$6:E176))</f>
        <v/>
      </c>
      <c r="B176" s="6"/>
      <c r="C176" s="6"/>
      <c r="D176" s="6"/>
      <c r="E176" s="2"/>
      <c r="F176" s="2"/>
      <c r="G176" s="2"/>
      <c r="H176" s="2"/>
      <c r="I176" s="2"/>
      <c r="J176" s="1" t="str">
        <f t="shared" si="4"/>
        <v>NO</v>
      </c>
      <c r="K176" s="1" t="str">
        <f t="shared" si="5"/>
        <v xml:space="preserve"> </v>
      </c>
    </row>
    <row r="177" spans="1:11" ht="21.75" customHeight="1">
      <c r="A177" s="5" t="str">
        <f>IF(E177="","",SUBTOTAL(103,$E$6:E177))</f>
        <v/>
      </c>
      <c r="B177" s="6"/>
      <c r="C177" s="6"/>
      <c r="D177" s="6"/>
      <c r="E177" s="2"/>
      <c r="F177" s="2"/>
      <c r="G177" s="2"/>
      <c r="H177" s="2"/>
      <c r="I177" s="2"/>
      <c r="J177" s="1" t="str">
        <f t="shared" si="4"/>
        <v>NO</v>
      </c>
      <c r="K177" s="1" t="str">
        <f t="shared" si="5"/>
        <v xml:space="preserve"> </v>
      </c>
    </row>
    <row r="178" spans="1:11" ht="21.75" customHeight="1">
      <c r="A178" s="5" t="str">
        <f>IF(E178="","",SUBTOTAL(103,$E$6:E178))</f>
        <v/>
      </c>
      <c r="B178" s="6"/>
      <c r="C178" s="6"/>
      <c r="D178" s="6"/>
      <c r="E178" s="2"/>
      <c r="F178" s="2"/>
      <c r="G178" s="2"/>
      <c r="H178" s="2"/>
      <c r="I178" s="2"/>
      <c r="J178" s="1" t="str">
        <f t="shared" si="4"/>
        <v>NO</v>
      </c>
      <c r="K178" s="1" t="str">
        <f t="shared" si="5"/>
        <v xml:space="preserve"> </v>
      </c>
    </row>
    <row r="179" spans="1:11" ht="21.75" customHeight="1">
      <c r="A179" s="5" t="str">
        <f>IF(E179="","",SUBTOTAL(103,$E$6:E179))</f>
        <v/>
      </c>
      <c r="B179" s="6"/>
      <c r="C179" s="6"/>
      <c r="D179" s="6"/>
      <c r="E179" s="2"/>
      <c r="F179" s="2"/>
      <c r="G179" s="2"/>
      <c r="H179" s="2"/>
      <c r="I179" s="2"/>
      <c r="J179" s="1" t="str">
        <f t="shared" si="4"/>
        <v>NO</v>
      </c>
      <c r="K179" s="1" t="str">
        <f t="shared" si="5"/>
        <v xml:space="preserve"> </v>
      </c>
    </row>
    <row r="180" spans="1:11" ht="21.75" customHeight="1">
      <c r="A180" s="5" t="str">
        <f>IF(E180="","",SUBTOTAL(103,$E$6:E180))</f>
        <v/>
      </c>
      <c r="B180" s="6"/>
      <c r="C180" s="6"/>
      <c r="D180" s="6"/>
      <c r="E180" s="2"/>
      <c r="F180" s="2"/>
      <c r="G180" s="2"/>
      <c r="H180" s="2"/>
      <c r="I180" s="2"/>
      <c r="J180" s="1" t="str">
        <f t="shared" si="4"/>
        <v>NO</v>
      </c>
      <c r="K180" s="1" t="str">
        <f t="shared" si="5"/>
        <v xml:space="preserve"> </v>
      </c>
    </row>
    <row r="181" spans="1:11" ht="21.75" customHeight="1">
      <c r="A181" s="5" t="str">
        <f>IF(E181="","",SUBTOTAL(103,$E$6:E181))</f>
        <v/>
      </c>
      <c r="B181" s="6"/>
      <c r="C181" s="6"/>
      <c r="D181" s="6"/>
      <c r="E181" s="2"/>
      <c r="F181" s="2"/>
      <c r="G181" s="2"/>
      <c r="H181" s="2"/>
      <c r="I181" s="2"/>
      <c r="J181" s="1" t="str">
        <f t="shared" si="4"/>
        <v>NO</v>
      </c>
      <c r="K181" s="1" t="str">
        <f t="shared" si="5"/>
        <v xml:space="preserve"> </v>
      </c>
    </row>
    <row r="182" spans="1:11" ht="21.75" customHeight="1">
      <c r="A182" s="5" t="str">
        <f>IF(E182="","",SUBTOTAL(103,$E$6:E182))</f>
        <v/>
      </c>
      <c r="B182" s="6"/>
      <c r="C182" s="6"/>
      <c r="D182" s="6"/>
      <c r="E182" s="2"/>
      <c r="F182" s="2"/>
      <c r="G182" s="2"/>
      <c r="H182" s="2"/>
      <c r="I182" s="2"/>
      <c r="J182" s="1" t="str">
        <f t="shared" si="4"/>
        <v>NO</v>
      </c>
      <c r="K182" s="1" t="str">
        <f t="shared" si="5"/>
        <v xml:space="preserve"> </v>
      </c>
    </row>
    <row r="183" spans="1:11" ht="21.75" customHeight="1">
      <c r="A183" s="5" t="str">
        <f>IF(E183="","",SUBTOTAL(103,$E$6:E183))</f>
        <v/>
      </c>
      <c r="B183" s="6"/>
      <c r="C183" s="6"/>
      <c r="D183" s="6"/>
      <c r="E183" s="2"/>
      <c r="F183" s="2"/>
      <c r="G183" s="2"/>
      <c r="H183" s="2"/>
      <c r="I183" s="2"/>
      <c r="J183" s="1" t="str">
        <f t="shared" si="4"/>
        <v>NO</v>
      </c>
      <c r="K183" s="1" t="str">
        <f t="shared" si="5"/>
        <v xml:space="preserve"> </v>
      </c>
    </row>
    <row r="184" spans="1:11" ht="21.75" customHeight="1">
      <c r="A184" s="5" t="str">
        <f>IF(E184="","",SUBTOTAL(103,$E$6:E184))</f>
        <v/>
      </c>
      <c r="B184" s="6"/>
      <c r="C184" s="6"/>
      <c r="D184" s="6"/>
      <c r="E184" s="2"/>
      <c r="F184" s="2"/>
      <c r="G184" s="2"/>
      <c r="H184" s="2"/>
      <c r="I184" s="2"/>
      <c r="J184" s="1" t="str">
        <f t="shared" si="4"/>
        <v>NO</v>
      </c>
      <c r="K184" s="1" t="str">
        <f t="shared" si="5"/>
        <v xml:space="preserve"> </v>
      </c>
    </row>
    <row r="185" spans="1:11" ht="21.75" customHeight="1">
      <c r="A185" s="5" t="str">
        <f>IF(E185="","",SUBTOTAL(103,$E$6:E185))</f>
        <v/>
      </c>
      <c r="B185" s="6"/>
      <c r="C185" s="6"/>
      <c r="D185" s="6"/>
      <c r="E185" s="2"/>
      <c r="F185" s="2"/>
      <c r="G185" s="2"/>
      <c r="H185" s="2"/>
      <c r="I185" s="2"/>
      <c r="J185" s="1" t="str">
        <f t="shared" si="4"/>
        <v>NO</v>
      </c>
      <c r="K185" s="1" t="str">
        <f t="shared" si="5"/>
        <v xml:space="preserve"> </v>
      </c>
    </row>
    <row r="186" spans="1:11" ht="21.75" customHeight="1">
      <c r="A186" s="5" t="str">
        <f>IF(E186="","",SUBTOTAL(103,$E$6:E186))</f>
        <v/>
      </c>
      <c r="B186" s="6"/>
      <c r="C186" s="6"/>
      <c r="D186" s="6"/>
      <c r="E186" s="2"/>
      <c r="F186" s="2"/>
      <c r="G186" s="2"/>
      <c r="H186" s="2"/>
      <c r="I186" s="2"/>
      <c r="J186" s="1" t="str">
        <f t="shared" si="4"/>
        <v>NO</v>
      </c>
      <c r="K186" s="1" t="str">
        <f t="shared" si="5"/>
        <v xml:space="preserve"> </v>
      </c>
    </row>
    <row r="187" spans="1:11" ht="21.75" customHeight="1">
      <c r="A187" s="5" t="str">
        <f>IF(E187="","",SUBTOTAL(103,$E$6:E187))</f>
        <v/>
      </c>
      <c r="B187" s="6"/>
      <c r="C187" s="6"/>
      <c r="D187" s="6"/>
      <c r="E187" s="2"/>
      <c r="F187" s="2"/>
      <c r="G187" s="2"/>
      <c r="H187" s="2"/>
      <c r="I187" s="2"/>
      <c r="J187" s="1" t="str">
        <f t="shared" si="4"/>
        <v>NO</v>
      </c>
      <c r="K187" s="1" t="str">
        <f t="shared" si="5"/>
        <v xml:space="preserve"> </v>
      </c>
    </row>
    <row r="188" spans="1:11" ht="21.75" customHeight="1">
      <c r="A188" s="5" t="str">
        <f>IF(E188="","",SUBTOTAL(103,$E$6:E188))</f>
        <v/>
      </c>
      <c r="B188" s="6"/>
      <c r="C188" s="6"/>
      <c r="D188" s="6"/>
      <c r="E188" s="2"/>
      <c r="F188" s="2"/>
      <c r="G188" s="2"/>
      <c r="H188" s="2"/>
      <c r="I188" s="2"/>
      <c r="J188" s="1" t="str">
        <f t="shared" si="4"/>
        <v>NO</v>
      </c>
      <c r="K188" s="1" t="str">
        <f t="shared" si="5"/>
        <v xml:space="preserve"> </v>
      </c>
    </row>
    <row r="189" spans="1:11" ht="21.75" customHeight="1">
      <c r="A189" s="5" t="str">
        <f>IF(E189="","",SUBTOTAL(103,$E$6:E189))</f>
        <v/>
      </c>
      <c r="B189" s="6"/>
      <c r="C189" s="6"/>
      <c r="D189" s="6"/>
      <c r="E189" s="2"/>
      <c r="F189" s="2"/>
      <c r="G189" s="2"/>
      <c r="H189" s="2"/>
      <c r="I189" s="2"/>
      <c r="J189" s="1" t="str">
        <f t="shared" si="4"/>
        <v>NO</v>
      </c>
      <c r="K189" s="1" t="str">
        <f t="shared" si="5"/>
        <v xml:space="preserve"> </v>
      </c>
    </row>
    <row r="190" spans="1:11" ht="21.75" customHeight="1">
      <c r="A190" s="5" t="str">
        <f>IF(E190="","",SUBTOTAL(103,$E$6:E190))</f>
        <v/>
      </c>
      <c r="B190" s="6"/>
      <c r="C190" s="6"/>
      <c r="D190" s="6"/>
      <c r="E190" s="2"/>
      <c r="F190" s="2"/>
      <c r="G190" s="2"/>
      <c r="H190" s="2"/>
      <c r="I190" s="2"/>
      <c r="J190" s="1" t="str">
        <f t="shared" si="4"/>
        <v>NO</v>
      </c>
      <c r="K190" s="1" t="str">
        <f t="shared" si="5"/>
        <v xml:space="preserve"> </v>
      </c>
    </row>
    <row r="191" spans="1:11" ht="21.75" customHeight="1">
      <c r="A191" s="5" t="str">
        <f>IF(E191="","",SUBTOTAL(103,$E$6:E191))</f>
        <v/>
      </c>
      <c r="B191" s="6"/>
      <c r="C191" s="6"/>
      <c r="D191" s="6"/>
      <c r="E191" s="2"/>
      <c r="F191" s="2"/>
      <c r="G191" s="2"/>
      <c r="H191" s="2"/>
      <c r="I191" s="2"/>
      <c r="J191" s="1" t="str">
        <f t="shared" si="4"/>
        <v>NO</v>
      </c>
      <c r="K191" s="1" t="str">
        <f t="shared" si="5"/>
        <v xml:space="preserve"> </v>
      </c>
    </row>
    <row r="192" spans="1:11" ht="21.75" customHeight="1">
      <c r="A192" s="5" t="str">
        <f>IF(E192="","",SUBTOTAL(103,$E$6:E192))</f>
        <v/>
      </c>
      <c r="B192" s="6"/>
      <c r="C192" s="6"/>
      <c r="D192" s="6"/>
      <c r="E192" s="2"/>
      <c r="F192" s="2"/>
      <c r="G192" s="2"/>
      <c r="H192" s="2"/>
      <c r="I192" s="2"/>
      <c r="J192" s="1" t="str">
        <f t="shared" si="4"/>
        <v>NO</v>
      </c>
      <c r="K192" s="1" t="str">
        <f t="shared" si="5"/>
        <v xml:space="preserve"> </v>
      </c>
    </row>
    <row r="193" spans="1:11" ht="21.75" customHeight="1">
      <c r="A193" s="5" t="str">
        <f>IF(E193="","",SUBTOTAL(103,$E$6:E193))</f>
        <v/>
      </c>
      <c r="B193" s="6"/>
      <c r="C193" s="6"/>
      <c r="D193" s="6"/>
      <c r="E193" s="2"/>
      <c r="F193" s="2"/>
      <c r="G193" s="2"/>
      <c r="H193" s="2"/>
      <c r="I193" s="2"/>
      <c r="J193" s="1" t="str">
        <f t="shared" si="4"/>
        <v>NO</v>
      </c>
      <c r="K193" s="1" t="str">
        <f t="shared" si="5"/>
        <v xml:space="preserve"> </v>
      </c>
    </row>
    <row r="194" spans="1:11" ht="21.75" customHeight="1">
      <c r="A194" s="5" t="str">
        <f>IF(E194="","",SUBTOTAL(103,$E$6:E194))</f>
        <v/>
      </c>
      <c r="B194" s="6"/>
      <c r="C194" s="6"/>
      <c r="D194" s="6"/>
      <c r="E194" s="2"/>
      <c r="F194" s="2"/>
      <c r="G194" s="2"/>
      <c r="H194" s="2"/>
      <c r="I194" s="2"/>
      <c r="J194" s="1" t="str">
        <f t="shared" si="4"/>
        <v>NO</v>
      </c>
      <c r="K194" s="1" t="str">
        <f t="shared" si="5"/>
        <v xml:space="preserve"> </v>
      </c>
    </row>
    <row r="195" spans="1:11" ht="21.75" customHeight="1">
      <c r="A195" s="5" t="str">
        <f>IF(E195="","",SUBTOTAL(103,$E$6:E195))</f>
        <v/>
      </c>
      <c r="B195" s="6"/>
      <c r="C195" s="6"/>
      <c r="D195" s="6"/>
      <c r="E195" s="2"/>
      <c r="F195" s="2"/>
      <c r="G195" s="2"/>
      <c r="H195" s="2"/>
      <c r="I195" s="2"/>
      <c r="J195" s="1" t="str">
        <f t="shared" si="4"/>
        <v>NO</v>
      </c>
      <c r="K195" s="1" t="str">
        <f t="shared" si="5"/>
        <v xml:space="preserve"> </v>
      </c>
    </row>
    <row r="196" spans="1:11" ht="21.75" customHeight="1">
      <c r="A196" s="5" t="str">
        <f>IF(E196="","",SUBTOTAL(103,$E$6:E196))</f>
        <v/>
      </c>
      <c r="B196" s="6"/>
      <c r="C196" s="6"/>
      <c r="D196" s="6"/>
      <c r="E196" s="2"/>
      <c r="F196" s="2"/>
      <c r="G196" s="2"/>
      <c r="H196" s="2"/>
      <c r="I196" s="2"/>
      <c r="J196" s="1" t="str">
        <f t="shared" si="4"/>
        <v>NO</v>
      </c>
      <c r="K196" s="1" t="str">
        <f t="shared" si="5"/>
        <v xml:space="preserve"> </v>
      </c>
    </row>
    <row r="197" spans="1:11" ht="21.75" customHeight="1">
      <c r="A197" s="5" t="str">
        <f>IF(E197="","",SUBTOTAL(103,$E$6:E197))</f>
        <v/>
      </c>
      <c r="B197" s="6"/>
      <c r="C197" s="6"/>
      <c r="D197" s="6"/>
      <c r="E197" s="2"/>
      <c r="F197" s="2"/>
      <c r="G197" s="2"/>
      <c r="H197" s="2"/>
      <c r="I197" s="2"/>
      <c r="J197" s="1" t="str">
        <f t="shared" si="4"/>
        <v>NO</v>
      </c>
      <c r="K197" s="1" t="str">
        <f t="shared" si="5"/>
        <v xml:space="preserve"> </v>
      </c>
    </row>
    <row r="198" spans="1:11" ht="21.75" customHeight="1">
      <c r="A198" s="5" t="str">
        <f>IF(E198="","",SUBTOTAL(103,$E$6:E198))</f>
        <v/>
      </c>
      <c r="B198" s="6"/>
      <c r="C198" s="6"/>
      <c r="D198" s="6"/>
      <c r="E198" s="2"/>
      <c r="F198" s="2"/>
      <c r="G198" s="2"/>
      <c r="H198" s="2"/>
      <c r="I198" s="2"/>
      <c r="J198" s="1" t="str">
        <f t="shared" ref="J198:J261" si="6">IF(ISERROR(SEARCH("热处理", E198))=FALSE, "XLN", IF(ISERROR(SEARCH("114", E198))=FALSE, "XLN", IF(ISERROR(SEARCH("OM", E198))=FALSE, "NO", IF(ISERROR(SEARCH("试棒毛坯", E198))=FALSE, "XLN", IF(ISERROR(SEARCH("M35", F198))=FALSE, "NO", IF(OR(LEFT(F198, 2)="DN", LEFT(F198, 3)="NPS", ISERROR(SEARCH("LADISH", E198))=FALSE), "XLN", "NO"))))))</f>
        <v>NO</v>
      </c>
      <c r="K198" s="1" t="str">
        <f t="shared" ref="K198:K261" si="7">IF(ISERROR(FIND("304",F198))=FALSE,304,IF(ISERROR(FIND("316",F198))=FALSE,316,IF(ISERROR(FIND("CF8M",F198))=FALSE,316,IF(ISERROR(SEARCH("wcb",F198))=FALSE,"WCB",IF(ISERROR(SEARCH("cd3mn",F198))=FALSE,"CD3MN",IF(ISERROR(SEARCH("CN7M",F198))=FALSE,"CN7M",IF(ISERROR(SEARCH("M35",F198))=FALSE,"M35",IF(ISERROR(SEARCH("CF3M",F198))=FALSE,"CF3M",IF(ISERROR(SEARCH("CD3MWCuN",F198))=FALSE, "CD3MWCuN",  IF(ISERROR(SEARCH("CW12MW",F198))=FALSE, "CW12MW", IF(ISERROR(SEARCH("CF8",F198))=FALSE, 304," ")))))))))))</f>
        <v xml:space="preserve"> </v>
      </c>
    </row>
    <row r="199" spans="1:11" ht="21.75" customHeight="1">
      <c r="A199" s="5" t="str">
        <f>IF(E199="","",SUBTOTAL(103,$E$6:E199))</f>
        <v/>
      </c>
      <c r="B199" s="6"/>
      <c r="C199" s="6"/>
      <c r="D199" s="6"/>
      <c r="E199" s="2"/>
      <c r="F199" s="2"/>
      <c r="G199" s="2"/>
      <c r="H199" s="2"/>
      <c r="I199" s="2"/>
      <c r="J199" s="1" t="str">
        <f t="shared" si="6"/>
        <v>NO</v>
      </c>
      <c r="K199" s="1" t="str">
        <f t="shared" si="7"/>
        <v xml:space="preserve"> </v>
      </c>
    </row>
    <row r="200" spans="1:11" ht="21.75" customHeight="1">
      <c r="A200" s="5" t="str">
        <f>IF(E200="","",SUBTOTAL(103,$E$6:E200))</f>
        <v/>
      </c>
      <c r="B200" s="6"/>
      <c r="C200" s="6"/>
      <c r="D200" s="6"/>
      <c r="E200" s="2"/>
      <c r="F200" s="2"/>
      <c r="G200" s="2"/>
      <c r="H200" s="2"/>
      <c r="I200" s="2"/>
      <c r="J200" s="1" t="str">
        <f t="shared" si="6"/>
        <v>NO</v>
      </c>
      <c r="K200" s="1" t="str">
        <f t="shared" si="7"/>
        <v xml:space="preserve"> </v>
      </c>
    </row>
    <row r="201" spans="1:11" ht="21.75" customHeight="1">
      <c r="A201" s="5" t="str">
        <f>IF(E201="","",SUBTOTAL(103,$E$6:E201))</f>
        <v/>
      </c>
      <c r="B201" s="6"/>
      <c r="C201" s="6"/>
      <c r="D201" s="6"/>
      <c r="E201" s="2"/>
      <c r="F201" s="2"/>
      <c r="G201" s="2"/>
      <c r="H201" s="2"/>
      <c r="I201" s="2"/>
      <c r="J201" s="1" t="str">
        <f t="shared" si="6"/>
        <v>NO</v>
      </c>
      <c r="K201" s="1" t="str">
        <f t="shared" si="7"/>
        <v xml:space="preserve"> </v>
      </c>
    </row>
    <row r="202" spans="1:11" ht="21.75" customHeight="1">
      <c r="A202" s="5" t="str">
        <f>IF(E202="","",SUBTOTAL(103,$E$6:E202))</f>
        <v/>
      </c>
      <c r="B202" s="6"/>
      <c r="C202" s="6"/>
      <c r="D202" s="6"/>
      <c r="E202" s="2"/>
      <c r="F202" s="2"/>
      <c r="G202" s="2"/>
      <c r="H202" s="2"/>
      <c r="I202" s="2"/>
      <c r="J202" s="1" t="str">
        <f t="shared" si="6"/>
        <v>NO</v>
      </c>
      <c r="K202" s="1" t="str">
        <f t="shared" si="7"/>
        <v xml:space="preserve"> </v>
      </c>
    </row>
    <row r="203" spans="1:11" ht="21.75" customHeight="1">
      <c r="A203" s="5" t="str">
        <f>IF(E203="","",SUBTOTAL(103,$E$6:E203))</f>
        <v/>
      </c>
      <c r="B203" s="6"/>
      <c r="C203" s="6"/>
      <c r="D203" s="6"/>
      <c r="E203" s="2"/>
      <c r="F203" s="2"/>
      <c r="G203" s="2"/>
      <c r="H203" s="2"/>
      <c r="I203" s="2"/>
      <c r="J203" s="1" t="str">
        <f t="shared" si="6"/>
        <v>NO</v>
      </c>
      <c r="K203" s="1" t="str">
        <f t="shared" si="7"/>
        <v xml:space="preserve"> </v>
      </c>
    </row>
    <row r="204" spans="1:11" ht="21.75" customHeight="1">
      <c r="A204" s="5" t="str">
        <f>IF(E204="","",SUBTOTAL(103,$E$6:E204))</f>
        <v/>
      </c>
      <c r="B204" s="6"/>
      <c r="C204" s="6"/>
      <c r="D204" s="6"/>
      <c r="E204" s="2"/>
      <c r="F204" s="2"/>
      <c r="G204" s="2"/>
      <c r="H204" s="2"/>
      <c r="I204" s="2"/>
      <c r="J204" s="1" t="str">
        <f t="shared" si="6"/>
        <v>NO</v>
      </c>
      <c r="K204" s="1" t="str">
        <f t="shared" si="7"/>
        <v xml:space="preserve"> </v>
      </c>
    </row>
    <row r="205" spans="1:11" ht="21.75" customHeight="1">
      <c r="A205" s="5" t="str">
        <f>IF(E205="","",SUBTOTAL(103,$E$6:E205))</f>
        <v/>
      </c>
      <c r="B205" s="6"/>
      <c r="C205" s="6"/>
      <c r="D205" s="6"/>
      <c r="E205" s="2"/>
      <c r="F205" s="2"/>
      <c r="G205" s="2"/>
      <c r="H205" s="2"/>
      <c r="I205" s="2"/>
      <c r="J205" s="1" t="str">
        <f t="shared" si="6"/>
        <v>NO</v>
      </c>
      <c r="K205" s="1" t="str">
        <f t="shared" si="7"/>
        <v xml:space="preserve"> </v>
      </c>
    </row>
    <row r="206" spans="1:11" ht="21.75" customHeight="1">
      <c r="A206" s="5" t="str">
        <f>IF(E206="","",SUBTOTAL(103,$E$6:E206))</f>
        <v/>
      </c>
      <c r="B206" s="6"/>
      <c r="C206" s="6"/>
      <c r="D206" s="6"/>
      <c r="E206" s="2"/>
      <c r="F206" s="2"/>
      <c r="G206" s="2"/>
      <c r="H206" s="2"/>
      <c r="I206" s="2"/>
      <c r="J206" s="1" t="str">
        <f t="shared" si="6"/>
        <v>NO</v>
      </c>
      <c r="K206" s="1" t="str">
        <f t="shared" si="7"/>
        <v xml:space="preserve"> </v>
      </c>
    </row>
    <row r="207" spans="1:11" ht="21.75" customHeight="1">
      <c r="A207" s="5" t="str">
        <f>IF(E207="","",SUBTOTAL(103,$E$6:E207))</f>
        <v/>
      </c>
      <c r="B207" s="6"/>
      <c r="C207" s="6"/>
      <c r="D207" s="6"/>
      <c r="E207" s="2"/>
      <c r="F207" s="2"/>
      <c r="G207" s="2"/>
      <c r="H207" s="2"/>
      <c r="I207" s="2"/>
      <c r="J207" s="1" t="str">
        <f t="shared" si="6"/>
        <v>NO</v>
      </c>
      <c r="K207" s="1" t="str">
        <f t="shared" si="7"/>
        <v xml:space="preserve"> </v>
      </c>
    </row>
    <row r="208" spans="1:11" ht="21.75" customHeight="1">
      <c r="A208" s="5" t="str">
        <f>IF(E208="","",SUBTOTAL(103,$E$6:E208))</f>
        <v/>
      </c>
      <c r="B208" s="6"/>
      <c r="C208" s="6"/>
      <c r="D208" s="6"/>
      <c r="E208" s="2"/>
      <c r="F208" s="2"/>
      <c r="G208" s="2"/>
      <c r="H208" s="2"/>
      <c r="I208" s="2"/>
      <c r="J208" s="1" t="str">
        <f t="shared" si="6"/>
        <v>NO</v>
      </c>
      <c r="K208" s="1" t="str">
        <f t="shared" si="7"/>
        <v xml:space="preserve"> </v>
      </c>
    </row>
    <row r="209" spans="1:11" ht="21.75" customHeight="1">
      <c r="A209" s="5" t="str">
        <f>IF(E209="","",SUBTOTAL(103,$E$6:E209))</f>
        <v/>
      </c>
      <c r="B209" s="6"/>
      <c r="C209" s="6"/>
      <c r="D209" s="6"/>
      <c r="E209" s="2"/>
      <c r="F209" s="2"/>
      <c r="G209" s="2"/>
      <c r="H209" s="2"/>
      <c r="I209" s="2"/>
      <c r="J209" s="1" t="str">
        <f t="shared" si="6"/>
        <v>NO</v>
      </c>
      <c r="K209" s="1" t="str">
        <f t="shared" si="7"/>
        <v xml:space="preserve"> </v>
      </c>
    </row>
    <row r="210" spans="1:11" ht="21.75" customHeight="1">
      <c r="A210" s="5" t="str">
        <f>IF(E210="","",SUBTOTAL(103,$E$6:E210))</f>
        <v/>
      </c>
      <c r="B210" s="6"/>
      <c r="C210" s="6"/>
      <c r="D210" s="6"/>
      <c r="E210" s="2"/>
      <c r="F210" s="2"/>
      <c r="G210" s="2"/>
      <c r="H210" s="2"/>
      <c r="I210" s="2"/>
      <c r="J210" s="1" t="str">
        <f t="shared" si="6"/>
        <v>NO</v>
      </c>
      <c r="K210" s="1" t="str">
        <f t="shared" si="7"/>
        <v xml:space="preserve"> </v>
      </c>
    </row>
    <row r="211" spans="1:11" ht="21.75" customHeight="1">
      <c r="A211" s="5" t="str">
        <f>IF(E211="","",SUBTOTAL(103,$E$6:E211))</f>
        <v/>
      </c>
      <c r="B211" s="6"/>
      <c r="C211" s="6"/>
      <c r="D211" s="6"/>
      <c r="E211" s="2"/>
      <c r="F211" s="2"/>
      <c r="G211" s="2"/>
      <c r="H211" s="2"/>
      <c r="I211" s="2"/>
      <c r="J211" s="1" t="str">
        <f t="shared" si="6"/>
        <v>NO</v>
      </c>
      <c r="K211" s="1" t="str">
        <f t="shared" si="7"/>
        <v xml:space="preserve"> </v>
      </c>
    </row>
    <row r="212" spans="1:11" ht="21.75" customHeight="1">
      <c r="A212" s="5" t="str">
        <f>IF(E212="","",SUBTOTAL(103,$E$6:E212))</f>
        <v/>
      </c>
      <c r="B212" s="6"/>
      <c r="C212" s="6"/>
      <c r="D212" s="6"/>
      <c r="E212" s="2"/>
      <c r="F212" s="2"/>
      <c r="G212" s="2"/>
      <c r="H212" s="2"/>
      <c r="I212" s="2"/>
      <c r="J212" s="1" t="str">
        <f t="shared" si="6"/>
        <v>NO</v>
      </c>
      <c r="K212" s="1" t="str">
        <f t="shared" si="7"/>
        <v xml:space="preserve"> </v>
      </c>
    </row>
    <row r="213" spans="1:11" ht="21.75" customHeight="1">
      <c r="A213" s="5" t="str">
        <f>IF(E213="","",SUBTOTAL(103,$E$6:E213))</f>
        <v/>
      </c>
      <c r="B213" s="6"/>
      <c r="C213" s="6"/>
      <c r="D213" s="6"/>
      <c r="E213" s="2"/>
      <c r="F213" s="2"/>
      <c r="G213" s="2"/>
      <c r="H213" s="2"/>
      <c r="I213" s="2"/>
      <c r="J213" s="1" t="str">
        <f t="shared" si="6"/>
        <v>NO</v>
      </c>
      <c r="K213" s="1" t="str">
        <f t="shared" si="7"/>
        <v xml:space="preserve"> </v>
      </c>
    </row>
    <row r="214" spans="1:11" ht="21.75" customHeight="1">
      <c r="A214" s="5" t="str">
        <f>IF(E214="","",SUBTOTAL(103,$E$6:E214))</f>
        <v/>
      </c>
      <c r="B214" s="6"/>
      <c r="C214" s="6"/>
      <c r="D214" s="6"/>
      <c r="E214" s="2"/>
      <c r="F214" s="2"/>
      <c r="G214" s="2"/>
      <c r="H214" s="2"/>
      <c r="I214" s="2"/>
      <c r="J214" s="1" t="str">
        <f t="shared" si="6"/>
        <v>NO</v>
      </c>
      <c r="K214" s="1" t="str">
        <f t="shared" si="7"/>
        <v xml:space="preserve"> </v>
      </c>
    </row>
    <row r="215" spans="1:11" ht="21.75" customHeight="1">
      <c r="A215" s="5" t="str">
        <f>IF(E215="","",SUBTOTAL(103,$E$6:E215))</f>
        <v/>
      </c>
      <c r="B215" s="6"/>
      <c r="C215" s="6"/>
      <c r="D215" s="6"/>
      <c r="E215" s="2"/>
      <c r="F215" s="2"/>
      <c r="G215" s="2"/>
      <c r="H215" s="2"/>
      <c r="I215" s="2"/>
      <c r="J215" s="1" t="str">
        <f t="shared" si="6"/>
        <v>NO</v>
      </c>
      <c r="K215" s="1" t="str">
        <f t="shared" si="7"/>
        <v xml:space="preserve"> </v>
      </c>
    </row>
    <row r="216" spans="1:11" ht="21.75" customHeight="1">
      <c r="A216" s="5" t="str">
        <f>IF(E216="","",SUBTOTAL(103,$E$6:E216))</f>
        <v/>
      </c>
      <c r="B216" s="6"/>
      <c r="C216" s="6"/>
      <c r="D216" s="6"/>
      <c r="E216" s="2"/>
      <c r="F216" s="2"/>
      <c r="G216" s="2"/>
      <c r="H216" s="2"/>
      <c r="I216" s="2"/>
      <c r="J216" s="1" t="str">
        <f t="shared" si="6"/>
        <v>NO</v>
      </c>
      <c r="K216" s="1" t="str">
        <f t="shared" si="7"/>
        <v xml:space="preserve"> </v>
      </c>
    </row>
    <row r="217" spans="1:11" ht="21.75" customHeight="1">
      <c r="A217" s="5" t="str">
        <f>IF(E217="","",SUBTOTAL(103,$E$6:E217))</f>
        <v/>
      </c>
      <c r="B217" s="6"/>
      <c r="C217" s="6"/>
      <c r="D217" s="6"/>
      <c r="E217" s="2"/>
      <c r="F217" s="2"/>
      <c r="G217" s="2"/>
      <c r="H217" s="2"/>
      <c r="I217" s="2"/>
      <c r="J217" s="1" t="str">
        <f t="shared" si="6"/>
        <v>NO</v>
      </c>
      <c r="K217" s="1" t="str">
        <f t="shared" si="7"/>
        <v xml:space="preserve"> </v>
      </c>
    </row>
    <row r="218" spans="1:11" ht="21.75" customHeight="1">
      <c r="A218" s="5" t="str">
        <f>IF(E218="","",SUBTOTAL(103,$E$6:E218))</f>
        <v/>
      </c>
      <c r="B218" s="6"/>
      <c r="C218" s="6"/>
      <c r="D218" s="6"/>
      <c r="E218" s="2"/>
      <c r="F218" s="2"/>
      <c r="G218" s="2"/>
      <c r="H218" s="2"/>
      <c r="I218" s="2"/>
      <c r="J218" s="1" t="str">
        <f t="shared" si="6"/>
        <v>NO</v>
      </c>
      <c r="K218" s="1" t="str">
        <f t="shared" si="7"/>
        <v xml:space="preserve"> </v>
      </c>
    </row>
    <row r="219" spans="1:11" ht="21.75" customHeight="1">
      <c r="A219" s="5" t="str">
        <f>IF(E219="","",SUBTOTAL(103,$E$6:E219))</f>
        <v/>
      </c>
      <c r="B219" s="6"/>
      <c r="C219" s="6"/>
      <c r="D219" s="6"/>
      <c r="E219" s="2"/>
      <c r="F219" s="2"/>
      <c r="G219" s="2"/>
      <c r="H219" s="2"/>
      <c r="I219" s="2"/>
      <c r="J219" s="1" t="str">
        <f t="shared" si="6"/>
        <v>NO</v>
      </c>
      <c r="K219" s="1" t="str">
        <f t="shared" si="7"/>
        <v xml:space="preserve"> </v>
      </c>
    </row>
    <row r="220" spans="1:11" ht="21.75" customHeight="1">
      <c r="A220" s="5" t="str">
        <f>IF(E220="","",SUBTOTAL(103,$E$6:E220))</f>
        <v/>
      </c>
      <c r="B220" s="6"/>
      <c r="C220" s="6"/>
      <c r="D220" s="6"/>
      <c r="E220" s="2"/>
      <c r="F220" s="2"/>
      <c r="G220" s="2"/>
      <c r="H220" s="2"/>
      <c r="I220" s="2"/>
      <c r="J220" s="1" t="str">
        <f t="shared" si="6"/>
        <v>NO</v>
      </c>
      <c r="K220" s="1" t="str">
        <f t="shared" si="7"/>
        <v xml:space="preserve"> </v>
      </c>
    </row>
    <row r="221" spans="1:11" ht="21.75" customHeight="1">
      <c r="A221" s="5" t="str">
        <f>IF(E221="","",SUBTOTAL(103,$E$6:E221))</f>
        <v/>
      </c>
      <c r="B221" s="6"/>
      <c r="C221" s="6"/>
      <c r="D221" s="6"/>
      <c r="E221" s="2"/>
      <c r="F221" s="2"/>
      <c r="G221" s="2"/>
      <c r="H221" s="2"/>
      <c r="I221" s="2"/>
      <c r="J221" s="1" t="str">
        <f t="shared" si="6"/>
        <v>NO</v>
      </c>
      <c r="K221" s="1" t="str">
        <f t="shared" si="7"/>
        <v xml:space="preserve"> </v>
      </c>
    </row>
    <row r="222" spans="1:11" ht="21.75" customHeight="1">
      <c r="A222" s="5" t="str">
        <f>IF(E222="","",SUBTOTAL(103,$E$6:E222))</f>
        <v/>
      </c>
      <c r="B222" s="6"/>
      <c r="C222" s="6"/>
      <c r="D222" s="6"/>
      <c r="E222" s="2"/>
      <c r="F222" s="2"/>
      <c r="G222" s="2"/>
      <c r="H222" s="2"/>
      <c r="I222" s="2"/>
      <c r="J222" s="1" t="str">
        <f t="shared" si="6"/>
        <v>NO</v>
      </c>
      <c r="K222" s="1" t="str">
        <f t="shared" si="7"/>
        <v xml:space="preserve"> </v>
      </c>
    </row>
    <row r="223" spans="1:11" ht="21.75" customHeight="1">
      <c r="A223" s="5" t="str">
        <f>IF(E223="","",SUBTOTAL(103,$E$6:E223))</f>
        <v/>
      </c>
      <c r="B223" s="6"/>
      <c r="C223" s="6"/>
      <c r="D223" s="6"/>
      <c r="E223" s="2"/>
      <c r="F223" s="2"/>
      <c r="G223" s="2"/>
      <c r="H223" s="2"/>
      <c r="I223" s="2"/>
      <c r="J223" s="1" t="str">
        <f t="shared" si="6"/>
        <v>NO</v>
      </c>
      <c r="K223" s="1" t="str">
        <f t="shared" si="7"/>
        <v xml:space="preserve"> </v>
      </c>
    </row>
    <row r="224" spans="1:11" ht="21.75" customHeight="1">
      <c r="A224" s="5" t="str">
        <f>IF(E224="","",SUBTOTAL(103,$E$6:E224))</f>
        <v/>
      </c>
      <c r="B224" s="6"/>
      <c r="C224" s="6"/>
      <c r="D224" s="6"/>
      <c r="E224" s="2"/>
      <c r="F224" s="2"/>
      <c r="G224" s="2"/>
      <c r="H224" s="2"/>
      <c r="I224" s="2"/>
      <c r="J224" s="1" t="str">
        <f t="shared" si="6"/>
        <v>NO</v>
      </c>
      <c r="K224" s="1" t="str">
        <f t="shared" si="7"/>
        <v xml:space="preserve"> </v>
      </c>
    </row>
    <row r="225" spans="1:11" ht="21.75" customHeight="1">
      <c r="A225" s="5" t="str">
        <f>IF(E225="","",SUBTOTAL(103,$E$6:E225))</f>
        <v/>
      </c>
      <c r="B225" s="6"/>
      <c r="C225" s="6"/>
      <c r="D225" s="6"/>
      <c r="E225" s="2"/>
      <c r="F225" s="2"/>
      <c r="G225" s="2"/>
      <c r="H225" s="2"/>
      <c r="I225" s="2"/>
      <c r="J225" s="1" t="str">
        <f t="shared" si="6"/>
        <v>NO</v>
      </c>
      <c r="K225" s="1" t="str">
        <f t="shared" si="7"/>
        <v xml:space="preserve"> </v>
      </c>
    </row>
    <row r="226" spans="1:11" ht="21.75" customHeight="1">
      <c r="A226" s="5" t="str">
        <f>IF(E226="","",SUBTOTAL(103,$E$6:E226))</f>
        <v/>
      </c>
      <c r="B226" s="6"/>
      <c r="C226" s="6"/>
      <c r="D226" s="6"/>
      <c r="E226" s="2"/>
      <c r="F226" s="2"/>
      <c r="G226" s="2"/>
      <c r="H226" s="2"/>
      <c r="I226" s="2"/>
      <c r="J226" s="1" t="str">
        <f t="shared" si="6"/>
        <v>NO</v>
      </c>
      <c r="K226" s="1" t="str">
        <f t="shared" si="7"/>
        <v xml:space="preserve"> </v>
      </c>
    </row>
    <row r="227" spans="1:11" ht="21.75" customHeight="1">
      <c r="A227" s="5" t="str">
        <f>IF(E227="","",SUBTOTAL(103,$E$6:E227))</f>
        <v/>
      </c>
      <c r="B227" s="6"/>
      <c r="C227" s="6"/>
      <c r="D227" s="6"/>
      <c r="E227" s="2"/>
      <c r="F227" s="2"/>
      <c r="G227" s="2"/>
      <c r="H227" s="2"/>
      <c r="I227" s="2"/>
      <c r="J227" s="1" t="str">
        <f t="shared" si="6"/>
        <v>NO</v>
      </c>
      <c r="K227" s="1" t="str">
        <f t="shared" si="7"/>
        <v xml:space="preserve"> </v>
      </c>
    </row>
    <row r="228" spans="1:11" ht="21.75" customHeight="1">
      <c r="A228" s="5" t="str">
        <f>IF(E228="","",SUBTOTAL(103,$E$6:E228))</f>
        <v/>
      </c>
      <c r="B228" s="6"/>
      <c r="C228" s="6"/>
      <c r="D228" s="6"/>
      <c r="E228" s="2"/>
      <c r="F228" s="2"/>
      <c r="G228" s="2"/>
      <c r="H228" s="2"/>
      <c r="I228" s="2"/>
      <c r="J228" s="1" t="str">
        <f t="shared" si="6"/>
        <v>NO</v>
      </c>
      <c r="K228" s="1" t="str">
        <f t="shared" si="7"/>
        <v xml:space="preserve"> </v>
      </c>
    </row>
    <row r="229" spans="1:11" ht="21.75" customHeight="1">
      <c r="A229" s="5" t="str">
        <f>IF(E229="","",SUBTOTAL(103,$E$6:E229))</f>
        <v/>
      </c>
      <c r="B229" s="6"/>
      <c r="C229" s="6"/>
      <c r="D229" s="6"/>
      <c r="E229" s="2"/>
      <c r="F229" s="2"/>
      <c r="G229" s="2"/>
      <c r="H229" s="2"/>
      <c r="I229" s="2"/>
      <c r="J229" s="1" t="str">
        <f t="shared" si="6"/>
        <v>NO</v>
      </c>
      <c r="K229" s="1" t="str">
        <f t="shared" si="7"/>
        <v xml:space="preserve"> </v>
      </c>
    </row>
    <row r="230" spans="1:11" ht="21.75" customHeight="1">
      <c r="A230" s="5" t="str">
        <f>IF(E230="","",SUBTOTAL(103,$E$6:E230))</f>
        <v/>
      </c>
      <c r="B230" s="6"/>
      <c r="C230" s="6"/>
      <c r="D230" s="6"/>
      <c r="E230" s="2"/>
      <c r="F230" s="2"/>
      <c r="G230" s="2"/>
      <c r="H230" s="2"/>
      <c r="I230" s="2"/>
      <c r="J230" s="1" t="str">
        <f t="shared" si="6"/>
        <v>NO</v>
      </c>
      <c r="K230" s="1" t="str">
        <f t="shared" si="7"/>
        <v xml:space="preserve"> </v>
      </c>
    </row>
    <row r="231" spans="1:11" ht="21.75" customHeight="1">
      <c r="A231" s="5" t="str">
        <f>IF(E231="","",SUBTOTAL(103,$E$6:E231))</f>
        <v/>
      </c>
      <c r="B231" s="6"/>
      <c r="C231" s="6"/>
      <c r="D231" s="6"/>
      <c r="E231" s="2"/>
      <c r="F231" s="2"/>
      <c r="G231" s="2"/>
      <c r="H231" s="2"/>
      <c r="I231" s="2"/>
      <c r="J231" s="1" t="str">
        <f t="shared" si="6"/>
        <v>NO</v>
      </c>
      <c r="K231" s="1" t="str">
        <f t="shared" si="7"/>
        <v xml:space="preserve"> </v>
      </c>
    </row>
    <row r="232" spans="1:11" ht="21.75" customHeight="1">
      <c r="A232" s="5" t="str">
        <f>IF(E232="","",SUBTOTAL(103,$E$6:E232))</f>
        <v/>
      </c>
      <c r="B232" s="6"/>
      <c r="C232" s="6"/>
      <c r="D232" s="6"/>
      <c r="E232" s="2"/>
      <c r="F232" s="2"/>
      <c r="G232" s="2"/>
      <c r="H232" s="2"/>
      <c r="I232" s="2"/>
      <c r="J232" s="1" t="str">
        <f t="shared" si="6"/>
        <v>NO</v>
      </c>
      <c r="K232" s="1" t="str">
        <f t="shared" si="7"/>
        <v xml:space="preserve"> </v>
      </c>
    </row>
    <row r="233" spans="1:11" ht="21.75" customHeight="1">
      <c r="A233" s="5" t="str">
        <f>IF(E233="","",SUBTOTAL(103,$E$6:E233))</f>
        <v/>
      </c>
      <c r="B233" s="6"/>
      <c r="C233" s="6"/>
      <c r="D233" s="6"/>
      <c r="E233" s="2"/>
      <c r="F233" s="2"/>
      <c r="G233" s="2"/>
      <c r="H233" s="2"/>
      <c r="I233" s="2"/>
      <c r="J233" s="1" t="str">
        <f t="shared" si="6"/>
        <v>NO</v>
      </c>
      <c r="K233" s="1" t="str">
        <f t="shared" si="7"/>
        <v xml:space="preserve"> </v>
      </c>
    </row>
    <row r="234" spans="1:11" ht="21.75" customHeight="1">
      <c r="A234" s="5" t="str">
        <f>IF(E234="","",SUBTOTAL(103,$E$6:E234))</f>
        <v/>
      </c>
      <c r="B234" s="6"/>
      <c r="C234" s="6"/>
      <c r="D234" s="6"/>
      <c r="E234" s="2"/>
      <c r="F234" s="2"/>
      <c r="G234" s="2"/>
      <c r="H234" s="2"/>
      <c r="I234" s="2"/>
      <c r="J234" s="1" t="str">
        <f t="shared" si="6"/>
        <v>NO</v>
      </c>
      <c r="K234" s="1" t="str">
        <f t="shared" si="7"/>
        <v xml:space="preserve"> </v>
      </c>
    </row>
    <row r="235" spans="1:11" ht="21.75" customHeight="1">
      <c r="A235" s="5" t="str">
        <f>IF(E235="","",SUBTOTAL(103,$E$6:E235))</f>
        <v/>
      </c>
      <c r="B235" s="6"/>
      <c r="C235" s="6"/>
      <c r="D235" s="6"/>
      <c r="E235" s="2"/>
      <c r="F235" s="2"/>
      <c r="G235" s="2"/>
      <c r="H235" s="2"/>
      <c r="I235" s="2"/>
      <c r="J235" s="1" t="str">
        <f t="shared" si="6"/>
        <v>NO</v>
      </c>
      <c r="K235" s="1" t="str">
        <f t="shared" si="7"/>
        <v xml:space="preserve"> </v>
      </c>
    </row>
    <row r="236" spans="1:11" ht="21.75" customHeight="1">
      <c r="A236" s="5" t="str">
        <f>IF(E236="","",SUBTOTAL(103,$E$6:E236))</f>
        <v/>
      </c>
      <c r="B236" s="6"/>
      <c r="C236" s="6"/>
      <c r="D236" s="6"/>
      <c r="E236" s="2"/>
      <c r="F236" s="2"/>
      <c r="G236" s="2"/>
      <c r="H236" s="2"/>
      <c r="I236" s="2"/>
      <c r="J236" s="1" t="str">
        <f t="shared" si="6"/>
        <v>NO</v>
      </c>
      <c r="K236" s="1" t="str">
        <f t="shared" si="7"/>
        <v xml:space="preserve"> </v>
      </c>
    </row>
    <row r="237" spans="1:11" ht="21.75" customHeight="1">
      <c r="A237" s="5" t="str">
        <f>IF(E237="","",SUBTOTAL(103,$E$6:E237))</f>
        <v/>
      </c>
      <c r="B237" s="6"/>
      <c r="C237" s="6"/>
      <c r="D237" s="6"/>
      <c r="E237" s="2"/>
      <c r="F237" s="2"/>
      <c r="G237" s="2"/>
      <c r="H237" s="2"/>
      <c r="I237" s="2"/>
      <c r="J237" s="1" t="str">
        <f t="shared" si="6"/>
        <v>NO</v>
      </c>
      <c r="K237" s="1" t="str">
        <f t="shared" si="7"/>
        <v xml:space="preserve"> </v>
      </c>
    </row>
    <row r="238" spans="1:11" ht="21.75" customHeight="1">
      <c r="A238" s="5" t="str">
        <f>IF(E238="","",SUBTOTAL(103,$E$6:E238))</f>
        <v/>
      </c>
      <c r="B238" s="6"/>
      <c r="C238" s="6"/>
      <c r="D238" s="6"/>
      <c r="E238" s="2"/>
      <c r="F238" s="2"/>
      <c r="G238" s="2"/>
      <c r="H238" s="2"/>
      <c r="I238" s="2"/>
      <c r="J238" s="1" t="str">
        <f t="shared" si="6"/>
        <v>NO</v>
      </c>
      <c r="K238" s="1" t="str">
        <f t="shared" si="7"/>
        <v xml:space="preserve"> </v>
      </c>
    </row>
    <row r="239" spans="1:11" ht="21.75" customHeight="1">
      <c r="A239" s="5" t="str">
        <f>IF(E239="","",SUBTOTAL(103,$E$6:E239))</f>
        <v/>
      </c>
      <c r="B239" s="6"/>
      <c r="C239" s="6"/>
      <c r="D239" s="6"/>
      <c r="E239" s="2"/>
      <c r="F239" s="2"/>
      <c r="G239" s="2"/>
      <c r="H239" s="2"/>
      <c r="I239" s="2"/>
      <c r="J239" s="1" t="str">
        <f t="shared" si="6"/>
        <v>NO</v>
      </c>
      <c r="K239" s="1" t="str">
        <f t="shared" si="7"/>
        <v xml:space="preserve"> </v>
      </c>
    </row>
    <row r="240" spans="1:11" ht="21.75" customHeight="1">
      <c r="A240" s="5" t="str">
        <f>IF(E240="","",SUBTOTAL(103,$E$6:E240))</f>
        <v/>
      </c>
      <c r="B240" s="6"/>
      <c r="C240" s="6"/>
      <c r="D240" s="6"/>
      <c r="E240" s="2"/>
      <c r="F240" s="2"/>
      <c r="G240" s="2"/>
      <c r="H240" s="2"/>
      <c r="I240" s="2"/>
      <c r="J240" s="1" t="str">
        <f t="shared" si="6"/>
        <v>NO</v>
      </c>
      <c r="K240" s="1" t="str">
        <f t="shared" si="7"/>
        <v xml:space="preserve"> </v>
      </c>
    </row>
    <row r="241" spans="1:11" ht="21.75" customHeight="1">
      <c r="A241" s="5" t="str">
        <f>IF(E241="","",SUBTOTAL(103,$E$6:E241))</f>
        <v/>
      </c>
      <c r="B241" s="6"/>
      <c r="C241" s="6"/>
      <c r="D241" s="6"/>
      <c r="E241" s="2"/>
      <c r="F241" s="2"/>
      <c r="G241" s="2"/>
      <c r="H241" s="2"/>
      <c r="I241" s="2"/>
      <c r="J241" s="1" t="str">
        <f t="shared" si="6"/>
        <v>NO</v>
      </c>
      <c r="K241" s="1" t="str">
        <f t="shared" si="7"/>
        <v xml:space="preserve"> </v>
      </c>
    </row>
    <row r="242" spans="1:11" ht="21.75" customHeight="1">
      <c r="A242" s="5" t="str">
        <f>IF(E242="","",SUBTOTAL(103,$E$6:E242))</f>
        <v/>
      </c>
      <c r="B242" s="6"/>
      <c r="C242" s="6"/>
      <c r="D242" s="6"/>
      <c r="E242" s="2"/>
      <c r="F242" s="2"/>
      <c r="G242" s="2"/>
      <c r="H242" s="2"/>
      <c r="I242" s="2"/>
      <c r="J242" s="1" t="str">
        <f t="shared" si="6"/>
        <v>NO</v>
      </c>
      <c r="K242" s="1" t="str">
        <f t="shared" si="7"/>
        <v xml:space="preserve"> </v>
      </c>
    </row>
    <row r="243" spans="1:11" ht="21.75" customHeight="1">
      <c r="A243" s="5" t="str">
        <f>IF(E243="","",SUBTOTAL(103,$E$6:E243))</f>
        <v/>
      </c>
      <c r="B243" s="6"/>
      <c r="C243" s="6"/>
      <c r="D243" s="6"/>
      <c r="E243" s="2"/>
      <c r="F243" s="2"/>
      <c r="G243" s="2"/>
      <c r="H243" s="2"/>
      <c r="I243" s="2"/>
      <c r="J243" s="1" t="str">
        <f t="shared" si="6"/>
        <v>NO</v>
      </c>
      <c r="K243" s="1" t="str">
        <f t="shared" si="7"/>
        <v xml:space="preserve"> </v>
      </c>
    </row>
    <row r="244" spans="1:11" ht="21.75" customHeight="1">
      <c r="A244" s="5" t="str">
        <f>IF(E244="","",SUBTOTAL(103,$E$6:E244))</f>
        <v/>
      </c>
      <c r="B244" s="6"/>
      <c r="C244" s="6"/>
      <c r="D244" s="6"/>
      <c r="E244" s="2"/>
      <c r="F244" s="2"/>
      <c r="G244" s="2"/>
      <c r="H244" s="2"/>
      <c r="I244" s="2"/>
      <c r="J244" s="1" t="str">
        <f t="shared" si="6"/>
        <v>NO</v>
      </c>
      <c r="K244" s="1" t="str">
        <f t="shared" si="7"/>
        <v xml:space="preserve"> </v>
      </c>
    </row>
    <row r="245" spans="1:11" ht="21.75" customHeight="1">
      <c r="A245" s="5" t="str">
        <f>IF(E245="","",SUBTOTAL(103,$E$6:E245))</f>
        <v/>
      </c>
      <c r="B245" s="6"/>
      <c r="C245" s="6"/>
      <c r="D245" s="6"/>
      <c r="E245" s="2"/>
      <c r="F245" s="2"/>
      <c r="G245" s="2"/>
      <c r="H245" s="2"/>
      <c r="I245" s="2"/>
      <c r="J245" s="1" t="str">
        <f t="shared" si="6"/>
        <v>NO</v>
      </c>
      <c r="K245" s="1" t="str">
        <f t="shared" si="7"/>
        <v xml:space="preserve"> </v>
      </c>
    </row>
    <row r="246" spans="1:11" ht="21.75" customHeight="1">
      <c r="A246" s="5" t="str">
        <f>IF(E246="","",SUBTOTAL(103,$E$6:E246))</f>
        <v/>
      </c>
      <c r="B246" s="6"/>
      <c r="C246" s="6"/>
      <c r="D246" s="6"/>
      <c r="E246" s="2"/>
      <c r="F246" s="2"/>
      <c r="G246" s="2"/>
      <c r="H246" s="2"/>
      <c r="I246" s="2"/>
      <c r="J246" s="1" t="str">
        <f t="shared" si="6"/>
        <v>NO</v>
      </c>
      <c r="K246" s="1" t="str">
        <f t="shared" si="7"/>
        <v xml:space="preserve"> </v>
      </c>
    </row>
    <row r="247" spans="1:11" ht="21.75" customHeight="1">
      <c r="A247" s="5" t="str">
        <f>IF(E247="","",SUBTOTAL(103,$E$6:E247))</f>
        <v/>
      </c>
      <c r="B247" s="6"/>
      <c r="C247" s="6"/>
      <c r="D247" s="6"/>
      <c r="E247" s="2"/>
      <c r="F247" s="2"/>
      <c r="G247" s="2"/>
      <c r="H247" s="2"/>
      <c r="I247" s="2"/>
      <c r="J247" s="1" t="str">
        <f t="shared" si="6"/>
        <v>NO</v>
      </c>
      <c r="K247" s="1" t="str">
        <f t="shared" si="7"/>
        <v xml:space="preserve"> </v>
      </c>
    </row>
    <row r="248" spans="1:11" ht="21.75" customHeight="1">
      <c r="A248" s="5" t="str">
        <f>IF(E248="","",SUBTOTAL(103,$E$6:E248))</f>
        <v/>
      </c>
      <c r="B248" s="6"/>
      <c r="C248" s="6"/>
      <c r="D248" s="6"/>
      <c r="E248" s="2"/>
      <c r="F248" s="2"/>
      <c r="G248" s="2"/>
      <c r="H248" s="2"/>
      <c r="I248" s="2"/>
      <c r="J248" s="1" t="str">
        <f t="shared" si="6"/>
        <v>NO</v>
      </c>
      <c r="K248" s="1" t="str">
        <f t="shared" si="7"/>
        <v xml:space="preserve"> </v>
      </c>
    </row>
    <row r="249" spans="1:11" ht="21.75" customHeight="1">
      <c r="A249" s="5" t="str">
        <f>IF(E249="","",SUBTOTAL(103,$E$6:E249))</f>
        <v/>
      </c>
      <c r="B249" s="6"/>
      <c r="C249" s="6"/>
      <c r="D249" s="6"/>
      <c r="E249" s="2"/>
      <c r="F249" s="2"/>
      <c r="G249" s="2"/>
      <c r="H249" s="2"/>
      <c r="I249" s="2"/>
      <c r="J249" s="1" t="str">
        <f t="shared" si="6"/>
        <v>NO</v>
      </c>
      <c r="K249" s="1" t="str">
        <f t="shared" si="7"/>
        <v xml:space="preserve"> </v>
      </c>
    </row>
    <row r="250" spans="1:11" ht="21.75" customHeight="1">
      <c r="A250" s="5" t="str">
        <f>IF(E250="","",SUBTOTAL(103,$E$6:E250))</f>
        <v/>
      </c>
      <c r="B250" s="6"/>
      <c r="C250" s="6"/>
      <c r="D250" s="6"/>
      <c r="E250" s="2"/>
      <c r="F250" s="2"/>
      <c r="G250" s="2"/>
      <c r="H250" s="2"/>
      <c r="I250" s="2"/>
      <c r="J250" s="1" t="str">
        <f t="shared" si="6"/>
        <v>NO</v>
      </c>
      <c r="K250" s="1" t="str">
        <f t="shared" si="7"/>
        <v xml:space="preserve"> </v>
      </c>
    </row>
    <row r="251" spans="1:11" ht="21.75" customHeight="1">
      <c r="A251" s="5" t="str">
        <f>IF(E251="","",SUBTOTAL(103,$E$6:E251))</f>
        <v/>
      </c>
      <c r="B251" s="6"/>
      <c r="C251" s="6"/>
      <c r="D251" s="6"/>
      <c r="E251" s="2"/>
      <c r="F251" s="2"/>
      <c r="G251" s="2"/>
      <c r="H251" s="2"/>
      <c r="I251" s="2"/>
      <c r="J251" s="1" t="str">
        <f t="shared" si="6"/>
        <v>NO</v>
      </c>
      <c r="K251" s="1" t="str">
        <f t="shared" si="7"/>
        <v xml:space="preserve"> </v>
      </c>
    </row>
    <row r="252" spans="1:11" ht="21.75" customHeight="1">
      <c r="A252" s="5" t="str">
        <f>IF(E252="","",SUBTOTAL(103,$E$6:E252))</f>
        <v/>
      </c>
      <c r="B252" s="6"/>
      <c r="C252" s="6"/>
      <c r="D252" s="6"/>
      <c r="E252" s="2"/>
      <c r="F252" s="2"/>
      <c r="G252" s="2"/>
      <c r="H252" s="2"/>
      <c r="I252" s="2"/>
      <c r="J252" s="1" t="str">
        <f t="shared" si="6"/>
        <v>NO</v>
      </c>
      <c r="K252" s="1" t="str">
        <f t="shared" si="7"/>
        <v xml:space="preserve"> </v>
      </c>
    </row>
    <row r="253" spans="1:11" ht="21.75" customHeight="1">
      <c r="A253" s="5" t="str">
        <f>IF(E253="","",SUBTOTAL(103,$E$6:E253))</f>
        <v/>
      </c>
      <c r="B253" s="6"/>
      <c r="C253" s="6"/>
      <c r="D253" s="6"/>
      <c r="E253" s="2"/>
      <c r="F253" s="2"/>
      <c r="G253" s="2"/>
      <c r="H253" s="2"/>
      <c r="I253" s="2"/>
      <c r="J253" s="1" t="str">
        <f t="shared" si="6"/>
        <v>NO</v>
      </c>
      <c r="K253" s="1" t="str">
        <f t="shared" si="7"/>
        <v xml:space="preserve"> </v>
      </c>
    </row>
    <row r="254" spans="1:11" ht="21.75" customHeight="1">
      <c r="A254" s="5" t="str">
        <f>IF(E254="","",SUBTOTAL(103,$E$6:E254))</f>
        <v/>
      </c>
      <c r="B254" s="6"/>
      <c r="C254" s="6"/>
      <c r="D254" s="6"/>
      <c r="E254" s="2"/>
      <c r="F254" s="2"/>
      <c r="G254" s="2"/>
      <c r="H254" s="2"/>
      <c r="I254" s="2"/>
      <c r="J254" s="1" t="str">
        <f t="shared" si="6"/>
        <v>NO</v>
      </c>
      <c r="K254" s="1" t="str">
        <f t="shared" si="7"/>
        <v xml:space="preserve"> </v>
      </c>
    </row>
    <row r="255" spans="1:11" ht="21.75" customHeight="1">
      <c r="A255" s="5" t="str">
        <f>IF(E255="","",SUBTOTAL(103,$E$6:E255))</f>
        <v/>
      </c>
      <c r="B255" s="6"/>
      <c r="C255" s="6"/>
      <c r="D255" s="6"/>
      <c r="E255" s="2"/>
      <c r="F255" s="2"/>
      <c r="G255" s="2"/>
      <c r="H255" s="2"/>
      <c r="I255" s="2"/>
      <c r="J255" s="1" t="str">
        <f t="shared" si="6"/>
        <v>NO</v>
      </c>
      <c r="K255" s="1" t="str">
        <f t="shared" si="7"/>
        <v xml:space="preserve"> </v>
      </c>
    </row>
    <row r="256" spans="1:11" ht="21.75" customHeight="1">
      <c r="A256" s="5" t="str">
        <f>IF(E256="","",SUBTOTAL(103,$E$6:E256))</f>
        <v/>
      </c>
      <c r="B256" s="6"/>
      <c r="C256" s="6"/>
      <c r="D256" s="6"/>
      <c r="E256" s="2"/>
      <c r="F256" s="2"/>
      <c r="G256" s="2"/>
      <c r="H256" s="2"/>
      <c r="I256" s="2"/>
      <c r="J256" s="1" t="str">
        <f t="shared" si="6"/>
        <v>NO</v>
      </c>
      <c r="K256" s="1" t="str">
        <f t="shared" si="7"/>
        <v xml:space="preserve"> </v>
      </c>
    </row>
    <row r="257" spans="1:11" ht="21.75" customHeight="1">
      <c r="A257" s="5" t="str">
        <f>IF(E257="","",SUBTOTAL(103,$E$6:E257))</f>
        <v/>
      </c>
      <c r="B257" s="6"/>
      <c r="C257" s="6"/>
      <c r="D257" s="6"/>
      <c r="E257" s="2"/>
      <c r="F257" s="2"/>
      <c r="G257" s="2"/>
      <c r="H257" s="2"/>
      <c r="I257" s="2"/>
      <c r="J257" s="1" t="str">
        <f t="shared" si="6"/>
        <v>NO</v>
      </c>
      <c r="K257" s="1" t="str">
        <f t="shared" si="7"/>
        <v xml:space="preserve"> </v>
      </c>
    </row>
    <row r="258" spans="1:11" ht="21.75" customHeight="1">
      <c r="A258" s="5" t="str">
        <f>IF(E258="","",SUBTOTAL(103,$E$6:E258))</f>
        <v/>
      </c>
      <c r="B258" s="6"/>
      <c r="C258" s="6"/>
      <c r="D258" s="6"/>
      <c r="E258" s="2"/>
      <c r="F258" s="2"/>
      <c r="G258" s="2"/>
      <c r="H258" s="2"/>
      <c r="I258" s="2"/>
      <c r="J258" s="1" t="str">
        <f t="shared" si="6"/>
        <v>NO</v>
      </c>
      <c r="K258" s="1" t="str">
        <f t="shared" si="7"/>
        <v xml:space="preserve"> </v>
      </c>
    </row>
    <row r="259" spans="1:11" ht="21.75" customHeight="1">
      <c r="A259" s="5" t="str">
        <f>IF(E259="","",SUBTOTAL(103,$E$6:E259))</f>
        <v/>
      </c>
      <c r="B259" s="6"/>
      <c r="C259" s="6"/>
      <c r="D259" s="6"/>
      <c r="E259" s="2"/>
      <c r="F259" s="2"/>
      <c r="G259" s="2"/>
      <c r="H259" s="2"/>
      <c r="I259" s="2"/>
      <c r="J259" s="1" t="str">
        <f t="shared" si="6"/>
        <v>NO</v>
      </c>
      <c r="K259" s="1" t="str">
        <f t="shared" si="7"/>
        <v xml:space="preserve"> </v>
      </c>
    </row>
    <row r="260" spans="1:11" ht="21.75" customHeight="1">
      <c r="A260" s="5" t="str">
        <f>IF(E260="","",SUBTOTAL(103,$E$6:E260))</f>
        <v/>
      </c>
      <c r="B260" s="6"/>
      <c r="C260" s="6"/>
      <c r="D260" s="6"/>
      <c r="E260" s="2"/>
      <c r="F260" s="2"/>
      <c r="G260" s="2"/>
      <c r="H260" s="2"/>
      <c r="I260" s="2"/>
      <c r="J260" s="1" t="str">
        <f t="shared" si="6"/>
        <v>NO</v>
      </c>
      <c r="K260" s="1" t="str">
        <f t="shared" si="7"/>
        <v xml:space="preserve"> </v>
      </c>
    </row>
    <row r="261" spans="1:11" ht="21.75" customHeight="1">
      <c r="A261" s="5" t="str">
        <f>IF(E261="","",SUBTOTAL(103,$E$6:E261))</f>
        <v/>
      </c>
      <c r="B261" s="6"/>
      <c r="C261" s="6"/>
      <c r="D261" s="6"/>
      <c r="E261" s="2"/>
      <c r="F261" s="2"/>
      <c r="G261" s="2"/>
      <c r="H261" s="2"/>
      <c r="I261" s="2"/>
      <c r="J261" s="1" t="str">
        <f t="shared" si="6"/>
        <v>NO</v>
      </c>
      <c r="K261" s="1" t="str">
        <f t="shared" si="7"/>
        <v xml:space="preserve"> </v>
      </c>
    </row>
    <row r="262" spans="1:11" ht="21.75" customHeight="1">
      <c r="A262" s="5" t="str">
        <f>IF(E262="","",SUBTOTAL(103,$E$6:E262))</f>
        <v/>
      </c>
      <c r="B262" s="6"/>
      <c r="C262" s="6"/>
      <c r="D262" s="6"/>
      <c r="E262" s="2"/>
      <c r="F262" s="2"/>
      <c r="G262" s="2"/>
      <c r="H262" s="2"/>
      <c r="I262" s="2"/>
      <c r="J262" s="1" t="str">
        <f t="shared" ref="J262:J325" si="8">IF(ISERROR(SEARCH("热处理", E262))=FALSE, "XLN", IF(ISERROR(SEARCH("114", E262))=FALSE, "XLN", IF(ISERROR(SEARCH("OM", E262))=FALSE, "NO", IF(ISERROR(SEARCH("试棒毛坯", E262))=FALSE, "XLN", IF(ISERROR(SEARCH("M35", F262))=FALSE, "NO", IF(OR(LEFT(F262, 2)="DN", LEFT(F262, 3)="NPS", ISERROR(SEARCH("LADISH", E262))=FALSE), "XLN", "NO"))))))</f>
        <v>NO</v>
      </c>
      <c r="K262" s="1" t="str">
        <f t="shared" ref="K262:K325" si="9">IF(ISERROR(FIND("304",F262))=FALSE,304,IF(ISERROR(FIND("316",F262))=FALSE,316,IF(ISERROR(FIND("CF8M",F262))=FALSE,316,IF(ISERROR(SEARCH("wcb",F262))=FALSE,"WCB",IF(ISERROR(SEARCH("cd3mn",F262))=FALSE,"CD3MN",IF(ISERROR(SEARCH("CN7M",F262))=FALSE,"CN7M",IF(ISERROR(SEARCH("M35",F262))=FALSE,"M35",IF(ISERROR(SEARCH("CF3M",F262))=FALSE,"CF3M",IF(ISERROR(SEARCH("CD3MWCuN",F262))=FALSE, "CD3MWCuN",  IF(ISERROR(SEARCH("CW12MW",F262))=FALSE, "CW12MW", IF(ISERROR(SEARCH("CF8",F262))=FALSE, 304," ")))))))))))</f>
        <v xml:space="preserve"> </v>
      </c>
    </row>
    <row r="263" spans="1:11" ht="21.75" customHeight="1">
      <c r="A263" s="5" t="str">
        <f>IF(E263="","",SUBTOTAL(103,$E$6:E263))</f>
        <v/>
      </c>
      <c r="B263" s="6"/>
      <c r="C263" s="6"/>
      <c r="D263" s="6"/>
      <c r="E263" s="2"/>
      <c r="F263" s="2"/>
      <c r="G263" s="2"/>
      <c r="H263" s="2"/>
      <c r="I263" s="2"/>
      <c r="J263" s="1" t="str">
        <f t="shared" si="8"/>
        <v>NO</v>
      </c>
      <c r="K263" s="1" t="str">
        <f t="shared" si="9"/>
        <v xml:space="preserve"> </v>
      </c>
    </row>
    <row r="264" spans="1:11" ht="21.75" customHeight="1">
      <c r="A264" s="5" t="str">
        <f>IF(E264="","",SUBTOTAL(103,$E$6:E264))</f>
        <v/>
      </c>
      <c r="B264" s="6"/>
      <c r="C264" s="6"/>
      <c r="D264" s="6"/>
      <c r="E264" s="2"/>
      <c r="F264" s="2"/>
      <c r="G264" s="2"/>
      <c r="H264" s="2"/>
      <c r="I264" s="2"/>
      <c r="J264" s="1" t="str">
        <f t="shared" si="8"/>
        <v>NO</v>
      </c>
      <c r="K264" s="1" t="str">
        <f t="shared" si="9"/>
        <v xml:space="preserve"> </v>
      </c>
    </row>
    <row r="265" spans="1:11" ht="21.75" customHeight="1">
      <c r="A265" s="5" t="str">
        <f>IF(E265="","",SUBTOTAL(103,$E$6:E265))</f>
        <v/>
      </c>
      <c r="B265" s="6"/>
      <c r="C265" s="6"/>
      <c r="D265" s="6"/>
      <c r="E265" s="2"/>
      <c r="F265" s="2"/>
      <c r="G265" s="2"/>
      <c r="H265" s="2"/>
      <c r="I265" s="2"/>
      <c r="J265" s="1" t="str">
        <f t="shared" si="8"/>
        <v>NO</v>
      </c>
      <c r="K265" s="1" t="str">
        <f t="shared" si="9"/>
        <v xml:space="preserve"> </v>
      </c>
    </row>
    <row r="266" spans="1:11" ht="21.75" customHeight="1">
      <c r="A266" s="5" t="str">
        <f>IF(E266="","",SUBTOTAL(103,$E$6:E266))</f>
        <v/>
      </c>
      <c r="B266" s="6"/>
      <c r="C266" s="6"/>
      <c r="D266" s="6"/>
      <c r="E266" s="2"/>
      <c r="F266" s="2"/>
      <c r="G266" s="2"/>
      <c r="H266" s="2"/>
      <c r="I266" s="2"/>
      <c r="J266" s="1" t="str">
        <f t="shared" si="8"/>
        <v>NO</v>
      </c>
      <c r="K266" s="1" t="str">
        <f t="shared" si="9"/>
        <v xml:space="preserve"> </v>
      </c>
    </row>
    <row r="267" spans="1:11" ht="21.75" customHeight="1">
      <c r="A267" s="5" t="str">
        <f>IF(E267="","",SUBTOTAL(103,$E$6:E267))</f>
        <v/>
      </c>
      <c r="B267" s="6"/>
      <c r="C267" s="6"/>
      <c r="D267" s="6"/>
      <c r="E267" s="2"/>
      <c r="F267" s="2"/>
      <c r="G267" s="2"/>
      <c r="H267" s="2"/>
      <c r="I267" s="2"/>
      <c r="J267" s="1" t="str">
        <f t="shared" si="8"/>
        <v>NO</v>
      </c>
      <c r="K267" s="1" t="str">
        <f t="shared" si="9"/>
        <v xml:space="preserve"> </v>
      </c>
    </row>
    <row r="268" spans="1:11" ht="21.75" customHeight="1">
      <c r="A268" s="5" t="str">
        <f>IF(E268="","",SUBTOTAL(103,$E$6:E268))</f>
        <v/>
      </c>
      <c r="B268" s="6"/>
      <c r="C268" s="6"/>
      <c r="D268" s="6"/>
      <c r="E268" s="2"/>
      <c r="F268" s="2"/>
      <c r="G268" s="2"/>
      <c r="H268" s="2"/>
      <c r="I268" s="2"/>
      <c r="J268" s="1" t="str">
        <f t="shared" si="8"/>
        <v>NO</v>
      </c>
      <c r="K268" s="1" t="str">
        <f t="shared" si="9"/>
        <v xml:space="preserve"> </v>
      </c>
    </row>
    <row r="269" spans="1:11" ht="21.75" customHeight="1">
      <c r="A269" s="5" t="str">
        <f>IF(E269="","",SUBTOTAL(103,$E$6:E269))</f>
        <v/>
      </c>
      <c r="B269" s="6"/>
      <c r="C269" s="6"/>
      <c r="D269" s="6"/>
      <c r="E269" s="2"/>
      <c r="F269" s="2"/>
      <c r="G269" s="2"/>
      <c r="H269" s="2"/>
      <c r="I269" s="2"/>
      <c r="J269" s="1" t="str">
        <f t="shared" si="8"/>
        <v>NO</v>
      </c>
      <c r="K269" s="1" t="str">
        <f t="shared" si="9"/>
        <v xml:space="preserve"> </v>
      </c>
    </row>
    <row r="270" spans="1:11" ht="21.75" customHeight="1">
      <c r="A270" s="5" t="str">
        <f>IF(E270="","",SUBTOTAL(103,$E$6:E270))</f>
        <v/>
      </c>
      <c r="B270" s="6"/>
      <c r="C270" s="6"/>
      <c r="D270" s="6"/>
      <c r="E270" s="2"/>
      <c r="F270" s="2"/>
      <c r="G270" s="2"/>
      <c r="H270" s="2"/>
      <c r="I270" s="2"/>
      <c r="J270" s="1" t="str">
        <f t="shared" si="8"/>
        <v>NO</v>
      </c>
      <c r="K270" s="1" t="str">
        <f t="shared" si="9"/>
        <v xml:space="preserve"> </v>
      </c>
    </row>
    <row r="271" spans="1:11" ht="21.75" customHeight="1">
      <c r="A271" s="5" t="str">
        <f>IF(E271="","",SUBTOTAL(103,$E$6:E271))</f>
        <v/>
      </c>
      <c r="B271" s="6"/>
      <c r="C271" s="6"/>
      <c r="D271" s="6"/>
      <c r="E271" s="2"/>
      <c r="F271" s="2"/>
      <c r="G271" s="2"/>
      <c r="H271" s="2"/>
      <c r="I271" s="2"/>
      <c r="J271" s="1" t="str">
        <f t="shared" si="8"/>
        <v>NO</v>
      </c>
      <c r="K271" s="1" t="str">
        <f t="shared" si="9"/>
        <v xml:space="preserve"> </v>
      </c>
    </row>
    <row r="272" spans="1:11" ht="21.75" customHeight="1">
      <c r="A272" s="5" t="str">
        <f>IF(E272="","",SUBTOTAL(103,$E$6:E272))</f>
        <v/>
      </c>
      <c r="B272" s="6"/>
      <c r="C272" s="6"/>
      <c r="D272" s="6"/>
      <c r="E272" s="2"/>
      <c r="F272" s="2"/>
      <c r="G272" s="2"/>
      <c r="H272" s="2"/>
      <c r="I272" s="2"/>
      <c r="J272" s="1" t="str">
        <f t="shared" si="8"/>
        <v>NO</v>
      </c>
      <c r="K272" s="1" t="str">
        <f t="shared" si="9"/>
        <v xml:space="preserve"> </v>
      </c>
    </row>
    <row r="273" spans="1:11" ht="21.75" customHeight="1">
      <c r="A273" s="5" t="str">
        <f>IF(E273="","",SUBTOTAL(103,$E$6:E273))</f>
        <v/>
      </c>
      <c r="B273" s="6"/>
      <c r="C273" s="6"/>
      <c r="D273" s="6"/>
      <c r="E273" s="2"/>
      <c r="F273" s="2"/>
      <c r="G273" s="2"/>
      <c r="H273" s="2"/>
      <c r="I273" s="2"/>
      <c r="J273" s="1" t="str">
        <f t="shared" si="8"/>
        <v>NO</v>
      </c>
      <c r="K273" s="1" t="str">
        <f t="shared" si="9"/>
        <v xml:space="preserve"> </v>
      </c>
    </row>
    <row r="274" spans="1:11" ht="21.75" customHeight="1">
      <c r="A274" s="5" t="str">
        <f>IF(E274="","",SUBTOTAL(103,$E$6:E274))</f>
        <v/>
      </c>
      <c r="B274" s="6"/>
      <c r="C274" s="6"/>
      <c r="D274" s="6"/>
      <c r="E274" s="2"/>
      <c r="F274" s="2"/>
      <c r="G274" s="2"/>
      <c r="H274" s="2"/>
      <c r="I274" s="2"/>
      <c r="J274" s="1" t="str">
        <f t="shared" si="8"/>
        <v>NO</v>
      </c>
      <c r="K274" s="1" t="str">
        <f t="shared" si="9"/>
        <v xml:space="preserve"> </v>
      </c>
    </row>
    <row r="275" spans="1:11" ht="21.75" customHeight="1">
      <c r="A275" s="5" t="str">
        <f>IF(E275="","",SUBTOTAL(103,$E$6:E275))</f>
        <v/>
      </c>
      <c r="B275" s="6"/>
      <c r="C275" s="6"/>
      <c r="D275" s="6"/>
      <c r="E275" s="2"/>
      <c r="F275" s="2"/>
      <c r="G275" s="2"/>
      <c r="H275" s="2"/>
      <c r="I275" s="2"/>
      <c r="J275" s="1" t="str">
        <f t="shared" si="8"/>
        <v>NO</v>
      </c>
      <c r="K275" s="1" t="str">
        <f t="shared" si="9"/>
        <v xml:space="preserve"> </v>
      </c>
    </row>
    <row r="276" spans="1:11" ht="21.75" customHeight="1">
      <c r="A276" s="5" t="str">
        <f>IF(E276="","",SUBTOTAL(103,$E$6:E276))</f>
        <v/>
      </c>
      <c r="B276" s="6"/>
      <c r="C276" s="6"/>
      <c r="D276" s="6"/>
      <c r="E276" s="2"/>
      <c r="F276" s="2"/>
      <c r="G276" s="2"/>
      <c r="H276" s="2"/>
      <c r="I276" s="2"/>
      <c r="J276" s="1" t="str">
        <f t="shared" si="8"/>
        <v>NO</v>
      </c>
      <c r="K276" s="1" t="str">
        <f t="shared" si="9"/>
        <v xml:space="preserve"> </v>
      </c>
    </row>
    <row r="277" spans="1:11" ht="21.75" customHeight="1">
      <c r="A277" s="5" t="str">
        <f>IF(E277="","",SUBTOTAL(103,$E$6:E277))</f>
        <v/>
      </c>
      <c r="B277" s="6"/>
      <c r="C277" s="6"/>
      <c r="D277" s="6"/>
      <c r="E277" s="2"/>
      <c r="F277" s="2"/>
      <c r="G277" s="2"/>
      <c r="H277" s="2"/>
      <c r="I277" s="2"/>
      <c r="J277" s="1" t="str">
        <f t="shared" si="8"/>
        <v>NO</v>
      </c>
      <c r="K277" s="1" t="str">
        <f t="shared" si="9"/>
        <v xml:space="preserve"> </v>
      </c>
    </row>
    <row r="278" spans="1:11" ht="21.75" customHeight="1">
      <c r="A278" s="5" t="str">
        <f>IF(E278="","",SUBTOTAL(103,$E$6:E278))</f>
        <v/>
      </c>
      <c r="B278" s="6"/>
      <c r="C278" s="6"/>
      <c r="D278" s="6"/>
      <c r="E278" s="2"/>
      <c r="F278" s="2"/>
      <c r="G278" s="2"/>
      <c r="H278" s="2"/>
      <c r="I278" s="2"/>
      <c r="J278" s="1" t="str">
        <f t="shared" si="8"/>
        <v>NO</v>
      </c>
      <c r="K278" s="1" t="str">
        <f t="shared" si="9"/>
        <v xml:space="preserve"> </v>
      </c>
    </row>
    <row r="279" spans="1:11" ht="21.75" customHeight="1">
      <c r="A279" s="5" t="str">
        <f>IF(E279="","",SUBTOTAL(103,$E$6:E279))</f>
        <v/>
      </c>
      <c r="B279" s="6"/>
      <c r="C279" s="6"/>
      <c r="D279" s="6"/>
      <c r="E279" s="2"/>
      <c r="F279" s="2"/>
      <c r="G279" s="2"/>
      <c r="H279" s="2"/>
      <c r="I279" s="2"/>
      <c r="J279" s="1" t="str">
        <f t="shared" si="8"/>
        <v>NO</v>
      </c>
      <c r="K279" s="1" t="str">
        <f t="shared" si="9"/>
        <v xml:space="preserve"> </v>
      </c>
    </row>
    <row r="280" spans="1:11" ht="21.75" customHeight="1">
      <c r="A280" s="5" t="str">
        <f>IF(E280="","",SUBTOTAL(103,$E$6:E280))</f>
        <v/>
      </c>
      <c r="B280" s="6"/>
      <c r="C280" s="6"/>
      <c r="D280" s="6"/>
      <c r="E280" s="2"/>
      <c r="F280" s="2"/>
      <c r="G280" s="2"/>
      <c r="H280" s="2"/>
      <c r="I280" s="2"/>
      <c r="J280" s="1" t="str">
        <f t="shared" si="8"/>
        <v>NO</v>
      </c>
      <c r="K280" s="1" t="str">
        <f t="shared" si="9"/>
        <v xml:space="preserve"> </v>
      </c>
    </row>
    <row r="281" spans="1:11" ht="21.75" customHeight="1">
      <c r="A281" s="5" t="str">
        <f>IF(E281="","",SUBTOTAL(103,$E$6:E281))</f>
        <v/>
      </c>
      <c r="B281" s="6"/>
      <c r="C281" s="6"/>
      <c r="D281" s="6"/>
      <c r="E281" s="2"/>
      <c r="F281" s="2"/>
      <c r="G281" s="2"/>
      <c r="H281" s="2"/>
      <c r="I281" s="2"/>
      <c r="J281" s="1" t="str">
        <f t="shared" si="8"/>
        <v>NO</v>
      </c>
      <c r="K281" s="1" t="str">
        <f t="shared" si="9"/>
        <v xml:space="preserve"> </v>
      </c>
    </row>
    <row r="282" spans="1:11" ht="21.75" customHeight="1">
      <c r="A282" s="5" t="str">
        <f>IF(E282="","",SUBTOTAL(103,$E$6:E282))</f>
        <v/>
      </c>
      <c r="B282" s="6"/>
      <c r="C282" s="6"/>
      <c r="D282" s="6"/>
      <c r="E282" s="2"/>
      <c r="F282" s="2"/>
      <c r="G282" s="2"/>
      <c r="H282" s="2"/>
      <c r="I282" s="2"/>
      <c r="J282" s="1" t="str">
        <f t="shared" si="8"/>
        <v>NO</v>
      </c>
      <c r="K282" s="1" t="str">
        <f t="shared" si="9"/>
        <v xml:space="preserve"> </v>
      </c>
    </row>
    <row r="283" spans="1:11" ht="21.75" customHeight="1">
      <c r="A283" s="5" t="str">
        <f>IF(E283="","",SUBTOTAL(103,$E$6:E283))</f>
        <v/>
      </c>
      <c r="B283" s="6"/>
      <c r="C283" s="6"/>
      <c r="D283" s="6"/>
      <c r="E283" s="2"/>
      <c r="F283" s="2"/>
      <c r="G283" s="2"/>
      <c r="H283" s="2"/>
      <c r="I283" s="2"/>
      <c r="J283" s="1" t="str">
        <f t="shared" si="8"/>
        <v>NO</v>
      </c>
      <c r="K283" s="1" t="str">
        <f t="shared" si="9"/>
        <v xml:space="preserve"> </v>
      </c>
    </row>
    <row r="284" spans="1:11" ht="21.75" customHeight="1">
      <c r="A284" s="5" t="str">
        <f>IF(E284="","",SUBTOTAL(103,$E$6:E284))</f>
        <v/>
      </c>
      <c r="B284" s="6"/>
      <c r="C284" s="6"/>
      <c r="D284" s="6"/>
      <c r="E284" s="2"/>
      <c r="F284" s="2"/>
      <c r="G284" s="2"/>
      <c r="H284" s="2"/>
      <c r="I284" s="2"/>
      <c r="J284" s="1" t="str">
        <f t="shared" si="8"/>
        <v>NO</v>
      </c>
      <c r="K284" s="1" t="str">
        <f t="shared" si="9"/>
        <v xml:space="preserve"> </v>
      </c>
    </row>
    <row r="285" spans="1:11" ht="21.75" customHeight="1">
      <c r="A285" s="5" t="str">
        <f>IF(E285="","",SUBTOTAL(103,$E$6:E285))</f>
        <v/>
      </c>
      <c r="B285" s="6"/>
      <c r="C285" s="6"/>
      <c r="D285" s="6"/>
      <c r="E285" s="2"/>
      <c r="F285" s="2"/>
      <c r="G285" s="2"/>
      <c r="H285" s="2"/>
      <c r="I285" s="2"/>
      <c r="J285" s="1" t="str">
        <f t="shared" si="8"/>
        <v>NO</v>
      </c>
      <c r="K285" s="1" t="str">
        <f t="shared" si="9"/>
        <v xml:space="preserve"> </v>
      </c>
    </row>
    <row r="286" spans="1:11" ht="21.75" customHeight="1">
      <c r="A286" s="5" t="str">
        <f>IF(E286="","",SUBTOTAL(103,$E$6:E286))</f>
        <v/>
      </c>
      <c r="B286" s="6"/>
      <c r="C286" s="6"/>
      <c r="D286" s="6"/>
      <c r="E286" s="2"/>
      <c r="F286" s="2"/>
      <c r="G286" s="2"/>
      <c r="H286" s="2"/>
      <c r="I286" s="2"/>
      <c r="J286" s="1" t="str">
        <f t="shared" si="8"/>
        <v>NO</v>
      </c>
      <c r="K286" s="1" t="str">
        <f t="shared" si="9"/>
        <v xml:space="preserve"> </v>
      </c>
    </row>
    <row r="287" spans="1:11" ht="21.75" customHeight="1">
      <c r="A287" s="5" t="str">
        <f>IF(E287="","",SUBTOTAL(103,$E$6:E287))</f>
        <v/>
      </c>
      <c r="B287" s="6"/>
      <c r="C287" s="6"/>
      <c r="D287" s="6"/>
      <c r="E287" s="2"/>
      <c r="F287" s="2"/>
      <c r="G287" s="2"/>
      <c r="H287" s="2"/>
      <c r="I287" s="2"/>
      <c r="J287" s="1" t="str">
        <f t="shared" si="8"/>
        <v>NO</v>
      </c>
      <c r="K287" s="1" t="str">
        <f t="shared" si="9"/>
        <v xml:space="preserve"> </v>
      </c>
    </row>
    <row r="288" spans="1:11" ht="21.75" customHeight="1">
      <c r="A288" s="5" t="str">
        <f>IF(E288="","",SUBTOTAL(103,$E$6:E288))</f>
        <v/>
      </c>
      <c r="B288" s="6"/>
      <c r="C288" s="6"/>
      <c r="D288" s="6"/>
      <c r="E288" s="2"/>
      <c r="F288" s="2"/>
      <c r="G288" s="2"/>
      <c r="H288" s="2"/>
      <c r="I288" s="2"/>
      <c r="J288" s="1" t="str">
        <f t="shared" si="8"/>
        <v>NO</v>
      </c>
      <c r="K288" s="1" t="str">
        <f t="shared" si="9"/>
        <v xml:space="preserve"> </v>
      </c>
    </row>
    <row r="289" spans="1:11" ht="21.75" customHeight="1">
      <c r="A289" s="5" t="str">
        <f>IF(E289="","",SUBTOTAL(103,$E$6:E289))</f>
        <v/>
      </c>
      <c r="B289" s="6"/>
      <c r="C289" s="6"/>
      <c r="D289" s="6"/>
      <c r="E289" s="2"/>
      <c r="F289" s="2"/>
      <c r="G289" s="2"/>
      <c r="H289" s="2"/>
      <c r="I289" s="2"/>
      <c r="J289" s="1" t="str">
        <f t="shared" si="8"/>
        <v>NO</v>
      </c>
      <c r="K289" s="1" t="str">
        <f t="shared" si="9"/>
        <v xml:space="preserve"> </v>
      </c>
    </row>
    <row r="290" spans="1:11" ht="21.75" customHeight="1">
      <c r="A290" s="5" t="str">
        <f>IF(E290="","",SUBTOTAL(103,$E$6:E290))</f>
        <v/>
      </c>
      <c r="B290" s="6"/>
      <c r="C290" s="6"/>
      <c r="D290" s="6"/>
      <c r="E290" s="2"/>
      <c r="F290" s="2"/>
      <c r="G290" s="2"/>
      <c r="H290" s="2"/>
      <c r="I290" s="2"/>
      <c r="J290" s="1" t="str">
        <f t="shared" si="8"/>
        <v>NO</v>
      </c>
      <c r="K290" s="1" t="str">
        <f t="shared" si="9"/>
        <v xml:space="preserve"> </v>
      </c>
    </row>
    <row r="291" spans="1:11" ht="21.75" customHeight="1">
      <c r="A291" s="5" t="str">
        <f>IF(E291="","",SUBTOTAL(103,$E$6:E291))</f>
        <v/>
      </c>
      <c r="B291" s="6"/>
      <c r="C291" s="6"/>
      <c r="D291" s="6"/>
      <c r="E291" s="2"/>
      <c r="F291" s="2"/>
      <c r="G291" s="2"/>
      <c r="H291" s="2"/>
      <c r="I291" s="2"/>
      <c r="J291" s="1" t="str">
        <f t="shared" si="8"/>
        <v>NO</v>
      </c>
      <c r="K291" s="1" t="str">
        <f t="shared" si="9"/>
        <v xml:space="preserve"> </v>
      </c>
    </row>
    <row r="292" spans="1:11" ht="21.75" customHeight="1">
      <c r="A292" s="5" t="str">
        <f>IF(E292="","",SUBTOTAL(103,$E$6:E292))</f>
        <v/>
      </c>
      <c r="B292" s="6"/>
      <c r="C292" s="6"/>
      <c r="D292" s="6"/>
      <c r="E292" s="2"/>
      <c r="F292" s="2"/>
      <c r="G292" s="2"/>
      <c r="H292" s="2"/>
      <c r="I292" s="2"/>
      <c r="J292" s="1" t="str">
        <f t="shared" si="8"/>
        <v>NO</v>
      </c>
      <c r="K292" s="1" t="str">
        <f t="shared" si="9"/>
        <v xml:space="preserve"> </v>
      </c>
    </row>
    <row r="293" spans="1:11" ht="21.75" customHeight="1">
      <c r="A293" s="5" t="str">
        <f>IF(E293="","",SUBTOTAL(103,$E$6:E293))</f>
        <v/>
      </c>
      <c r="B293" s="6"/>
      <c r="C293" s="6"/>
      <c r="D293" s="6"/>
      <c r="E293" s="2"/>
      <c r="F293" s="2"/>
      <c r="G293" s="2"/>
      <c r="H293" s="2"/>
      <c r="I293" s="2"/>
      <c r="J293" s="1" t="str">
        <f t="shared" si="8"/>
        <v>NO</v>
      </c>
      <c r="K293" s="1" t="str">
        <f t="shared" si="9"/>
        <v xml:space="preserve"> </v>
      </c>
    </row>
    <row r="294" spans="1:11" ht="21.75" customHeight="1">
      <c r="A294" s="5" t="str">
        <f>IF(E294="","",SUBTOTAL(103,$E$6:E294))</f>
        <v/>
      </c>
      <c r="B294" s="6"/>
      <c r="C294" s="6"/>
      <c r="D294" s="6"/>
      <c r="E294" s="2"/>
      <c r="F294" s="2"/>
      <c r="G294" s="2"/>
      <c r="H294" s="2"/>
      <c r="I294" s="2"/>
      <c r="J294" s="1" t="str">
        <f t="shared" si="8"/>
        <v>NO</v>
      </c>
      <c r="K294" s="1" t="str">
        <f t="shared" si="9"/>
        <v xml:space="preserve"> </v>
      </c>
    </row>
    <row r="295" spans="1:11" ht="21.75" customHeight="1">
      <c r="A295" s="5" t="str">
        <f>IF(E295="","",SUBTOTAL(103,$E$6:E295))</f>
        <v/>
      </c>
      <c r="B295" s="6"/>
      <c r="C295" s="6"/>
      <c r="D295" s="6"/>
      <c r="E295" s="2"/>
      <c r="F295" s="2"/>
      <c r="G295" s="2"/>
      <c r="H295" s="2"/>
      <c r="I295" s="2"/>
      <c r="J295" s="1" t="str">
        <f t="shared" si="8"/>
        <v>NO</v>
      </c>
      <c r="K295" s="1" t="str">
        <f t="shared" si="9"/>
        <v xml:space="preserve"> </v>
      </c>
    </row>
    <row r="296" spans="1:11" ht="21.75" customHeight="1">
      <c r="A296" s="5" t="str">
        <f>IF(E296="","",SUBTOTAL(103,$E$6:E296))</f>
        <v/>
      </c>
      <c r="B296" s="6"/>
      <c r="C296" s="6"/>
      <c r="D296" s="6"/>
      <c r="E296" s="2"/>
      <c r="F296" s="2"/>
      <c r="G296" s="2"/>
      <c r="H296" s="2"/>
      <c r="I296" s="2"/>
      <c r="J296" s="1" t="str">
        <f t="shared" si="8"/>
        <v>NO</v>
      </c>
      <c r="K296" s="1" t="str">
        <f t="shared" si="9"/>
        <v xml:space="preserve"> </v>
      </c>
    </row>
    <row r="297" spans="1:11" ht="21.75" customHeight="1">
      <c r="A297" s="5" t="str">
        <f>IF(E297="","",SUBTOTAL(103,$E$6:E297))</f>
        <v/>
      </c>
      <c r="B297" s="6"/>
      <c r="C297" s="6"/>
      <c r="D297" s="6"/>
      <c r="E297" s="2"/>
      <c r="F297" s="2"/>
      <c r="G297" s="2"/>
      <c r="H297" s="2"/>
      <c r="I297" s="2"/>
      <c r="J297" s="1" t="str">
        <f t="shared" si="8"/>
        <v>NO</v>
      </c>
      <c r="K297" s="1" t="str">
        <f t="shared" si="9"/>
        <v xml:space="preserve"> </v>
      </c>
    </row>
    <row r="298" spans="1:11" ht="21.75" customHeight="1">
      <c r="A298" s="5" t="str">
        <f>IF(E298="","",SUBTOTAL(103,$E$6:E298))</f>
        <v/>
      </c>
      <c r="B298" s="6"/>
      <c r="C298" s="6"/>
      <c r="D298" s="6"/>
      <c r="E298" s="2"/>
      <c r="F298" s="2"/>
      <c r="G298" s="2"/>
      <c r="H298" s="2"/>
      <c r="I298" s="2"/>
      <c r="J298" s="1" t="str">
        <f t="shared" si="8"/>
        <v>NO</v>
      </c>
      <c r="K298" s="1" t="str">
        <f t="shared" si="9"/>
        <v xml:space="preserve"> </v>
      </c>
    </row>
    <row r="299" spans="1:11" ht="21.75" customHeight="1">
      <c r="A299" s="5" t="str">
        <f>IF(E299="","",SUBTOTAL(103,$E$6:E299))</f>
        <v/>
      </c>
      <c r="B299" s="6"/>
      <c r="C299" s="6"/>
      <c r="D299" s="6"/>
      <c r="E299" s="2"/>
      <c r="F299" s="2"/>
      <c r="G299" s="2"/>
      <c r="H299" s="2"/>
      <c r="I299" s="2"/>
      <c r="J299" s="1" t="str">
        <f t="shared" si="8"/>
        <v>NO</v>
      </c>
      <c r="K299" s="1" t="str">
        <f t="shared" si="9"/>
        <v xml:space="preserve"> </v>
      </c>
    </row>
    <row r="300" spans="1:11" ht="21.75" customHeight="1">
      <c r="A300" s="5" t="str">
        <f>IF(E300="","",SUBTOTAL(103,$E$6:E300))</f>
        <v/>
      </c>
      <c r="B300" s="6"/>
      <c r="C300" s="6"/>
      <c r="D300" s="6"/>
      <c r="E300" s="2"/>
      <c r="F300" s="2"/>
      <c r="G300" s="2"/>
      <c r="H300" s="2"/>
      <c r="I300" s="2"/>
      <c r="J300" s="1" t="str">
        <f t="shared" si="8"/>
        <v>NO</v>
      </c>
      <c r="K300" s="1" t="str">
        <f t="shared" si="9"/>
        <v xml:space="preserve"> </v>
      </c>
    </row>
    <row r="301" spans="1:11" ht="21.75" customHeight="1">
      <c r="A301" s="5" t="str">
        <f>IF(E301="","",SUBTOTAL(103,$E$6:E301))</f>
        <v/>
      </c>
      <c r="B301" s="6"/>
      <c r="C301" s="6"/>
      <c r="D301" s="6"/>
      <c r="E301" s="2"/>
      <c r="F301" s="2"/>
      <c r="G301" s="2"/>
      <c r="H301" s="2"/>
      <c r="I301" s="2"/>
      <c r="J301" s="1" t="str">
        <f t="shared" si="8"/>
        <v>NO</v>
      </c>
      <c r="K301" s="1" t="str">
        <f t="shared" si="9"/>
        <v xml:space="preserve"> </v>
      </c>
    </row>
    <row r="302" spans="1:11" ht="21.75" customHeight="1">
      <c r="A302" s="5" t="str">
        <f>IF(E302="","",SUBTOTAL(103,$E$6:E302))</f>
        <v/>
      </c>
      <c r="B302" s="6"/>
      <c r="C302" s="6"/>
      <c r="D302" s="6"/>
      <c r="E302" s="2"/>
      <c r="F302" s="2"/>
      <c r="G302" s="2"/>
      <c r="H302" s="2"/>
      <c r="I302" s="2"/>
      <c r="J302" s="1" t="str">
        <f t="shared" si="8"/>
        <v>NO</v>
      </c>
      <c r="K302" s="1" t="str">
        <f t="shared" si="9"/>
        <v xml:space="preserve"> </v>
      </c>
    </row>
    <row r="303" spans="1:11" ht="21.75" customHeight="1">
      <c r="A303" s="5" t="str">
        <f>IF(E303="","",SUBTOTAL(103,$E$6:E303))</f>
        <v/>
      </c>
      <c r="B303" s="6"/>
      <c r="C303" s="6"/>
      <c r="D303" s="6"/>
      <c r="E303" s="2"/>
      <c r="F303" s="2"/>
      <c r="G303" s="2"/>
      <c r="H303" s="2"/>
      <c r="I303" s="2"/>
      <c r="J303" s="1" t="str">
        <f t="shared" si="8"/>
        <v>NO</v>
      </c>
      <c r="K303" s="1" t="str">
        <f t="shared" si="9"/>
        <v xml:space="preserve"> </v>
      </c>
    </row>
    <row r="304" spans="1:11" ht="21.75" customHeight="1">
      <c r="A304" s="5" t="str">
        <f>IF(E304="","",SUBTOTAL(103,$E$6:E304))</f>
        <v/>
      </c>
      <c r="B304" s="6"/>
      <c r="C304" s="6"/>
      <c r="D304" s="6"/>
      <c r="E304" s="2"/>
      <c r="F304" s="2"/>
      <c r="G304" s="2"/>
      <c r="H304" s="2"/>
      <c r="I304" s="2"/>
      <c r="J304" s="1" t="str">
        <f t="shared" si="8"/>
        <v>NO</v>
      </c>
      <c r="K304" s="1" t="str">
        <f t="shared" si="9"/>
        <v xml:space="preserve"> </v>
      </c>
    </row>
    <row r="305" spans="1:11" ht="21.75" customHeight="1">
      <c r="A305" s="5" t="str">
        <f>IF(E305="","",SUBTOTAL(103,$E$6:E305))</f>
        <v/>
      </c>
      <c r="B305" s="6"/>
      <c r="C305" s="6"/>
      <c r="D305" s="6"/>
      <c r="E305" s="2"/>
      <c r="F305" s="2"/>
      <c r="G305" s="2"/>
      <c r="H305" s="2"/>
      <c r="I305" s="2"/>
      <c r="J305" s="1" t="str">
        <f t="shared" si="8"/>
        <v>NO</v>
      </c>
      <c r="K305" s="1" t="str">
        <f t="shared" si="9"/>
        <v xml:space="preserve"> </v>
      </c>
    </row>
    <row r="306" spans="1:11" ht="21.75" customHeight="1">
      <c r="A306" s="5" t="str">
        <f>IF(E306="","",SUBTOTAL(103,$E$6:E306))</f>
        <v/>
      </c>
      <c r="B306" s="6"/>
      <c r="C306" s="6"/>
      <c r="D306" s="6"/>
      <c r="E306" s="2"/>
      <c r="F306" s="2"/>
      <c r="G306" s="2"/>
      <c r="H306" s="2"/>
      <c r="I306" s="2"/>
      <c r="J306" s="1" t="str">
        <f t="shared" si="8"/>
        <v>NO</v>
      </c>
      <c r="K306" s="1" t="str">
        <f t="shared" si="9"/>
        <v xml:space="preserve"> </v>
      </c>
    </row>
    <row r="307" spans="1:11" ht="21.75" customHeight="1">
      <c r="A307" s="5" t="str">
        <f>IF(E307="","",SUBTOTAL(103,$E$6:E307))</f>
        <v/>
      </c>
      <c r="B307" s="6"/>
      <c r="C307" s="6"/>
      <c r="D307" s="6"/>
      <c r="E307" s="2"/>
      <c r="F307" s="2"/>
      <c r="G307" s="2"/>
      <c r="H307" s="2"/>
      <c r="I307" s="2"/>
      <c r="J307" s="1" t="str">
        <f t="shared" si="8"/>
        <v>NO</v>
      </c>
      <c r="K307" s="1" t="str">
        <f t="shared" si="9"/>
        <v xml:space="preserve"> </v>
      </c>
    </row>
    <row r="308" spans="1:11" ht="21.75" customHeight="1">
      <c r="A308" s="5" t="str">
        <f>IF(E308="","",SUBTOTAL(103,$E$6:E308))</f>
        <v/>
      </c>
      <c r="B308" s="6"/>
      <c r="C308" s="6"/>
      <c r="D308" s="6"/>
      <c r="E308" s="2"/>
      <c r="F308" s="2"/>
      <c r="G308" s="2"/>
      <c r="H308" s="2"/>
      <c r="I308" s="2"/>
      <c r="J308" s="1" t="str">
        <f t="shared" si="8"/>
        <v>NO</v>
      </c>
      <c r="K308" s="1" t="str">
        <f t="shared" si="9"/>
        <v xml:space="preserve"> </v>
      </c>
    </row>
    <row r="309" spans="1:11" ht="21.75" customHeight="1">
      <c r="A309" s="5" t="str">
        <f>IF(E309="","",SUBTOTAL(103,$E$6:E309))</f>
        <v/>
      </c>
      <c r="B309" s="6"/>
      <c r="C309" s="6"/>
      <c r="D309" s="6"/>
      <c r="E309" s="2"/>
      <c r="F309" s="2"/>
      <c r="G309" s="2"/>
      <c r="H309" s="2"/>
      <c r="I309" s="2"/>
      <c r="J309" s="1" t="str">
        <f t="shared" si="8"/>
        <v>NO</v>
      </c>
      <c r="K309" s="1" t="str">
        <f t="shared" si="9"/>
        <v xml:space="preserve"> </v>
      </c>
    </row>
    <row r="310" spans="1:11" ht="21.75" customHeight="1">
      <c r="A310" s="5" t="str">
        <f>IF(E310="","",SUBTOTAL(103,$E$6:E310))</f>
        <v/>
      </c>
      <c r="B310" s="6"/>
      <c r="C310" s="6"/>
      <c r="D310" s="6"/>
      <c r="E310" s="2"/>
      <c r="F310" s="2"/>
      <c r="G310" s="2"/>
      <c r="H310" s="2"/>
      <c r="I310" s="2"/>
      <c r="J310" s="1" t="str">
        <f t="shared" si="8"/>
        <v>NO</v>
      </c>
      <c r="K310" s="1" t="str">
        <f t="shared" si="9"/>
        <v xml:space="preserve"> </v>
      </c>
    </row>
    <row r="311" spans="1:11" ht="21.75" customHeight="1">
      <c r="A311" s="5" t="str">
        <f>IF(E311="","",SUBTOTAL(103,$E$6:E311))</f>
        <v/>
      </c>
      <c r="B311" s="6"/>
      <c r="C311" s="6"/>
      <c r="D311" s="6"/>
      <c r="E311" s="2"/>
      <c r="F311" s="2"/>
      <c r="G311" s="2"/>
      <c r="H311" s="2"/>
      <c r="I311" s="2"/>
      <c r="J311" s="1" t="str">
        <f t="shared" si="8"/>
        <v>NO</v>
      </c>
      <c r="K311" s="1" t="str">
        <f t="shared" si="9"/>
        <v xml:space="preserve"> </v>
      </c>
    </row>
    <row r="312" spans="1:11" ht="21.75" customHeight="1">
      <c r="A312" s="5" t="str">
        <f>IF(E312="","",SUBTOTAL(103,$E$6:E312))</f>
        <v/>
      </c>
      <c r="B312" s="6"/>
      <c r="C312" s="6"/>
      <c r="D312" s="6"/>
      <c r="E312" s="2"/>
      <c r="F312" s="2"/>
      <c r="G312" s="2"/>
      <c r="H312" s="2"/>
      <c r="I312" s="2"/>
      <c r="J312" s="1" t="str">
        <f t="shared" si="8"/>
        <v>NO</v>
      </c>
      <c r="K312" s="1" t="str">
        <f t="shared" si="9"/>
        <v xml:space="preserve"> </v>
      </c>
    </row>
    <row r="313" spans="1:11" ht="21.75" customHeight="1">
      <c r="A313" s="5" t="str">
        <f>IF(E313="","",SUBTOTAL(103,$E$6:E313))</f>
        <v/>
      </c>
      <c r="B313" s="6"/>
      <c r="C313" s="6"/>
      <c r="D313" s="6"/>
      <c r="E313" s="2"/>
      <c r="F313" s="2"/>
      <c r="G313" s="2"/>
      <c r="H313" s="2"/>
      <c r="I313" s="2"/>
      <c r="J313" s="1" t="str">
        <f t="shared" si="8"/>
        <v>NO</v>
      </c>
      <c r="K313" s="1" t="str">
        <f t="shared" si="9"/>
        <v xml:space="preserve"> </v>
      </c>
    </row>
    <row r="314" spans="1:11" ht="21.75" customHeight="1">
      <c r="A314" s="5" t="str">
        <f>IF(E314="","",SUBTOTAL(103,$E$6:E314))</f>
        <v/>
      </c>
      <c r="B314" s="6"/>
      <c r="C314" s="6"/>
      <c r="D314" s="6"/>
      <c r="E314" s="2"/>
      <c r="F314" s="2"/>
      <c r="G314" s="2"/>
      <c r="H314" s="2"/>
      <c r="I314" s="2"/>
      <c r="J314" s="1" t="str">
        <f t="shared" si="8"/>
        <v>NO</v>
      </c>
      <c r="K314" s="1" t="str">
        <f t="shared" si="9"/>
        <v xml:space="preserve"> </v>
      </c>
    </row>
    <row r="315" spans="1:11" ht="21.75" customHeight="1">
      <c r="A315" s="5" t="str">
        <f>IF(E315="","",SUBTOTAL(103,$E$6:E315))</f>
        <v/>
      </c>
      <c r="B315" s="6"/>
      <c r="C315" s="6"/>
      <c r="D315" s="6"/>
      <c r="E315" s="2"/>
      <c r="F315" s="2"/>
      <c r="G315" s="2"/>
      <c r="H315" s="2"/>
      <c r="I315" s="2"/>
      <c r="J315" s="1" t="str">
        <f t="shared" si="8"/>
        <v>NO</v>
      </c>
      <c r="K315" s="1" t="str">
        <f t="shared" si="9"/>
        <v xml:space="preserve"> </v>
      </c>
    </row>
    <row r="316" spans="1:11" ht="21.75" customHeight="1">
      <c r="A316" s="5" t="str">
        <f>IF(E316="","",SUBTOTAL(103,$E$6:E316))</f>
        <v/>
      </c>
      <c r="B316" s="6"/>
      <c r="C316" s="6"/>
      <c r="D316" s="6"/>
      <c r="E316" s="2"/>
      <c r="F316" s="2"/>
      <c r="G316" s="2"/>
      <c r="H316" s="2"/>
      <c r="I316" s="2"/>
      <c r="J316" s="1" t="str">
        <f t="shared" si="8"/>
        <v>NO</v>
      </c>
      <c r="K316" s="1" t="str">
        <f t="shared" si="9"/>
        <v xml:space="preserve"> </v>
      </c>
    </row>
    <row r="317" spans="1:11" ht="21.75" customHeight="1">
      <c r="A317" s="5" t="str">
        <f>IF(E317="","",SUBTOTAL(103,$E$6:E317))</f>
        <v/>
      </c>
      <c r="B317" s="6"/>
      <c r="C317" s="6"/>
      <c r="D317" s="6"/>
      <c r="E317" s="2"/>
      <c r="F317" s="2"/>
      <c r="G317" s="2"/>
      <c r="H317" s="2"/>
      <c r="I317" s="2"/>
      <c r="J317" s="1" t="str">
        <f t="shared" si="8"/>
        <v>NO</v>
      </c>
      <c r="K317" s="1" t="str">
        <f t="shared" si="9"/>
        <v xml:space="preserve"> </v>
      </c>
    </row>
    <row r="318" spans="1:11" ht="21.75" customHeight="1">
      <c r="A318" s="5" t="str">
        <f>IF(E318="","",SUBTOTAL(103,$E$6:E318))</f>
        <v/>
      </c>
      <c r="B318" s="6"/>
      <c r="C318" s="6"/>
      <c r="D318" s="6"/>
      <c r="E318" s="2"/>
      <c r="F318" s="2"/>
      <c r="G318" s="2"/>
      <c r="H318" s="2"/>
      <c r="I318" s="2"/>
      <c r="J318" s="1" t="str">
        <f t="shared" si="8"/>
        <v>NO</v>
      </c>
      <c r="K318" s="1" t="str">
        <f t="shared" si="9"/>
        <v xml:space="preserve"> </v>
      </c>
    </row>
    <row r="319" spans="1:11" ht="21.75" customHeight="1">
      <c r="A319" s="5" t="str">
        <f>IF(E319="","",SUBTOTAL(103,$E$6:E319))</f>
        <v/>
      </c>
      <c r="B319" s="6"/>
      <c r="C319" s="6"/>
      <c r="D319" s="6"/>
      <c r="E319" s="2"/>
      <c r="F319" s="2"/>
      <c r="G319" s="2"/>
      <c r="H319" s="2"/>
      <c r="I319" s="2"/>
      <c r="J319" s="1" t="str">
        <f t="shared" si="8"/>
        <v>NO</v>
      </c>
      <c r="K319" s="1" t="str">
        <f t="shared" si="9"/>
        <v xml:space="preserve"> </v>
      </c>
    </row>
    <row r="320" spans="1:11" ht="21.75" customHeight="1">
      <c r="A320" s="5" t="str">
        <f>IF(E320="","",SUBTOTAL(103,$E$6:E320))</f>
        <v/>
      </c>
      <c r="B320" s="6"/>
      <c r="C320" s="6"/>
      <c r="D320" s="6"/>
      <c r="E320" s="2"/>
      <c r="F320" s="2"/>
      <c r="G320" s="2"/>
      <c r="H320" s="2"/>
      <c r="I320" s="2"/>
      <c r="J320" s="1" t="str">
        <f t="shared" si="8"/>
        <v>NO</v>
      </c>
      <c r="K320" s="1" t="str">
        <f t="shared" si="9"/>
        <v xml:space="preserve"> </v>
      </c>
    </row>
    <row r="321" spans="1:11" ht="21.75" customHeight="1">
      <c r="A321" s="5" t="str">
        <f>IF(E321="","",SUBTOTAL(103,$E$6:E321))</f>
        <v/>
      </c>
      <c r="B321" s="6"/>
      <c r="C321" s="6"/>
      <c r="D321" s="6"/>
      <c r="E321" s="2"/>
      <c r="F321" s="2"/>
      <c r="G321" s="2"/>
      <c r="H321" s="2"/>
      <c r="I321" s="2"/>
      <c r="J321" s="1" t="str">
        <f t="shared" si="8"/>
        <v>NO</v>
      </c>
      <c r="K321" s="1" t="str">
        <f t="shared" si="9"/>
        <v xml:space="preserve"> </v>
      </c>
    </row>
    <row r="322" spans="1:11" ht="21.75" customHeight="1">
      <c r="A322" s="5" t="str">
        <f>IF(E322="","",SUBTOTAL(103,$E$6:E322))</f>
        <v/>
      </c>
      <c r="B322" s="6"/>
      <c r="C322" s="6"/>
      <c r="D322" s="6"/>
      <c r="E322" s="2"/>
      <c r="F322" s="2"/>
      <c r="G322" s="2"/>
      <c r="H322" s="2"/>
      <c r="I322" s="2"/>
      <c r="J322" s="1" t="str">
        <f t="shared" si="8"/>
        <v>NO</v>
      </c>
      <c r="K322" s="1" t="str">
        <f t="shared" si="9"/>
        <v xml:space="preserve"> </v>
      </c>
    </row>
    <row r="323" spans="1:11" ht="21.75" customHeight="1">
      <c r="A323" s="5" t="str">
        <f>IF(E323="","",SUBTOTAL(103,$E$6:E323))</f>
        <v/>
      </c>
      <c r="B323" s="6"/>
      <c r="C323" s="6"/>
      <c r="D323" s="6"/>
      <c r="E323" s="2"/>
      <c r="F323" s="2"/>
      <c r="G323" s="2"/>
      <c r="H323" s="2"/>
      <c r="I323" s="2"/>
      <c r="J323" s="1" t="str">
        <f t="shared" si="8"/>
        <v>NO</v>
      </c>
      <c r="K323" s="1" t="str">
        <f t="shared" si="9"/>
        <v xml:space="preserve"> </v>
      </c>
    </row>
    <row r="324" spans="1:11" ht="21.75" customHeight="1">
      <c r="A324" s="5" t="str">
        <f>IF(E324="","",SUBTOTAL(103,$E$6:E324))</f>
        <v/>
      </c>
      <c r="B324" s="6"/>
      <c r="C324" s="6"/>
      <c r="D324" s="6"/>
      <c r="E324" s="2"/>
      <c r="F324" s="2"/>
      <c r="G324" s="2"/>
      <c r="H324" s="2"/>
      <c r="I324" s="2"/>
      <c r="J324" s="1" t="str">
        <f t="shared" si="8"/>
        <v>NO</v>
      </c>
      <c r="K324" s="1" t="str">
        <f t="shared" si="9"/>
        <v xml:space="preserve"> </v>
      </c>
    </row>
    <row r="325" spans="1:11" ht="21.75" customHeight="1">
      <c r="A325" s="5" t="str">
        <f>IF(E325="","",SUBTOTAL(103,$E$6:E325))</f>
        <v/>
      </c>
      <c r="B325" s="6"/>
      <c r="C325" s="6"/>
      <c r="D325" s="6"/>
      <c r="E325" s="2"/>
      <c r="F325" s="2"/>
      <c r="G325" s="2"/>
      <c r="H325" s="2"/>
      <c r="I325" s="2"/>
      <c r="J325" s="1" t="str">
        <f t="shared" si="8"/>
        <v>NO</v>
      </c>
      <c r="K325" s="1" t="str">
        <f t="shared" si="9"/>
        <v xml:space="preserve"> </v>
      </c>
    </row>
    <row r="326" spans="1:11" ht="21.75" customHeight="1">
      <c r="A326" s="5" t="str">
        <f>IF(E326="","",SUBTOTAL(103,$E$6:E326))</f>
        <v/>
      </c>
      <c r="B326" s="6"/>
      <c r="C326" s="6"/>
      <c r="D326" s="6"/>
      <c r="E326" s="2"/>
      <c r="F326" s="2"/>
      <c r="G326" s="2"/>
      <c r="H326" s="2"/>
      <c r="I326" s="2"/>
      <c r="J326" s="1" t="str">
        <f t="shared" ref="J326:J384" si="10">IF(ISERROR(SEARCH("热处理", E326))=FALSE, "XLN", IF(ISERROR(SEARCH("114", E326))=FALSE, "XLN", IF(ISERROR(SEARCH("OM", E326))=FALSE, "NO", IF(ISERROR(SEARCH("试棒毛坯", E326))=FALSE, "XLN", IF(ISERROR(SEARCH("M35", F326))=FALSE, "NO", IF(OR(LEFT(F326, 2)="DN", LEFT(F326, 3)="NPS", ISERROR(SEARCH("LADISH", E326))=FALSE), "XLN", "NO"))))))</f>
        <v>NO</v>
      </c>
      <c r="K326" s="1" t="str">
        <f t="shared" ref="K326:K384" si="11">IF(ISERROR(FIND("304",F326))=FALSE,304,IF(ISERROR(FIND("316",F326))=FALSE,316,IF(ISERROR(FIND("CF8M",F326))=FALSE,316,IF(ISERROR(SEARCH("wcb",F326))=FALSE,"WCB",IF(ISERROR(SEARCH("cd3mn",F326))=FALSE,"CD3MN",IF(ISERROR(SEARCH("CN7M",F326))=FALSE,"CN7M",IF(ISERROR(SEARCH("M35",F326))=FALSE,"M35",IF(ISERROR(SEARCH("CF3M",F326))=FALSE,"CF3M",IF(ISERROR(SEARCH("CD3MWCuN",F326))=FALSE, "CD3MWCuN",  IF(ISERROR(SEARCH("CW12MW",F326))=FALSE, "CW12MW", IF(ISERROR(SEARCH("CF8",F326))=FALSE, 304," ")))))))))))</f>
        <v xml:space="preserve"> </v>
      </c>
    </row>
    <row r="327" spans="1:11" ht="21.75" customHeight="1">
      <c r="A327" s="5" t="str">
        <f>IF(E327="","",SUBTOTAL(103,$E$6:E327))</f>
        <v/>
      </c>
      <c r="B327" s="6"/>
      <c r="C327" s="6"/>
      <c r="D327" s="6"/>
      <c r="E327" s="2"/>
      <c r="F327" s="2"/>
      <c r="G327" s="2"/>
      <c r="H327" s="2"/>
      <c r="I327" s="2"/>
      <c r="J327" s="1" t="str">
        <f t="shared" si="10"/>
        <v>NO</v>
      </c>
      <c r="K327" s="1" t="str">
        <f t="shared" si="11"/>
        <v xml:space="preserve"> </v>
      </c>
    </row>
    <row r="328" spans="1:11" ht="21.75" customHeight="1">
      <c r="A328" s="5" t="str">
        <f>IF(E328="","",SUBTOTAL(103,$E$6:E328))</f>
        <v/>
      </c>
      <c r="B328" s="6"/>
      <c r="C328" s="6"/>
      <c r="D328" s="6"/>
      <c r="E328" s="2"/>
      <c r="F328" s="2"/>
      <c r="G328" s="2"/>
      <c r="H328" s="2"/>
      <c r="I328" s="2"/>
      <c r="J328" s="1" t="str">
        <f t="shared" si="10"/>
        <v>NO</v>
      </c>
      <c r="K328" s="1" t="str">
        <f t="shared" si="11"/>
        <v xml:space="preserve"> </v>
      </c>
    </row>
    <row r="329" spans="1:11" ht="21.75" customHeight="1">
      <c r="A329" s="5" t="str">
        <f>IF(E329="","",SUBTOTAL(103,$E$6:E329))</f>
        <v/>
      </c>
      <c r="B329" s="6"/>
      <c r="C329" s="6"/>
      <c r="D329" s="6"/>
      <c r="E329" s="2"/>
      <c r="F329" s="2"/>
      <c r="G329" s="2"/>
      <c r="H329" s="2"/>
      <c r="I329" s="2"/>
      <c r="J329" s="1" t="str">
        <f t="shared" si="10"/>
        <v>NO</v>
      </c>
      <c r="K329" s="1" t="str">
        <f t="shared" si="11"/>
        <v xml:space="preserve"> </v>
      </c>
    </row>
    <row r="330" spans="1:11" ht="21.75" customHeight="1">
      <c r="A330" s="5" t="str">
        <f>IF(E330="","",SUBTOTAL(103,$E$6:E330))</f>
        <v/>
      </c>
      <c r="B330" s="6"/>
      <c r="C330" s="6"/>
      <c r="D330" s="6"/>
      <c r="E330" s="2"/>
      <c r="F330" s="2"/>
      <c r="G330" s="2"/>
      <c r="H330" s="2"/>
      <c r="I330" s="2"/>
      <c r="J330" s="1" t="str">
        <f t="shared" si="10"/>
        <v>NO</v>
      </c>
      <c r="K330" s="1" t="str">
        <f t="shared" si="11"/>
        <v xml:space="preserve"> </v>
      </c>
    </row>
    <row r="331" spans="1:11" ht="21.75" customHeight="1">
      <c r="A331" s="5" t="str">
        <f>IF(E331="","",SUBTOTAL(103,$E$6:E331))</f>
        <v/>
      </c>
      <c r="B331" s="6"/>
      <c r="C331" s="6"/>
      <c r="D331" s="6"/>
      <c r="E331" s="2"/>
      <c r="F331" s="2"/>
      <c r="G331" s="2"/>
      <c r="H331" s="2"/>
      <c r="I331" s="2"/>
      <c r="J331" s="1" t="str">
        <f t="shared" si="10"/>
        <v>NO</v>
      </c>
      <c r="K331" s="1" t="str">
        <f t="shared" si="11"/>
        <v xml:space="preserve"> </v>
      </c>
    </row>
    <row r="332" spans="1:11" ht="21.75" customHeight="1">
      <c r="A332" s="5" t="str">
        <f>IF(E332="","",SUBTOTAL(103,$E$6:E332))</f>
        <v/>
      </c>
      <c r="B332" s="6"/>
      <c r="C332" s="6"/>
      <c r="D332" s="6"/>
      <c r="E332" s="2"/>
      <c r="F332" s="2"/>
      <c r="G332" s="2"/>
      <c r="H332" s="2"/>
      <c r="I332" s="2"/>
      <c r="J332" s="1" t="str">
        <f t="shared" si="10"/>
        <v>NO</v>
      </c>
      <c r="K332" s="1" t="str">
        <f t="shared" si="11"/>
        <v xml:space="preserve"> </v>
      </c>
    </row>
    <row r="333" spans="1:11" ht="21.75" customHeight="1">
      <c r="A333" s="5" t="str">
        <f>IF(E333="","",SUBTOTAL(103,$E$6:E333))</f>
        <v/>
      </c>
      <c r="B333" s="6"/>
      <c r="C333" s="6"/>
      <c r="D333" s="6"/>
      <c r="E333" s="2"/>
      <c r="F333" s="2"/>
      <c r="G333" s="2"/>
      <c r="H333" s="2"/>
      <c r="I333" s="2"/>
      <c r="J333" s="1" t="str">
        <f t="shared" si="10"/>
        <v>NO</v>
      </c>
      <c r="K333" s="1" t="str">
        <f t="shared" si="11"/>
        <v xml:space="preserve"> </v>
      </c>
    </row>
    <row r="334" spans="1:11" ht="21.75" customHeight="1">
      <c r="A334" s="5" t="str">
        <f>IF(E334="","",SUBTOTAL(103,$E$6:E334))</f>
        <v/>
      </c>
      <c r="B334" s="6"/>
      <c r="C334" s="6"/>
      <c r="D334" s="6"/>
      <c r="E334" s="2"/>
      <c r="F334" s="2"/>
      <c r="G334" s="2"/>
      <c r="H334" s="2"/>
      <c r="I334" s="2"/>
      <c r="J334" s="1" t="str">
        <f t="shared" si="10"/>
        <v>NO</v>
      </c>
      <c r="K334" s="1" t="str">
        <f t="shared" si="11"/>
        <v xml:space="preserve"> </v>
      </c>
    </row>
    <row r="335" spans="1:11" ht="21.75" customHeight="1">
      <c r="A335" s="5" t="str">
        <f>IF(E335="","",SUBTOTAL(103,$E$6:E335))</f>
        <v/>
      </c>
      <c r="B335" s="6"/>
      <c r="C335" s="6"/>
      <c r="D335" s="6"/>
      <c r="E335" s="2"/>
      <c r="F335" s="2"/>
      <c r="G335" s="2"/>
      <c r="H335" s="2"/>
      <c r="I335" s="2"/>
      <c r="J335" s="1" t="str">
        <f t="shared" si="10"/>
        <v>NO</v>
      </c>
      <c r="K335" s="1" t="str">
        <f t="shared" si="11"/>
        <v xml:space="preserve"> </v>
      </c>
    </row>
    <row r="336" spans="1:11" ht="21.75" customHeight="1">
      <c r="A336" s="5" t="str">
        <f>IF(E336="","",SUBTOTAL(103,$E$6:E336))</f>
        <v/>
      </c>
      <c r="B336" s="6"/>
      <c r="C336" s="6"/>
      <c r="D336" s="6"/>
      <c r="E336" s="2"/>
      <c r="F336" s="2"/>
      <c r="G336" s="2"/>
      <c r="H336" s="2"/>
      <c r="I336" s="2"/>
      <c r="J336" s="1" t="str">
        <f t="shared" si="10"/>
        <v>NO</v>
      </c>
      <c r="K336" s="1" t="str">
        <f t="shared" si="11"/>
        <v xml:space="preserve"> </v>
      </c>
    </row>
    <row r="337" spans="1:11" ht="21.75" customHeight="1">
      <c r="A337" s="5" t="str">
        <f>IF(E337="","",SUBTOTAL(103,$E$6:E337))</f>
        <v/>
      </c>
      <c r="B337" s="6"/>
      <c r="C337" s="6"/>
      <c r="D337" s="6"/>
      <c r="E337" s="2"/>
      <c r="F337" s="2"/>
      <c r="G337" s="2"/>
      <c r="H337" s="2"/>
      <c r="I337" s="2"/>
      <c r="J337" s="1" t="str">
        <f t="shared" si="10"/>
        <v>NO</v>
      </c>
      <c r="K337" s="1" t="str">
        <f t="shared" si="11"/>
        <v xml:space="preserve"> </v>
      </c>
    </row>
    <row r="338" spans="1:11" ht="21.75" customHeight="1">
      <c r="A338" s="5" t="str">
        <f>IF(E338="","",SUBTOTAL(103,$E$6:E338))</f>
        <v/>
      </c>
      <c r="B338" s="6"/>
      <c r="C338" s="6"/>
      <c r="D338" s="6"/>
      <c r="E338" s="2"/>
      <c r="F338" s="2"/>
      <c r="G338" s="2"/>
      <c r="H338" s="2"/>
      <c r="I338" s="2"/>
      <c r="J338" s="1" t="str">
        <f t="shared" si="10"/>
        <v>NO</v>
      </c>
      <c r="K338" s="1" t="str">
        <f t="shared" si="11"/>
        <v xml:space="preserve"> </v>
      </c>
    </row>
    <row r="339" spans="1:11" ht="21.75" customHeight="1">
      <c r="A339" s="5" t="str">
        <f>IF(E339="","",SUBTOTAL(103,$E$6:E339))</f>
        <v/>
      </c>
      <c r="B339" s="6"/>
      <c r="C339" s="6"/>
      <c r="D339" s="6"/>
      <c r="E339" s="2"/>
      <c r="F339" s="2"/>
      <c r="G339" s="2"/>
      <c r="H339" s="2"/>
      <c r="I339" s="2"/>
      <c r="J339" s="1" t="str">
        <f t="shared" si="10"/>
        <v>NO</v>
      </c>
      <c r="K339" s="1" t="str">
        <f t="shared" si="11"/>
        <v xml:space="preserve"> </v>
      </c>
    </row>
    <row r="340" spans="1:11" ht="21.75" customHeight="1">
      <c r="A340" s="5" t="str">
        <f>IF(E340="","",SUBTOTAL(103,$E$6:E340))</f>
        <v/>
      </c>
      <c r="B340" s="6"/>
      <c r="C340" s="6"/>
      <c r="D340" s="6"/>
      <c r="E340" s="2"/>
      <c r="F340" s="2"/>
      <c r="G340" s="2"/>
      <c r="H340" s="2"/>
      <c r="I340" s="2"/>
      <c r="J340" s="1" t="str">
        <f t="shared" si="10"/>
        <v>NO</v>
      </c>
      <c r="K340" s="1" t="str">
        <f t="shared" si="11"/>
        <v xml:space="preserve"> </v>
      </c>
    </row>
    <row r="341" spans="1:11" ht="21.75" customHeight="1">
      <c r="A341" s="5" t="str">
        <f>IF(E341="","",SUBTOTAL(103,$E$6:E341))</f>
        <v/>
      </c>
      <c r="B341" s="6"/>
      <c r="C341" s="6"/>
      <c r="D341" s="6"/>
      <c r="E341" s="2"/>
      <c r="F341" s="2"/>
      <c r="G341" s="2"/>
      <c r="H341" s="2"/>
      <c r="I341" s="2"/>
      <c r="J341" s="1" t="str">
        <f t="shared" si="10"/>
        <v>NO</v>
      </c>
      <c r="K341" s="1" t="str">
        <f t="shared" si="11"/>
        <v xml:space="preserve"> </v>
      </c>
    </row>
    <row r="342" spans="1:11" ht="21.75" customHeight="1">
      <c r="A342" s="5" t="str">
        <f>IF(E342="","",SUBTOTAL(103,$E$6:E342))</f>
        <v/>
      </c>
      <c r="B342" s="6"/>
      <c r="C342" s="6"/>
      <c r="D342" s="6"/>
      <c r="E342" s="2"/>
      <c r="F342" s="2"/>
      <c r="G342" s="2"/>
      <c r="H342" s="2"/>
      <c r="I342" s="2"/>
      <c r="J342" s="1" t="str">
        <f t="shared" si="10"/>
        <v>NO</v>
      </c>
      <c r="K342" s="1" t="str">
        <f t="shared" si="11"/>
        <v xml:space="preserve"> </v>
      </c>
    </row>
    <row r="343" spans="1:11" ht="21.75" customHeight="1">
      <c r="A343" s="5" t="str">
        <f>IF(E343="","",SUBTOTAL(103,$E$6:E343))</f>
        <v/>
      </c>
      <c r="B343" s="6"/>
      <c r="C343" s="6"/>
      <c r="D343" s="6"/>
      <c r="E343" s="2"/>
      <c r="F343" s="2"/>
      <c r="G343" s="2"/>
      <c r="H343" s="2"/>
      <c r="I343" s="2"/>
      <c r="J343" s="1" t="str">
        <f t="shared" si="10"/>
        <v>NO</v>
      </c>
      <c r="K343" s="1" t="str">
        <f t="shared" si="11"/>
        <v xml:space="preserve"> </v>
      </c>
    </row>
    <row r="344" spans="1:11" ht="21.75" customHeight="1">
      <c r="A344" s="5" t="str">
        <f>IF(E344="","",SUBTOTAL(103,$E$6:E344))</f>
        <v/>
      </c>
      <c r="B344" s="6"/>
      <c r="C344" s="6"/>
      <c r="D344" s="6"/>
      <c r="E344" s="2"/>
      <c r="F344" s="2"/>
      <c r="G344" s="2"/>
      <c r="H344" s="2"/>
      <c r="I344" s="2"/>
      <c r="J344" s="1" t="str">
        <f t="shared" si="10"/>
        <v>NO</v>
      </c>
      <c r="K344" s="1" t="str">
        <f t="shared" si="11"/>
        <v xml:space="preserve"> </v>
      </c>
    </row>
    <row r="345" spans="1:11" ht="21.75" customHeight="1">
      <c r="A345" s="5" t="str">
        <f>IF(E345="","",SUBTOTAL(103,$E$6:E345))</f>
        <v/>
      </c>
      <c r="B345" s="6"/>
      <c r="C345" s="6"/>
      <c r="D345" s="6"/>
      <c r="E345" s="2"/>
      <c r="F345" s="2"/>
      <c r="G345" s="2"/>
      <c r="H345" s="2"/>
      <c r="I345" s="2"/>
      <c r="J345" s="1" t="str">
        <f t="shared" si="10"/>
        <v>NO</v>
      </c>
      <c r="K345" s="1" t="str">
        <f t="shared" si="11"/>
        <v xml:space="preserve"> </v>
      </c>
    </row>
    <row r="346" spans="1:11" ht="21.75" customHeight="1">
      <c r="A346" s="5" t="str">
        <f>IF(E346="","",SUBTOTAL(103,$E$6:E346))</f>
        <v/>
      </c>
      <c r="B346" s="6"/>
      <c r="C346" s="6"/>
      <c r="D346" s="6"/>
      <c r="E346" s="2"/>
      <c r="F346" s="2"/>
      <c r="G346" s="2"/>
      <c r="H346" s="2"/>
      <c r="I346" s="2"/>
      <c r="J346" s="1" t="str">
        <f t="shared" si="10"/>
        <v>NO</v>
      </c>
      <c r="K346" s="1" t="str">
        <f t="shared" si="11"/>
        <v xml:space="preserve"> </v>
      </c>
    </row>
    <row r="347" spans="1:11" ht="21.75" customHeight="1">
      <c r="A347" s="5" t="str">
        <f>IF(E347="","",SUBTOTAL(103,$E$6:E347))</f>
        <v/>
      </c>
      <c r="B347" s="6"/>
      <c r="C347" s="6"/>
      <c r="D347" s="6"/>
      <c r="E347" s="2"/>
      <c r="F347" s="2"/>
      <c r="G347" s="2"/>
      <c r="H347" s="2"/>
      <c r="I347" s="2"/>
      <c r="J347" s="1" t="str">
        <f t="shared" si="10"/>
        <v>NO</v>
      </c>
      <c r="K347" s="1" t="str">
        <f t="shared" si="11"/>
        <v xml:space="preserve"> </v>
      </c>
    </row>
    <row r="348" spans="1:11" ht="21.75" customHeight="1">
      <c r="A348" s="5" t="str">
        <f>IF(E348="","",SUBTOTAL(103,$E$6:E348))</f>
        <v/>
      </c>
      <c r="B348" s="6"/>
      <c r="C348" s="6"/>
      <c r="D348" s="6"/>
      <c r="E348" s="2"/>
      <c r="F348" s="2"/>
      <c r="G348" s="2"/>
      <c r="H348" s="2"/>
      <c r="I348" s="2"/>
      <c r="J348" s="1" t="str">
        <f t="shared" si="10"/>
        <v>NO</v>
      </c>
      <c r="K348" s="1" t="str">
        <f t="shared" si="11"/>
        <v xml:space="preserve"> </v>
      </c>
    </row>
    <row r="349" spans="1:11" ht="21.75" customHeight="1">
      <c r="A349" s="5" t="str">
        <f>IF(E349="","",SUBTOTAL(103,$E$6:E349))</f>
        <v/>
      </c>
      <c r="B349" s="6"/>
      <c r="C349" s="6"/>
      <c r="D349" s="6"/>
      <c r="E349" s="2"/>
      <c r="F349" s="2"/>
      <c r="G349" s="2"/>
      <c r="H349" s="2"/>
      <c r="I349" s="2"/>
      <c r="J349" s="1" t="str">
        <f t="shared" si="10"/>
        <v>NO</v>
      </c>
      <c r="K349" s="1" t="str">
        <f t="shared" si="11"/>
        <v xml:space="preserve"> </v>
      </c>
    </row>
    <row r="350" spans="1:11" ht="21.75" customHeight="1">
      <c r="A350" s="5" t="str">
        <f>IF(E350="","",SUBTOTAL(103,$E$6:E350))</f>
        <v/>
      </c>
      <c r="B350" s="6"/>
      <c r="C350" s="6"/>
      <c r="D350" s="6"/>
      <c r="E350" s="2"/>
      <c r="F350" s="2"/>
      <c r="G350" s="2"/>
      <c r="H350" s="2"/>
      <c r="I350" s="2"/>
      <c r="J350" s="1" t="str">
        <f t="shared" si="10"/>
        <v>NO</v>
      </c>
      <c r="K350" s="1" t="str">
        <f t="shared" si="11"/>
        <v xml:space="preserve"> </v>
      </c>
    </row>
    <row r="351" spans="1:11" ht="21.75" customHeight="1">
      <c r="A351" s="5" t="str">
        <f>IF(E351="","",SUBTOTAL(103,$E$6:E351))</f>
        <v/>
      </c>
      <c r="B351" s="6"/>
      <c r="C351" s="6"/>
      <c r="D351" s="6"/>
      <c r="E351" s="2"/>
      <c r="F351" s="2"/>
      <c r="G351" s="2"/>
      <c r="H351" s="2"/>
      <c r="I351" s="2"/>
      <c r="J351" s="1" t="str">
        <f t="shared" si="10"/>
        <v>NO</v>
      </c>
      <c r="K351" s="1" t="str">
        <f t="shared" si="11"/>
        <v xml:space="preserve"> </v>
      </c>
    </row>
    <row r="352" spans="1:11" ht="21.75" customHeight="1">
      <c r="A352" s="5" t="str">
        <f>IF(E352="","",SUBTOTAL(103,$E$6:E352))</f>
        <v/>
      </c>
      <c r="B352" s="6"/>
      <c r="C352" s="6"/>
      <c r="D352" s="6"/>
      <c r="E352" s="2"/>
      <c r="F352" s="2"/>
      <c r="G352" s="2"/>
      <c r="H352" s="2"/>
      <c r="I352" s="2"/>
      <c r="J352" s="1" t="str">
        <f t="shared" si="10"/>
        <v>NO</v>
      </c>
      <c r="K352" s="1" t="str">
        <f t="shared" si="11"/>
        <v xml:space="preserve"> </v>
      </c>
    </row>
    <row r="353" spans="1:11" ht="21.75" customHeight="1">
      <c r="A353" s="5" t="str">
        <f>IF(E353="","",SUBTOTAL(103,$E$6:E353))</f>
        <v/>
      </c>
      <c r="B353" s="6"/>
      <c r="C353" s="6"/>
      <c r="D353" s="6"/>
      <c r="E353" s="2"/>
      <c r="F353" s="2"/>
      <c r="G353" s="2"/>
      <c r="H353" s="2"/>
      <c r="I353" s="2"/>
      <c r="J353" s="1" t="str">
        <f t="shared" si="10"/>
        <v>NO</v>
      </c>
      <c r="K353" s="1" t="str">
        <f t="shared" si="11"/>
        <v xml:space="preserve"> </v>
      </c>
    </row>
    <row r="354" spans="1:11" ht="21.75" customHeight="1">
      <c r="A354" s="5" t="str">
        <f>IF(E354="","",SUBTOTAL(103,$E$6:E354))</f>
        <v/>
      </c>
      <c r="B354" s="6"/>
      <c r="C354" s="6"/>
      <c r="D354" s="6"/>
      <c r="E354" s="2"/>
      <c r="F354" s="2"/>
      <c r="G354" s="2"/>
      <c r="H354" s="2"/>
      <c r="I354" s="2"/>
      <c r="J354" s="1" t="str">
        <f t="shared" si="10"/>
        <v>NO</v>
      </c>
      <c r="K354" s="1" t="str">
        <f t="shared" si="11"/>
        <v xml:space="preserve"> </v>
      </c>
    </row>
    <row r="355" spans="1:11" ht="21.75" customHeight="1">
      <c r="A355" s="5" t="str">
        <f>IF(E355="","",SUBTOTAL(103,$E$6:E355))</f>
        <v/>
      </c>
      <c r="B355" s="6"/>
      <c r="C355" s="6"/>
      <c r="D355" s="6"/>
      <c r="E355" s="2"/>
      <c r="F355" s="2"/>
      <c r="G355" s="2"/>
      <c r="H355" s="2"/>
      <c r="I355" s="2"/>
      <c r="J355" s="1" t="str">
        <f t="shared" si="10"/>
        <v>NO</v>
      </c>
      <c r="K355" s="1" t="str">
        <f t="shared" si="11"/>
        <v xml:space="preserve"> </v>
      </c>
    </row>
    <row r="356" spans="1:11" ht="21.75" customHeight="1">
      <c r="A356" s="5" t="str">
        <f>IF(E356="","",SUBTOTAL(103,$E$6:E356))</f>
        <v/>
      </c>
      <c r="B356" s="6"/>
      <c r="C356" s="6"/>
      <c r="D356" s="6"/>
      <c r="E356" s="2"/>
      <c r="F356" s="2"/>
      <c r="G356" s="2"/>
      <c r="H356" s="2"/>
      <c r="I356" s="2"/>
      <c r="J356" s="1" t="str">
        <f t="shared" si="10"/>
        <v>NO</v>
      </c>
      <c r="K356" s="1" t="str">
        <f t="shared" si="11"/>
        <v xml:space="preserve"> </v>
      </c>
    </row>
    <row r="357" spans="1:11" ht="21.75" customHeight="1">
      <c r="A357" s="5" t="str">
        <f>IF(E357="","",SUBTOTAL(103,$E$6:E357))</f>
        <v/>
      </c>
      <c r="B357" s="6"/>
      <c r="C357" s="6"/>
      <c r="D357" s="6"/>
      <c r="E357" s="2"/>
      <c r="F357" s="2"/>
      <c r="G357" s="2"/>
      <c r="H357" s="2"/>
      <c r="I357" s="2"/>
      <c r="J357" s="1" t="str">
        <f t="shared" si="10"/>
        <v>NO</v>
      </c>
      <c r="K357" s="1" t="str">
        <f t="shared" si="11"/>
        <v xml:space="preserve"> </v>
      </c>
    </row>
    <row r="358" spans="1:11" ht="21.75" customHeight="1">
      <c r="A358" s="5" t="str">
        <f>IF(E358="","",SUBTOTAL(103,$E$6:E358))</f>
        <v/>
      </c>
      <c r="B358" s="6"/>
      <c r="C358" s="6"/>
      <c r="D358" s="6"/>
      <c r="E358" s="2"/>
      <c r="F358" s="2"/>
      <c r="G358" s="2"/>
      <c r="H358" s="2"/>
      <c r="I358" s="2"/>
      <c r="J358" s="1" t="str">
        <f t="shared" si="10"/>
        <v>NO</v>
      </c>
      <c r="K358" s="1" t="str">
        <f t="shared" si="11"/>
        <v xml:space="preserve"> </v>
      </c>
    </row>
    <row r="359" spans="1:11" ht="21.75" customHeight="1">
      <c r="A359" s="5" t="str">
        <f>IF(E359="","",SUBTOTAL(103,$E$6:E359))</f>
        <v/>
      </c>
      <c r="B359" s="6"/>
      <c r="C359" s="6"/>
      <c r="D359" s="6"/>
      <c r="E359" s="2"/>
      <c r="F359" s="2"/>
      <c r="G359" s="2"/>
      <c r="H359" s="2"/>
      <c r="I359" s="2"/>
      <c r="J359" s="1" t="str">
        <f t="shared" si="10"/>
        <v>NO</v>
      </c>
      <c r="K359" s="1" t="str">
        <f t="shared" si="11"/>
        <v xml:space="preserve"> </v>
      </c>
    </row>
    <row r="360" spans="1:11" ht="21.75" customHeight="1">
      <c r="A360" s="5" t="str">
        <f>IF(E360="","",SUBTOTAL(103,$E$6:E360))</f>
        <v/>
      </c>
      <c r="B360" s="6"/>
      <c r="C360" s="6"/>
      <c r="D360" s="6"/>
      <c r="E360" s="2"/>
      <c r="F360" s="2"/>
      <c r="G360" s="2"/>
      <c r="H360" s="2"/>
      <c r="I360" s="2"/>
      <c r="J360" s="1" t="str">
        <f t="shared" si="10"/>
        <v>NO</v>
      </c>
      <c r="K360" s="1" t="str">
        <f t="shared" si="11"/>
        <v xml:space="preserve"> </v>
      </c>
    </row>
    <row r="361" spans="1:11" ht="21.75" customHeight="1">
      <c r="A361" s="5" t="str">
        <f>IF(E361="","",SUBTOTAL(103,$E$6:E361))</f>
        <v/>
      </c>
      <c r="B361" s="6"/>
      <c r="C361" s="6"/>
      <c r="D361" s="6"/>
      <c r="E361" s="2"/>
      <c r="F361" s="2"/>
      <c r="G361" s="2"/>
      <c r="H361" s="2"/>
      <c r="I361" s="2"/>
      <c r="J361" s="1" t="str">
        <f t="shared" si="10"/>
        <v>NO</v>
      </c>
      <c r="K361" s="1" t="str">
        <f t="shared" si="11"/>
        <v xml:space="preserve"> </v>
      </c>
    </row>
    <row r="362" spans="1:11" ht="21.75" customHeight="1">
      <c r="A362" s="5" t="str">
        <f>IF(E362="","",SUBTOTAL(103,$E$6:E362))</f>
        <v/>
      </c>
      <c r="B362" s="6"/>
      <c r="C362" s="6"/>
      <c r="D362" s="6"/>
      <c r="E362" s="2"/>
      <c r="F362" s="2"/>
      <c r="G362" s="2"/>
      <c r="H362" s="2"/>
      <c r="I362" s="2"/>
      <c r="J362" s="1" t="str">
        <f t="shared" si="10"/>
        <v>NO</v>
      </c>
      <c r="K362" s="1" t="str">
        <f t="shared" si="11"/>
        <v xml:space="preserve"> </v>
      </c>
    </row>
    <row r="363" spans="1:11" ht="21.75" customHeight="1">
      <c r="A363" s="5" t="str">
        <f>IF(E363="","",SUBTOTAL(103,$E$6:E363))</f>
        <v/>
      </c>
      <c r="B363" s="6"/>
      <c r="C363" s="6"/>
      <c r="D363" s="6"/>
      <c r="E363" s="2"/>
      <c r="F363" s="2"/>
      <c r="G363" s="2"/>
      <c r="H363" s="2"/>
      <c r="I363" s="2"/>
      <c r="J363" s="1" t="str">
        <f t="shared" si="10"/>
        <v>NO</v>
      </c>
      <c r="K363" s="1" t="str">
        <f t="shared" si="11"/>
        <v xml:space="preserve"> </v>
      </c>
    </row>
    <row r="364" spans="1:11" ht="21.75" customHeight="1">
      <c r="A364" s="5" t="str">
        <f>IF(E364="","",SUBTOTAL(103,$E$6:E364))</f>
        <v/>
      </c>
      <c r="B364" s="6"/>
      <c r="C364" s="6"/>
      <c r="D364" s="6"/>
      <c r="E364" s="2"/>
      <c r="F364" s="2"/>
      <c r="G364" s="2"/>
      <c r="H364" s="2"/>
      <c r="I364" s="2"/>
      <c r="J364" s="1" t="str">
        <f t="shared" si="10"/>
        <v>NO</v>
      </c>
      <c r="K364" s="1" t="str">
        <f t="shared" si="11"/>
        <v xml:space="preserve"> </v>
      </c>
    </row>
    <row r="365" spans="1:11" ht="21.75" customHeight="1">
      <c r="A365" s="5" t="str">
        <f>IF(E365="","",SUBTOTAL(103,$E$6:E365))</f>
        <v/>
      </c>
      <c r="B365" s="6"/>
      <c r="C365" s="6"/>
      <c r="D365" s="6"/>
      <c r="E365" s="2"/>
      <c r="F365" s="2"/>
      <c r="G365" s="2"/>
      <c r="H365" s="2"/>
      <c r="I365" s="2"/>
      <c r="J365" s="1" t="str">
        <f t="shared" si="10"/>
        <v>NO</v>
      </c>
      <c r="K365" s="1" t="str">
        <f t="shared" si="11"/>
        <v xml:space="preserve"> </v>
      </c>
    </row>
    <row r="366" spans="1:11" ht="21.75" customHeight="1">
      <c r="A366" s="5" t="str">
        <f>IF(E366="","",SUBTOTAL(103,$E$6:E366))</f>
        <v/>
      </c>
      <c r="B366" s="6"/>
      <c r="C366" s="6"/>
      <c r="D366" s="6"/>
      <c r="E366" s="2"/>
      <c r="F366" s="2"/>
      <c r="G366" s="2"/>
      <c r="H366" s="2"/>
      <c r="I366" s="2"/>
      <c r="J366" s="1" t="str">
        <f t="shared" si="10"/>
        <v>NO</v>
      </c>
      <c r="K366" s="1" t="str">
        <f t="shared" si="11"/>
        <v xml:space="preserve"> </v>
      </c>
    </row>
    <row r="367" spans="1:11" ht="21.75" customHeight="1">
      <c r="A367" s="5" t="str">
        <f>IF(E367="","",SUBTOTAL(103,$E$6:E367))</f>
        <v/>
      </c>
      <c r="B367" s="6"/>
      <c r="C367" s="6"/>
      <c r="D367" s="6"/>
      <c r="E367" s="2"/>
      <c r="F367" s="2"/>
      <c r="G367" s="2"/>
      <c r="H367" s="2"/>
      <c r="I367" s="2"/>
      <c r="J367" s="1" t="str">
        <f t="shared" si="10"/>
        <v>NO</v>
      </c>
      <c r="K367" s="1" t="str">
        <f t="shared" si="11"/>
        <v xml:space="preserve"> </v>
      </c>
    </row>
    <row r="368" spans="1:11" ht="21.75" customHeight="1">
      <c r="A368" s="5" t="str">
        <f>IF(E368="","",SUBTOTAL(103,$E$6:E368))</f>
        <v/>
      </c>
      <c r="B368" s="6"/>
      <c r="C368" s="6"/>
      <c r="D368" s="6"/>
      <c r="E368" s="2"/>
      <c r="F368" s="2"/>
      <c r="G368" s="2"/>
      <c r="H368" s="2"/>
      <c r="I368" s="2"/>
      <c r="J368" s="1" t="str">
        <f t="shared" si="10"/>
        <v>NO</v>
      </c>
      <c r="K368" s="1" t="str">
        <f t="shared" si="11"/>
        <v xml:space="preserve"> </v>
      </c>
    </row>
    <row r="369" spans="1:11" ht="21.75" customHeight="1">
      <c r="A369" s="5" t="str">
        <f>IF(E369="","",SUBTOTAL(103,$E$6:E369))</f>
        <v/>
      </c>
      <c r="B369" s="6"/>
      <c r="C369" s="6"/>
      <c r="D369" s="6"/>
      <c r="E369" s="2"/>
      <c r="F369" s="2"/>
      <c r="G369" s="2"/>
      <c r="H369" s="2"/>
      <c r="I369" s="2"/>
      <c r="J369" s="1" t="str">
        <f t="shared" si="10"/>
        <v>NO</v>
      </c>
      <c r="K369" s="1" t="str">
        <f t="shared" si="11"/>
        <v xml:space="preserve"> </v>
      </c>
    </row>
    <row r="370" spans="1:11" ht="21.75" customHeight="1">
      <c r="A370" s="5" t="str">
        <f>IF(E370="","",SUBTOTAL(103,$E$6:E370))</f>
        <v/>
      </c>
      <c r="B370" s="6"/>
      <c r="C370" s="6"/>
      <c r="D370" s="6"/>
      <c r="E370" s="2"/>
      <c r="F370" s="2"/>
      <c r="G370" s="2"/>
      <c r="H370" s="2"/>
      <c r="I370" s="2"/>
      <c r="J370" s="1" t="str">
        <f t="shared" si="10"/>
        <v>NO</v>
      </c>
      <c r="K370" s="1" t="str">
        <f t="shared" si="11"/>
        <v xml:space="preserve"> </v>
      </c>
    </row>
    <row r="371" spans="1:11" ht="21.75" customHeight="1">
      <c r="A371" s="5" t="str">
        <f>IF(E371="","",SUBTOTAL(103,$E$6:E371))</f>
        <v/>
      </c>
      <c r="B371" s="6"/>
      <c r="C371" s="6"/>
      <c r="D371" s="6"/>
      <c r="E371" s="2"/>
      <c r="F371" s="2"/>
      <c r="G371" s="2"/>
      <c r="H371" s="2"/>
      <c r="I371" s="2"/>
      <c r="J371" s="1" t="str">
        <f t="shared" si="10"/>
        <v>NO</v>
      </c>
      <c r="K371" s="1" t="str">
        <f t="shared" si="11"/>
        <v xml:space="preserve"> </v>
      </c>
    </row>
    <row r="372" spans="1:11" ht="21.75" customHeight="1">
      <c r="A372" s="5" t="str">
        <f>IF(E372="","",SUBTOTAL(103,$E$6:E372))</f>
        <v/>
      </c>
      <c r="B372" s="6"/>
      <c r="C372" s="6"/>
      <c r="D372" s="6"/>
      <c r="E372" s="2"/>
      <c r="F372" s="2"/>
      <c r="G372" s="2"/>
      <c r="H372" s="2"/>
      <c r="I372" s="2"/>
      <c r="J372" s="1" t="str">
        <f t="shared" si="10"/>
        <v>NO</v>
      </c>
      <c r="K372" s="1" t="str">
        <f t="shared" si="11"/>
        <v xml:space="preserve"> </v>
      </c>
    </row>
    <row r="373" spans="1:11" ht="21.75" customHeight="1">
      <c r="A373" s="5" t="str">
        <f>IF(E373="","",SUBTOTAL(103,$E$6:E373))</f>
        <v/>
      </c>
      <c r="B373" s="6"/>
      <c r="C373" s="6"/>
      <c r="D373" s="6"/>
      <c r="E373" s="2"/>
      <c r="F373" s="2"/>
      <c r="G373" s="2"/>
      <c r="H373" s="2"/>
      <c r="I373" s="2"/>
      <c r="J373" s="1" t="str">
        <f t="shared" si="10"/>
        <v>NO</v>
      </c>
      <c r="K373" s="1" t="str">
        <f t="shared" si="11"/>
        <v xml:space="preserve"> </v>
      </c>
    </row>
    <row r="374" spans="1:11" ht="21.75" customHeight="1">
      <c r="A374" s="5" t="str">
        <f>IF(E374="","",SUBTOTAL(103,$E$6:E374))</f>
        <v/>
      </c>
      <c r="B374" s="6"/>
      <c r="C374" s="6"/>
      <c r="D374" s="6"/>
      <c r="E374" s="2"/>
      <c r="F374" s="2"/>
      <c r="G374" s="2"/>
      <c r="H374" s="2"/>
      <c r="I374" s="2"/>
      <c r="J374" s="1" t="str">
        <f t="shared" si="10"/>
        <v>NO</v>
      </c>
      <c r="K374" s="1" t="str">
        <f t="shared" si="11"/>
        <v xml:space="preserve"> </v>
      </c>
    </row>
    <row r="375" spans="1:11" ht="21.75" customHeight="1">
      <c r="A375" s="5" t="str">
        <f>IF(E375="","",SUBTOTAL(103,$E$6:E375))</f>
        <v/>
      </c>
      <c r="B375" s="6"/>
      <c r="C375" s="6"/>
      <c r="D375" s="6"/>
      <c r="E375" s="2"/>
      <c r="F375" s="2"/>
      <c r="G375" s="2"/>
      <c r="H375" s="2"/>
      <c r="I375" s="2"/>
      <c r="J375" s="1" t="str">
        <f t="shared" si="10"/>
        <v>NO</v>
      </c>
      <c r="K375" s="1" t="str">
        <f t="shared" si="11"/>
        <v xml:space="preserve"> </v>
      </c>
    </row>
    <row r="376" spans="1:11" ht="21.75" customHeight="1">
      <c r="A376" s="5" t="str">
        <f>IF(E376="","",SUBTOTAL(103,$E$6:E376))</f>
        <v/>
      </c>
      <c r="B376" s="6"/>
      <c r="C376" s="6"/>
      <c r="D376" s="6"/>
      <c r="E376" s="2"/>
      <c r="F376" s="2"/>
      <c r="G376" s="2"/>
      <c r="H376" s="2"/>
      <c r="I376" s="2"/>
      <c r="J376" s="1" t="str">
        <f t="shared" si="10"/>
        <v>NO</v>
      </c>
      <c r="K376" s="1" t="str">
        <f t="shared" si="11"/>
        <v xml:space="preserve"> </v>
      </c>
    </row>
    <row r="377" spans="1:11" ht="21.75" customHeight="1">
      <c r="A377" s="5" t="str">
        <f>IF(E377="","",SUBTOTAL(103,$E$6:E377))</f>
        <v/>
      </c>
      <c r="B377" s="6"/>
      <c r="C377" s="6"/>
      <c r="D377" s="6"/>
      <c r="E377" s="2"/>
      <c r="F377" s="2"/>
      <c r="G377" s="2"/>
      <c r="H377" s="2"/>
      <c r="I377" s="2"/>
      <c r="J377" s="1" t="str">
        <f t="shared" si="10"/>
        <v>NO</v>
      </c>
      <c r="K377" s="1" t="str">
        <f t="shared" si="11"/>
        <v xml:space="preserve"> </v>
      </c>
    </row>
    <row r="378" spans="1:11" ht="21.75" customHeight="1">
      <c r="A378" s="5" t="str">
        <f>IF(E378="","",SUBTOTAL(103,$E$6:E378))</f>
        <v/>
      </c>
      <c r="B378" s="6"/>
      <c r="C378" s="6"/>
      <c r="D378" s="6"/>
      <c r="E378" s="2"/>
      <c r="F378" s="2"/>
      <c r="G378" s="2"/>
      <c r="H378" s="2"/>
      <c r="I378" s="2"/>
      <c r="J378" s="1" t="str">
        <f t="shared" si="10"/>
        <v>NO</v>
      </c>
      <c r="K378" s="1" t="str">
        <f t="shared" si="11"/>
        <v xml:space="preserve"> </v>
      </c>
    </row>
    <row r="379" spans="1:11" ht="21.75" customHeight="1">
      <c r="A379" s="5" t="str">
        <f>IF(E379="","",SUBTOTAL(103,$E$6:E379))</f>
        <v/>
      </c>
      <c r="B379" s="6"/>
      <c r="C379" s="6"/>
      <c r="D379" s="6"/>
      <c r="E379" s="2"/>
      <c r="F379" s="2"/>
      <c r="G379" s="2"/>
      <c r="H379" s="2"/>
      <c r="I379" s="2"/>
      <c r="J379" s="1" t="str">
        <f t="shared" si="10"/>
        <v>NO</v>
      </c>
      <c r="K379" s="1" t="str">
        <f t="shared" si="11"/>
        <v xml:space="preserve"> </v>
      </c>
    </row>
    <row r="380" spans="1:11" ht="21.75" customHeight="1">
      <c r="A380" s="5" t="str">
        <f>IF(E380="","",SUBTOTAL(103,$E$6:E380))</f>
        <v/>
      </c>
      <c r="B380" s="6"/>
      <c r="C380" s="6"/>
      <c r="D380" s="6"/>
      <c r="E380" s="2"/>
      <c r="F380" s="2"/>
      <c r="G380" s="2"/>
      <c r="H380" s="2"/>
      <c r="I380" s="2"/>
      <c r="J380" s="1" t="str">
        <f t="shared" si="10"/>
        <v>NO</v>
      </c>
      <c r="K380" s="1" t="str">
        <f t="shared" si="11"/>
        <v xml:space="preserve"> </v>
      </c>
    </row>
    <row r="381" spans="1:11" ht="21.75" customHeight="1">
      <c r="A381" s="5" t="str">
        <f>IF(E381="","",SUBTOTAL(103,$E$6:E381))</f>
        <v/>
      </c>
      <c r="B381" s="6"/>
      <c r="C381" s="6"/>
      <c r="D381" s="6"/>
      <c r="E381" s="2"/>
      <c r="F381" s="2"/>
      <c r="G381" s="2"/>
      <c r="H381" s="2"/>
      <c r="I381" s="2"/>
      <c r="J381" s="1" t="str">
        <f t="shared" si="10"/>
        <v>NO</v>
      </c>
      <c r="K381" s="1" t="str">
        <f t="shared" si="11"/>
        <v xml:space="preserve"> </v>
      </c>
    </row>
    <row r="382" spans="1:11" ht="21.75" customHeight="1">
      <c r="A382" s="5" t="str">
        <f>IF(E382="","",SUBTOTAL(103,$E$6:E382))</f>
        <v/>
      </c>
      <c r="B382" s="6"/>
      <c r="C382" s="6"/>
      <c r="D382" s="6"/>
      <c r="E382" s="2"/>
      <c r="F382" s="2"/>
      <c r="G382" s="2"/>
      <c r="H382" s="2"/>
      <c r="I382" s="2"/>
      <c r="J382" s="1" t="str">
        <f t="shared" si="10"/>
        <v>NO</v>
      </c>
      <c r="K382" s="1" t="str">
        <f t="shared" si="11"/>
        <v xml:space="preserve"> </v>
      </c>
    </row>
    <row r="383" spans="1:11" ht="21.75" customHeight="1">
      <c r="A383" s="5" t="str">
        <f>IF(E383="","",SUBTOTAL(103,$E$6:E383))</f>
        <v/>
      </c>
      <c r="B383" s="6"/>
      <c r="C383" s="6"/>
      <c r="D383" s="6"/>
      <c r="E383" s="2"/>
      <c r="F383" s="2"/>
      <c r="G383" s="2"/>
      <c r="H383" s="2"/>
      <c r="I383" s="2"/>
      <c r="J383" s="1" t="str">
        <f t="shared" si="10"/>
        <v>NO</v>
      </c>
      <c r="K383" s="1" t="str">
        <f t="shared" si="11"/>
        <v xml:space="preserve"> </v>
      </c>
    </row>
    <row r="384" spans="1:11" ht="21.75" customHeight="1">
      <c r="A384" s="5" t="str">
        <f>IF(E384="","",SUBTOTAL(103,$E$6:E384))</f>
        <v/>
      </c>
      <c r="B384" s="6"/>
      <c r="C384" s="6"/>
      <c r="D384" s="6"/>
      <c r="E384" s="2"/>
      <c r="F384" s="2"/>
      <c r="G384" s="2"/>
      <c r="H384" s="2"/>
      <c r="I384" s="2"/>
      <c r="J384" s="1" t="str">
        <f t="shared" si="10"/>
        <v>NO</v>
      </c>
      <c r="K384" s="1" t="str">
        <f t="shared" si="11"/>
        <v xml:space="preserve"> </v>
      </c>
    </row>
    <row r="385" spans="1:11" ht="21.75" customHeight="1">
      <c r="A385" s="5" t="str">
        <f>IF(E385="","",SUBTOTAL(103,$E$6:E385))</f>
        <v/>
      </c>
      <c r="B385" s="6"/>
      <c r="C385" s="6"/>
      <c r="D385" s="6"/>
      <c r="E385" s="2"/>
      <c r="F385" s="2"/>
      <c r="G385" s="2"/>
      <c r="H385" s="2"/>
      <c r="I385" s="2"/>
      <c r="J385" s="1" t="str">
        <f t="shared" ref="J385:J448" si="12">IF(ISERROR(SEARCH("热处理", E385))=FALSE, "XLN", IF(ISERROR(SEARCH("114", E385))=FALSE, "XLN", IF(ISERROR(SEARCH("OM", E385))=FALSE, "NO", IF(ISERROR(SEARCH("试棒毛坯", E385))=FALSE, "XLN", IF(ISERROR(SEARCH("M35", F385))=FALSE, "NO", IF(OR(LEFT(F385, 2)="DN", LEFT(F385, 3)="NPS", ISERROR(SEARCH("LADISH", E385))=FALSE), "XLN", "NO"))))))</f>
        <v>NO</v>
      </c>
      <c r="K385" s="1" t="str">
        <f t="shared" ref="K385:K448" si="13">IF(ISERROR(FIND("304",F385))=FALSE,304,IF(ISERROR(FIND("316",F385))=FALSE,316,IF(ISERROR(FIND("CF8M",F385))=FALSE,316,IF(ISERROR(SEARCH("wcb",F385))=FALSE,"WCB",IF(ISERROR(SEARCH("cd3mn",F385))=FALSE,"CD3MN",IF(ISERROR(SEARCH("CN7M",F385))=FALSE,"CN7M",IF(ISERROR(SEARCH("M35",F385))=FALSE,"M35",IF(ISERROR(SEARCH("CF3M",F385))=FALSE,"CF3M",IF(ISERROR(SEARCH("CD3MWCuN",F385))=FALSE, "CD3MWCuN",  IF(ISERROR(SEARCH("CW12MW",F385))=FALSE, "CW12MW", IF(ISERROR(SEARCH("CF8",F385))=FALSE, 304," ")))))))))))</f>
        <v xml:space="preserve"> </v>
      </c>
    </row>
    <row r="386" spans="1:11" ht="21.75" customHeight="1">
      <c r="A386" s="5" t="str">
        <f>IF(E386="","",SUBTOTAL(103,$E$6:E386))</f>
        <v/>
      </c>
      <c r="B386" s="6"/>
      <c r="C386" s="6"/>
      <c r="D386" s="6"/>
      <c r="E386" s="2"/>
      <c r="F386" s="2"/>
      <c r="G386" s="2"/>
      <c r="H386" s="2"/>
      <c r="I386" s="2"/>
      <c r="J386" s="1" t="str">
        <f t="shared" si="12"/>
        <v>NO</v>
      </c>
      <c r="K386" s="1" t="str">
        <f t="shared" si="13"/>
        <v xml:space="preserve"> </v>
      </c>
    </row>
    <row r="387" spans="1:11" ht="21.75" customHeight="1">
      <c r="A387" s="5" t="str">
        <f>IF(E387="","",SUBTOTAL(103,$E$6:E387))</f>
        <v/>
      </c>
      <c r="B387" s="6"/>
      <c r="C387" s="6"/>
      <c r="D387" s="6"/>
      <c r="E387" s="2"/>
      <c r="F387" s="2"/>
      <c r="G387" s="2"/>
      <c r="H387" s="2"/>
      <c r="I387" s="2"/>
      <c r="J387" s="1" t="str">
        <f t="shared" si="12"/>
        <v>NO</v>
      </c>
      <c r="K387" s="1" t="str">
        <f t="shared" si="13"/>
        <v xml:space="preserve"> </v>
      </c>
    </row>
    <row r="388" spans="1:11" ht="21.75" customHeight="1">
      <c r="A388" s="5" t="str">
        <f>IF(E388="","",SUBTOTAL(103,$E$6:E388))</f>
        <v/>
      </c>
      <c r="B388" s="6"/>
      <c r="C388" s="6"/>
      <c r="D388" s="6"/>
      <c r="E388" s="2"/>
      <c r="F388" s="2"/>
      <c r="G388" s="2"/>
      <c r="H388" s="2"/>
      <c r="I388" s="2"/>
      <c r="J388" s="1" t="str">
        <f t="shared" si="12"/>
        <v>NO</v>
      </c>
      <c r="K388" s="1" t="str">
        <f t="shared" si="13"/>
        <v xml:space="preserve"> </v>
      </c>
    </row>
    <row r="389" spans="1:11" ht="21.75" customHeight="1">
      <c r="A389" s="5" t="str">
        <f>IF(E389="","",SUBTOTAL(103,$E$6:E389))</f>
        <v/>
      </c>
      <c r="B389" s="6"/>
      <c r="C389" s="6"/>
      <c r="D389" s="6"/>
      <c r="E389" s="2"/>
      <c r="F389" s="2"/>
      <c r="G389" s="2"/>
      <c r="H389" s="2"/>
      <c r="I389" s="2"/>
      <c r="J389" s="1" t="str">
        <f t="shared" si="12"/>
        <v>NO</v>
      </c>
      <c r="K389" s="1" t="str">
        <f t="shared" si="13"/>
        <v xml:space="preserve"> </v>
      </c>
    </row>
    <row r="390" spans="1:11" ht="21.75" customHeight="1">
      <c r="A390" s="5" t="str">
        <f>IF(E390="","",SUBTOTAL(103,$E$6:E390))</f>
        <v/>
      </c>
      <c r="B390" s="6"/>
      <c r="C390" s="6"/>
      <c r="D390" s="6"/>
      <c r="E390" s="2"/>
      <c r="F390" s="2"/>
      <c r="G390" s="2"/>
      <c r="H390" s="2"/>
      <c r="I390" s="2"/>
      <c r="J390" s="1" t="str">
        <f t="shared" si="12"/>
        <v>NO</v>
      </c>
      <c r="K390" s="1" t="str">
        <f t="shared" si="13"/>
        <v xml:space="preserve"> </v>
      </c>
    </row>
    <row r="391" spans="1:11" ht="21.75" customHeight="1">
      <c r="A391" s="5" t="str">
        <f>IF(E391="","",SUBTOTAL(103,$E$6:E391))</f>
        <v/>
      </c>
      <c r="B391" s="6"/>
      <c r="C391" s="6"/>
      <c r="D391" s="6"/>
      <c r="E391" s="2"/>
      <c r="F391" s="2"/>
      <c r="G391" s="2"/>
      <c r="H391" s="2"/>
      <c r="I391" s="2"/>
      <c r="J391" s="1" t="str">
        <f t="shared" si="12"/>
        <v>NO</v>
      </c>
      <c r="K391" s="1" t="str">
        <f t="shared" si="13"/>
        <v xml:space="preserve"> </v>
      </c>
    </row>
    <row r="392" spans="1:11" ht="21.75" customHeight="1">
      <c r="A392" s="5" t="str">
        <f>IF(E392="","",SUBTOTAL(103,$E$6:E392))</f>
        <v/>
      </c>
      <c r="B392" s="6"/>
      <c r="C392" s="6"/>
      <c r="D392" s="6"/>
      <c r="E392" s="2"/>
      <c r="F392" s="2"/>
      <c r="G392" s="2"/>
      <c r="H392" s="2"/>
      <c r="I392" s="2"/>
      <c r="J392" s="1" t="str">
        <f t="shared" si="12"/>
        <v>NO</v>
      </c>
      <c r="K392" s="1" t="str">
        <f t="shared" si="13"/>
        <v xml:space="preserve"> </v>
      </c>
    </row>
    <row r="393" spans="1:11" ht="21.75" customHeight="1">
      <c r="A393" s="5" t="str">
        <f>IF(E393="","",SUBTOTAL(103,$E$6:E393))</f>
        <v/>
      </c>
      <c r="B393" s="6"/>
      <c r="C393" s="6"/>
      <c r="D393" s="6"/>
      <c r="E393" s="2"/>
      <c r="F393" s="2"/>
      <c r="G393" s="2"/>
      <c r="H393" s="2"/>
      <c r="I393" s="2"/>
      <c r="J393" s="1" t="str">
        <f t="shared" si="12"/>
        <v>NO</v>
      </c>
      <c r="K393" s="1" t="str">
        <f t="shared" si="13"/>
        <v xml:space="preserve"> </v>
      </c>
    </row>
    <row r="394" spans="1:11" ht="21.75" customHeight="1">
      <c r="A394" s="5" t="str">
        <f>IF(E394="","",SUBTOTAL(103,$E$6:E394))</f>
        <v/>
      </c>
      <c r="B394" s="6"/>
      <c r="C394" s="6"/>
      <c r="D394" s="6"/>
      <c r="E394" s="2"/>
      <c r="F394" s="2"/>
      <c r="G394" s="2"/>
      <c r="H394" s="2"/>
      <c r="I394" s="2"/>
      <c r="J394" s="1" t="str">
        <f t="shared" si="12"/>
        <v>NO</v>
      </c>
      <c r="K394" s="1" t="str">
        <f t="shared" si="13"/>
        <v xml:space="preserve"> </v>
      </c>
    </row>
    <row r="395" spans="1:11" ht="21.75" customHeight="1">
      <c r="A395" s="5" t="str">
        <f>IF(E395="","",SUBTOTAL(103,$E$6:E395))</f>
        <v/>
      </c>
      <c r="B395" s="6"/>
      <c r="C395" s="6"/>
      <c r="D395" s="6"/>
      <c r="E395" s="2"/>
      <c r="F395" s="2"/>
      <c r="G395" s="2"/>
      <c r="H395" s="2"/>
      <c r="I395" s="2"/>
      <c r="J395" s="1" t="str">
        <f t="shared" si="12"/>
        <v>NO</v>
      </c>
      <c r="K395" s="1" t="str">
        <f t="shared" si="13"/>
        <v xml:space="preserve"> </v>
      </c>
    </row>
    <row r="396" spans="1:11" ht="21.75" customHeight="1">
      <c r="A396" s="5" t="str">
        <f>IF(E396="","",SUBTOTAL(103,$E$6:E396))</f>
        <v/>
      </c>
      <c r="B396" s="6"/>
      <c r="C396" s="6"/>
      <c r="D396" s="6"/>
      <c r="E396" s="2"/>
      <c r="F396" s="2"/>
      <c r="G396" s="2"/>
      <c r="H396" s="2"/>
      <c r="I396" s="2"/>
      <c r="J396" s="1" t="str">
        <f t="shared" si="12"/>
        <v>NO</v>
      </c>
      <c r="K396" s="1" t="str">
        <f t="shared" si="13"/>
        <v xml:space="preserve"> </v>
      </c>
    </row>
    <row r="397" spans="1:11" ht="21.75" customHeight="1">
      <c r="A397" s="5" t="str">
        <f>IF(E397="","",SUBTOTAL(103,$E$6:E397))</f>
        <v/>
      </c>
      <c r="B397" s="6"/>
      <c r="C397" s="6"/>
      <c r="D397" s="6"/>
      <c r="E397" s="2"/>
      <c r="F397" s="2"/>
      <c r="G397" s="2"/>
      <c r="H397" s="2"/>
      <c r="I397" s="2"/>
      <c r="J397" s="1" t="str">
        <f t="shared" si="12"/>
        <v>NO</v>
      </c>
      <c r="K397" s="1" t="str">
        <f t="shared" si="13"/>
        <v xml:space="preserve"> </v>
      </c>
    </row>
    <row r="398" spans="1:11" ht="21.75" customHeight="1">
      <c r="A398" s="5" t="str">
        <f>IF(E398="","",SUBTOTAL(103,$E$6:E398))</f>
        <v/>
      </c>
      <c r="B398" s="6"/>
      <c r="C398" s="6"/>
      <c r="D398" s="6"/>
      <c r="E398" s="2"/>
      <c r="F398" s="2"/>
      <c r="G398" s="2"/>
      <c r="H398" s="2"/>
      <c r="I398" s="2"/>
      <c r="J398" s="1" t="str">
        <f t="shared" si="12"/>
        <v>NO</v>
      </c>
      <c r="K398" s="1" t="str">
        <f t="shared" si="13"/>
        <v xml:space="preserve"> </v>
      </c>
    </row>
    <row r="399" spans="1:11" ht="21.75" customHeight="1">
      <c r="A399" s="5" t="str">
        <f>IF(E399="","",SUBTOTAL(103,$E$6:E399))</f>
        <v/>
      </c>
      <c r="B399" s="6"/>
      <c r="C399" s="6"/>
      <c r="D399" s="6"/>
      <c r="E399" s="2"/>
      <c r="F399" s="2"/>
      <c r="G399" s="2"/>
      <c r="H399" s="2"/>
      <c r="I399" s="2"/>
      <c r="J399" s="1" t="str">
        <f t="shared" si="12"/>
        <v>NO</v>
      </c>
      <c r="K399" s="1" t="str">
        <f t="shared" si="13"/>
        <v xml:space="preserve"> </v>
      </c>
    </row>
    <row r="400" spans="1:11" ht="21.75" customHeight="1">
      <c r="A400" s="5" t="str">
        <f>IF(E400="","",SUBTOTAL(103,$E$6:E400))</f>
        <v/>
      </c>
      <c r="B400" s="6"/>
      <c r="C400" s="6"/>
      <c r="D400" s="6"/>
      <c r="E400" s="2"/>
      <c r="F400" s="2"/>
      <c r="G400" s="2"/>
      <c r="H400" s="2"/>
      <c r="I400" s="2"/>
      <c r="J400" s="1" t="str">
        <f t="shared" si="12"/>
        <v>NO</v>
      </c>
      <c r="K400" s="1" t="str">
        <f t="shared" si="13"/>
        <v xml:space="preserve"> </v>
      </c>
    </row>
    <row r="401" spans="1:11" ht="21.75" customHeight="1">
      <c r="A401" s="5" t="str">
        <f>IF(E401="","",SUBTOTAL(103,$E$6:E401))</f>
        <v/>
      </c>
      <c r="B401" s="6"/>
      <c r="C401" s="6"/>
      <c r="D401" s="6"/>
      <c r="E401" s="2"/>
      <c r="F401" s="2"/>
      <c r="G401" s="2"/>
      <c r="H401" s="2"/>
      <c r="I401" s="2"/>
      <c r="J401" s="1" t="str">
        <f t="shared" si="12"/>
        <v>NO</v>
      </c>
      <c r="K401" s="1" t="str">
        <f t="shared" si="13"/>
        <v xml:space="preserve"> </v>
      </c>
    </row>
    <row r="402" spans="1:11" ht="21.75" customHeight="1">
      <c r="A402" s="5" t="str">
        <f>IF(E402="","",SUBTOTAL(103,$E$6:E402))</f>
        <v/>
      </c>
      <c r="B402" s="6"/>
      <c r="C402" s="6"/>
      <c r="D402" s="6"/>
      <c r="E402" s="2"/>
      <c r="F402" s="2"/>
      <c r="G402" s="2"/>
      <c r="H402" s="2"/>
      <c r="I402" s="2"/>
      <c r="J402" s="1" t="str">
        <f t="shared" si="12"/>
        <v>NO</v>
      </c>
      <c r="K402" s="1" t="str">
        <f t="shared" si="13"/>
        <v xml:space="preserve"> </v>
      </c>
    </row>
    <row r="403" spans="1:11" ht="21.75" customHeight="1">
      <c r="A403" s="5" t="str">
        <f>IF(E403="","",SUBTOTAL(103,$E$6:E403))</f>
        <v/>
      </c>
      <c r="B403" s="6"/>
      <c r="C403" s="6"/>
      <c r="D403" s="6"/>
      <c r="E403" s="2"/>
      <c r="F403" s="2"/>
      <c r="G403" s="2"/>
      <c r="H403" s="2"/>
      <c r="I403" s="2"/>
      <c r="J403" s="1" t="str">
        <f t="shared" si="12"/>
        <v>NO</v>
      </c>
      <c r="K403" s="1" t="str">
        <f t="shared" si="13"/>
        <v xml:space="preserve"> </v>
      </c>
    </row>
    <row r="404" spans="1:11" ht="21.75" customHeight="1">
      <c r="A404" s="5" t="str">
        <f>IF(E404="","",SUBTOTAL(103,$E$6:E404))</f>
        <v/>
      </c>
      <c r="B404" s="6"/>
      <c r="C404" s="6"/>
      <c r="D404" s="6"/>
      <c r="E404" s="2"/>
      <c r="F404" s="2"/>
      <c r="G404" s="2"/>
      <c r="H404" s="2"/>
      <c r="I404" s="2"/>
      <c r="J404" s="1" t="str">
        <f t="shared" si="12"/>
        <v>NO</v>
      </c>
      <c r="K404" s="1" t="str">
        <f t="shared" si="13"/>
        <v xml:space="preserve"> </v>
      </c>
    </row>
    <row r="405" spans="1:11" ht="21.75" customHeight="1">
      <c r="A405" s="5" t="str">
        <f>IF(E405="","",SUBTOTAL(103,$E$6:E405))</f>
        <v/>
      </c>
      <c r="B405" s="6"/>
      <c r="C405" s="6"/>
      <c r="D405" s="6"/>
      <c r="E405" s="2"/>
      <c r="F405" s="2"/>
      <c r="G405" s="2"/>
      <c r="H405" s="2"/>
      <c r="I405" s="2"/>
      <c r="J405" s="1" t="str">
        <f t="shared" si="12"/>
        <v>NO</v>
      </c>
      <c r="K405" s="1" t="str">
        <f t="shared" si="13"/>
        <v xml:space="preserve"> </v>
      </c>
    </row>
    <row r="406" spans="1:11" ht="21.75" customHeight="1">
      <c r="A406" s="5" t="str">
        <f>IF(E406="","",SUBTOTAL(103,$E$6:E406))</f>
        <v/>
      </c>
      <c r="B406" s="6"/>
      <c r="C406" s="6"/>
      <c r="D406" s="6"/>
      <c r="E406" s="2"/>
      <c r="F406" s="2"/>
      <c r="G406" s="2"/>
      <c r="H406" s="2"/>
      <c r="I406" s="2"/>
      <c r="J406" s="1" t="str">
        <f t="shared" si="12"/>
        <v>NO</v>
      </c>
      <c r="K406" s="1" t="str">
        <f t="shared" si="13"/>
        <v xml:space="preserve"> </v>
      </c>
    </row>
    <row r="407" spans="1:11" ht="21.75" customHeight="1">
      <c r="A407" s="5" t="str">
        <f>IF(E407="","",SUBTOTAL(103,$E$6:E407))</f>
        <v/>
      </c>
      <c r="B407" s="6"/>
      <c r="C407" s="6"/>
      <c r="D407" s="6"/>
      <c r="E407" s="2"/>
      <c r="F407" s="2"/>
      <c r="G407" s="2"/>
      <c r="H407" s="2"/>
      <c r="I407" s="2"/>
      <c r="J407" s="1" t="str">
        <f t="shared" si="12"/>
        <v>NO</v>
      </c>
      <c r="K407" s="1" t="str">
        <f t="shared" si="13"/>
        <v xml:space="preserve"> </v>
      </c>
    </row>
    <row r="408" spans="1:11" ht="21.75" customHeight="1">
      <c r="A408" s="5" t="str">
        <f>IF(E408="","",SUBTOTAL(103,$E$6:E408))</f>
        <v/>
      </c>
      <c r="B408" s="6"/>
      <c r="C408" s="6"/>
      <c r="D408" s="6"/>
      <c r="E408" s="2"/>
      <c r="F408" s="2"/>
      <c r="G408" s="2"/>
      <c r="H408" s="2"/>
      <c r="I408" s="2"/>
      <c r="J408" s="1" t="str">
        <f t="shared" si="12"/>
        <v>NO</v>
      </c>
      <c r="K408" s="1" t="str">
        <f t="shared" si="13"/>
        <v xml:space="preserve"> </v>
      </c>
    </row>
    <row r="409" spans="1:11" ht="21.75" customHeight="1">
      <c r="A409" s="5" t="str">
        <f>IF(E409="","",SUBTOTAL(103,$E$6:E409))</f>
        <v/>
      </c>
      <c r="B409" s="6"/>
      <c r="C409" s="6"/>
      <c r="D409" s="6"/>
      <c r="E409" s="2"/>
      <c r="F409" s="2"/>
      <c r="G409" s="2"/>
      <c r="H409" s="2"/>
      <c r="I409" s="2"/>
      <c r="J409" s="1" t="str">
        <f t="shared" si="12"/>
        <v>NO</v>
      </c>
      <c r="K409" s="1" t="str">
        <f t="shared" si="13"/>
        <v xml:space="preserve"> </v>
      </c>
    </row>
    <row r="410" spans="1:11" ht="21.75" customHeight="1">
      <c r="A410" s="5" t="str">
        <f>IF(E410="","",SUBTOTAL(103,$E$6:E410))</f>
        <v/>
      </c>
      <c r="B410" s="6"/>
      <c r="C410" s="6"/>
      <c r="D410" s="6"/>
      <c r="E410" s="2"/>
      <c r="F410" s="2"/>
      <c r="G410" s="2"/>
      <c r="H410" s="2"/>
      <c r="I410" s="2"/>
      <c r="J410" s="1" t="str">
        <f t="shared" si="12"/>
        <v>NO</v>
      </c>
      <c r="K410" s="1" t="str">
        <f t="shared" si="13"/>
        <v xml:space="preserve"> </v>
      </c>
    </row>
    <row r="411" spans="1:11" ht="21.75" customHeight="1">
      <c r="A411" s="5" t="str">
        <f>IF(E411="","",SUBTOTAL(103,$E$6:E411))</f>
        <v/>
      </c>
      <c r="B411" s="6"/>
      <c r="C411" s="6"/>
      <c r="D411" s="6"/>
      <c r="E411" s="2"/>
      <c r="F411" s="2"/>
      <c r="G411" s="2"/>
      <c r="H411" s="2"/>
      <c r="I411" s="2"/>
      <c r="J411" s="1" t="str">
        <f t="shared" si="12"/>
        <v>NO</v>
      </c>
      <c r="K411" s="1" t="str">
        <f t="shared" si="13"/>
        <v xml:space="preserve"> </v>
      </c>
    </row>
    <row r="412" spans="1:11" ht="21.75" customHeight="1">
      <c r="A412" s="5" t="str">
        <f>IF(E412="","",SUBTOTAL(103,$E$6:E412))</f>
        <v/>
      </c>
      <c r="B412" s="6"/>
      <c r="C412" s="6"/>
      <c r="D412" s="6"/>
      <c r="E412" s="2"/>
      <c r="F412" s="2"/>
      <c r="G412" s="2"/>
      <c r="H412" s="2"/>
      <c r="I412" s="2"/>
      <c r="J412" s="1" t="str">
        <f t="shared" si="12"/>
        <v>NO</v>
      </c>
      <c r="K412" s="1" t="str">
        <f t="shared" si="13"/>
        <v xml:space="preserve"> </v>
      </c>
    </row>
    <row r="413" spans="1:11" ht="21.75" customHeight="1">
      <c r="A413" s="5" t="str">
        <f>IF(E413="","",SUBTOTAL(103,$E$6:E413))</f>
        <v/>
      </c>
      <c r="B413" s="6"/>
      <c r="C413" s="6"/>
      <c r="D413" s="6"/>
      <c r="E413" s="2"/>
      <c r="F413" s="2"/>
      <c r="G413" s="2"/>
      <c r="H413" s="2"/>
      <c r="I413" s="2"/>
      <c r="J413" s="1" t="str">
        <f t="shared" si="12"/>
        <v>NO</v>
      </c>
      <c r="K413" s="1" t="str">
        <f t="shared" si="13"/>
        <v xml:space="preserve"> </v>
      </c>
    </row>
    <row r="414" spans="1:11" ht="21.75" customHeight="1">
      <c r="A414" s="5" t="str">
        <f>IF(E414="","",SUBTOTAL(103,$E$6:E414))</f>
        <v/>
      </c>
      <c r="B414" s="6"/>
      <c r="C414" s="6"/>
      <c r="D414" s="6"/>
      <c r="E414" s="2"/>
      <c r="F414" s="2"/>
      <c r="G414" s="2"/>
      <c r="H414" s="2"/>
      <c r="I414" s="2"/>
      <c r="J414" s="1" t="str">
        <f t="shared" si="12"/>
        <v>NO</v>
      </c>
      <c r="K414" s="1" t="str">
        <f t="shared" si="13"/>
        <v xml:space="preserve"> </v>
      </c>
    </row>
    <row r="415" spans="1:11" ht="21.75" customHeight="1">
      <c r="A415" s="5" t="str">
        <f>IF(E415="","",SUBTOTAL(103,$E$6:E415))</f>
        <v/>
      </c>
      <c r="B415" s="6"/>
      <c r="C415" s="6"/>
      <c r="D415" s="6"/>
      <c r="E415" s="2"/>
      <c r="F415" s="2"/>
      <c r="G415" s="2"/>
      <c r="H415" s="2"/>
      <c r="I415" s="2"/>
      <c r="J415" s="1" t="str">
        <f t="shared" si="12"/>
        <v>NO</v>
      </c>
      <c r="K415" s="1" t="str">
        <f t="shared" si="13"/>
        <v xml:space="preserve"> </v>
      </c>
    </row>
    <row r="416" spans="1:11" ht="21.75" customHeight="1">
      <c r="A416" s="5" t="str">
        <f>IF(E416="","",SUBTOTAL(103,$E$6:E416))</f>
        <v/>
      </c>
      <c r="B416" s="6"/>
      <c r="C416" s="6"/>
      <c r="D416" s="6"/>
      <c r="E416" s="2"/>
      <c r="F416" s="2"/>
      <c r="G416" s="2"/>
      <c r="H416" s="2"/>
      <c r="I416" s="2"/>
      <c r="J416" s="1" t="str">
        <f t="shared" si="12"/>
        <v>NO</v>
      </c>
      <c r="K416" s="1" t="str">
        <f t="shared" si="13"/>
        <v xml:space="preserve"> </v>
      </c>
    </row>
    <row r="417" spans="1:11" ht="21.75" customHeight="1">
      <c r="A417" s="5" t="str">
        <f>IF(E417="","",SUBTOTAL(103,$E$6:E417))</f>
        <v/>
      </c>
      <c r="B417" s="6"/>
      <c r="C417" s="6"/>
      <c r="D417" s="6"/>
      <c r="E417" s="2"/>
      <c r="F417" s="2"/>
      <c r="G417" s="2"/>
      <c r="H417" s="2"/>
      <c r="I417" s="2"/>
      <c r="J417" s="1" t="str">
        <f t="shared" si="12"/>
        <v>NO</v>
      </c>
      <c r="K417" s="1" t="str">
        <f t="shared" si="13"/>
        <v xml:space="preserve"> </v>
      </c>
    </row>
    <row r="418" spans="1:11" ht="21.75" customHeight="1">
      <c r="A418" s="5" t="str">
        <f>IF(E418="","",SUBTOTAL(103,$E$6:E418))</f>
        <v/>
      </c>
      <c r="B418" s="6"/>
      <c r="C418" s="6"/>
      <c r="D418" s="6"/>
      <c r="E418" s="2"/>
      <c r="F418" s="2"/>
      <c r="G418" s="2"/>
      <c r="H418" s="2"/>
      <c r="I418" s="2"/>
      <c r="J418" s="1" t="str">
        <f t="shared" si="12"/>
        <v>NO</v>
      </c>
      <c r="K418" s="1" t="str">
        <f t="shared" si="13"/>
        <v xml:space="preserve"> </v>
      </c>
    </row>
    <row r="419" spans="1:11" ht="21.75" customHeight="1">
      <c r="A419" s="5" t="str">
        <f>IF(E419="","",SUBTOTAL(103,$E$6:E419))</f>
        <v/>
      </c>
      <c r="B419" s="6"/>
      <c r="C419" s="6"/>
      <c r="D419" s="6"/>
      <c r="E419" s="2"/>
      <c r="F419" s="2"/>
      <c r="G419" s="2"/>
      <c r="H419" s="2"/>
      <c r="I419" s="2"/>
      <c r="J419" s="1" t="str">
        <f t="shared" si="12"/>
        <v>NO</v>
      </c>
      <c r="K419" s="1" t="str">
        <f t="shared" si="13"/>
        <v xml:space="preserve"> </v>
      </c>
    </row>
    <row r="420" spans="1:11" ht="21.75" customHeight="1">
      <c r="A420" s="5" t="str">
        <f>IF(E420="","",SUBTOTAL(103,$E$6:E420))</f>
        <v/>
      </c>
      <c r="B420" s="6"/>
      <c r="C420" s="6"/>
      <c r="D420" s="6"/>
      <c r="E420" s="2"/>
      <c r="F420" s="2"/>
      <c r="G420" s="2"/>
      <c r="H420" s="2"/>
      <c r="I420" s="2"/>
      <c r="J420" s="1" t="str">
        <f t="shared" si="12"/>
        <v>NO</v>
      </c>
      <c r="K420" s="1" t="str">
        <f t="shared" si="13"/>
        <v xml:space="preserve"> </v>
      </c>
    </row>
    <row r="421" spans="1:11" ht="21.75" customHeight="1">
      <c r="A421" s="5" t="str">
        <f>IF(E421="","",SUBTOTAL(103,$E$6:E421))</f>
        <v/>
      </c>
      <c r="B421" s="6"/>
      <c r="C421" s="6"/>
      <c r="D421" s="6"/>
      <c r="E421" s="2"/>
      <c r="F421" s="2"/>
      <c r="G421" s="2"/>
      <c r="H421" s="2"/>
      <c r="I421" s="2"/>
      <c r="J421" s="1" t="str">
        <f t="shared" si="12"/>
        <v>NO</v>
      </c>
      <c r="K421" s="1" t="str">
        <f t="shared" si="13"/>
        <v xml:space="preserve"> </v>
      </c>
    </row>
    <row r="422" spans="1:11" ht="21.75" customHeight="1">
      <c r="A422" s="5" t="str">
        <f>IF(E422="","",SUBTOTAL(103,$E$6:E422))</f>
        <v/>
      </c>
      <c r="B422" s="6"/>
      <c r="C422" s="6"/>
      <c r="D422" s="6"/>
      <c r="E422" s="2"/>
      <c r="F422" s="2"/>
      <c r="G422" s="2"/>
      <c r="H422" s="2"/>
      <c r="I422" s="2"/>
      <c r="J422" s="1" t="str">
        <f t="shared" si="12"/>
        <v>NO</v>
      </c>
      <c r="K422" s="1" t="str">
        <f t="shared" si="13"/>
        <v xml:space="preserve"> </v>
      </c>
    </row>
    <row r="423" spans="1:11" ht="21.75" customHeight="1">
      <c r="A423" s="5" t="str">
        <f>IF(E423="","",SUBTOTAL(103,$E$6:E423))</f>
        <v/>
      </c>
      <c r="B423" s="6"/>
      <c r="C423" s="6"/>
      <c r="D423" s="6"/>
      <c r="E423" s="2"/>
      <c r="F423" s="2"/>
      <c r="G423" s="2"/>
      <c r="H423" s="2"/>
      <c r="I423" s="2"/>
      <c r="J423" s="1" t="str">
        <f t="shared" si="12"/>
        <v>NO</v>
      </c>
      <c r="K423" s="1" t="str">
        <f t="shared" si="13"/>
        <v xml:space="preserve"> </v>
      </c>
    </row>
    <row r="424" spans="1:11" ht="21.75" customHeight="1">
      <c r="A424" s="5" t="str">
        <f>IF(E424="","",SUBTOTAL(103,$E$6:E424))</f>
        <v/>
      </c>
      <c r="B424" s="6"/>
      <c r="C424" s="6"/>
      <c r="D424" s="6"/>
      <c r="E424" s="2"/>
      <c r="F424" s="2"/>
      <c r="G424" s="2"/>
      <c r="H424" s="2"/>
      <c r="I424" s="2"/>
      <c r="J424" s="1" t="str">
        <f t="shared" si="12"/>
        <v>NO</v>
      </c>
      <c r="K424" s="1" t="str">
        <f t="shared" si="13"/>
        <v xml:space="preserve"> </v>
      </c>
    </row>
    <row r="425" spans="1:11" ht="21.75" customHeight="1">
      <c r="A425" s="5" t="str">
        <f>IF(E425="","",SUBTOTAL(103,$E$6:E425))</f>
        <v/>
      </c>
      <c r="B425" s="6"/>
      <c r="C425" s="6"/>
      <c r="D425" s="6"/>
      <c r="E425" s="2"/>
      <c r="F425" s="2"/>
      <c r="G425" s="2"/>
      <c r="H425" s="2"/>
      <c r="I425" s="2"/>
      <c r="J425" s="1" t="str">
        <f t="shared" si="12"/>
        <v>NO</v>
      </c>
      <c r="K425" s="1" t="str">
        <f t="shared" si="13"/>
        <v xml:space="preserve"> </v>
      </c>
    </row>
    <row r="426" spans="1:11" ht="21.75" customHeight="1">
      <c r="A426" s="5" t="str">
        <f>IF(E426="","",SUBTOTAL(103,$E$6:E426))</f>
        <v/>
      </c>
      <c r="B426" s="6"/>
      <c r="C426" s="6"/>
      <c r="D426" s="6"/>
      <c r="E426" s="2"/>
      <c r="F426" s="2"/>
      <c r="G426" s="2"/>
      <c r="H426" s="2"/>
      <c r="I426" s="2"/>
      <c r="J426" s="1" t="str">
        <f t="shared" si="12"/>
        <v>NO</v>
      </c>
      <c r="K426" s="1" t="str">
        <f t="shared" si="13"/>
        <v xml:space="preserve"> </v>
      </c>
    </row>
    <row r="427" spans="1:11" ht="21.75" customHeight="1">
      <c r="A427" s="5" t="str">
        <f>IF(E427="","",SUBTOTAL(103,$E$6:E427))</f>
        <v/>
      </c>
      <c r="B427" s="6"/>
      <c r="C427" s="6"/>
      <c r="D427" s="6"/>
      <c r="E427" s="2"/>
      <c r="F427" s="2"/>
      <c r="G427" s="2"/>
      <c r="H427" s="2"/>
      <c r="I427" s="2"/>
      <c r="J427" s="1" t="str">
        <f t="shared" si="12"/>
        <v>NO</v>
      </c>
      <c r="K427" s="1" t="str">
        <f t="shared" si="13"/>
        <v xml:space="preserve"> </v>
      </c>
    </row>
    <row r="428" spans="1:11" ht="21.75" customHeight="1">
      <c r="A428" s="5" t="str">
        <f>IF(E428="","",SUBTOTAL(103,$E$6:E428))</f>
        <v/>
      </c>
      <c r="B428" s="6"/>
      <c r="C428" s="6"/>
      <c r="D428" s="6"/>
      <c r="E428" s="2"/>
      <c r="F428" s="2"/>
      <c r="G428" s="2"/>
      <c r="H428" s="2"/>
      <c r="I428" s="2"/>
      <c r="J428" s="1" t="str">
        <f t="shared" si="12"/>
        <v>NO</v>
      </c>
      <c r="K428" s="1" t="str">
        <f t="shared" si="13"/>
        <v xml:space="preserve"> </v>
      </c>
    </row>
    <row r="429" spans="1:11" ht="21.75" customHeight="1">
      <c r="A429" s="5" t="str">
        <f>IF(E429="","",SUBTOTAL(103,$E$6:E429))</f>
        <v/>
      </c>
      <c r="B429" s="6"/>
      <c r="C429" s="6"/>
      <c r="D429" s="6"/>
      <c r="E429" s="2"/>
      <c r="F429" s="2"/>
      <c r="G429" s="2"/>
      <c r="H429" s="2"/>
      <c r="I429" s="2"/>
      <c r="J429" s="1" t="str">
        <f t="shared" si="12"/>
        <v>NO</v>
      </c>
      <c r="K429" s="1" t="str">
        <f t="shared" si="13"/>
        <v xml:space="preserve"> </v>
      </c>
    </row>
    <row r="430" spans="1:11" ht="21.75" customHeight="1">
      <c r="A430" s="5" t="str">
        <f>IF(E430="","",SUBTOTAL(103,$E$6:E430))</f>
        <v/>
      </c>
      <c r="B430" s="6"/>
      <c r="C430" s="6"/>
      <c r="D430" s="6"/>
      <c r="E430" s="2"/>
      <c r="F430" s="2"/>
      <c r="G430" s="2"/>
      <c r="H430" s="2"/>
      <c r="I430" s="2"/>
      <c r="J430" s="1" t="str">
        <f t="shared" si="12"/>
        <v>NO</v>
      </c>
      <c r="K430" s="1" t="str">
        <f t="shared" si="13"/>
        <v xml:space="preserve"> </v>
      </c>
    </row>
    <row r="431" spans="1:11" ht="21.75" customHeight="1">
      <c r="A431" s="5" t="str">
        <f>IF(E431="","",SUBTOTAL(103,$E$6:E431))</f>
        <v/>
      </c>
      <c r="B431" s="6"/>
      <c r="C431" s="6"/>
      <c r="D431" s="6"/>
      <c r="E431" s="2"/>
      <c r="F431" s="2"/>
      <c r="G431" s="2"/>
      <c r="H431" s="2"/>
      <c r="I431" s="2"/>
      <c r="J431" s="1" t="str">
        <f t="shared" si="12"/>
        <v>NO</v>
      </c>
      <c r="K431" s="1" t="str">
        <f t="shared" si="13"/>
        <v xml:space="preserve"> </v>
      </c>
    </row>
    <row r="432" spans="1:11" ht="21.75" customHeight="1">
      <c r="A432" s="5" t="str">
        <f>IF(E432="","",SUBTOTAL(103,$E$6:E432))</f>
        <v/>
      </c>
      <c r="B432" s="6"/>
      <c r="C432" s="6"/>
      <c r="D432" s="6"/>
      <c r="E432" s="2"/>
      <c r="F432" s="2"/>
      <c r="G432" s="2"/>
      <c r="H432" s="2"/>
      <c r="I432" s="2"/>
      <c r="J432" s="1" t="str">
        <f t="shared" si="12"/>
        <v>NO</v>
      </c>
      <c r="K432" s="1" t="str">
        <f t="shared" si="13"/>
        <v xml:space="preserve"> </v>
      </c>
    </row>
    <row r="433" spans="1:11" ht="21.75" customHeight="1">
      <c r="A433" s="5" t="str">
        <f>IF(E433="","",SUBTOTAL(103,$E$6:E433))</f>
        <v/>
      </c>
      <c r="B433" s="6"/>
      <c r="C433" s="6"/>
      <c r="D433" s="6"/>
      <c r="E433" s="2"/>
      <c r="F433" s="2"/>
      <c r="G433" s="2"/>
      <c r="H433" s="2"/>
      <c r="I433" s="2"/>
      <c r="J433" s="1" t="str">
        <f t="shared" si="12"/>
        <v>NO</v>
      </c>
      <c r="K433" s="1" t="str">
        <f t="shared" si="13"/>
        <v xml:space="preserve"> </v>
      </c>
    </row>
    <row r="434" spans="1:11" ht="21.75" customHeight="1">
      <c r="A434" s="5" t="str">
        <f>IF(E434="","",SUBTOTAL(103,$E$6:E434))</f>
        <v/>
      </c>
      <c r="B434" s="6"/>
      <c r="C434" s="6"/>
      <c r="D434" s="6"/>
      <c r="E434" s="2"/>
      <c r="F434" s="2"/>
      <c r="G434" s="2"/>
      <c r="H434" s="2"/>
      <c r="I434" s="2"/>
      <c r="J434" s="1" t="str">
        <f t="shared" si="12"/>
        <v>NO</v>
      </c>
      <c r="K434" s="1" t="str">
        <f t="shared" si="13"/>
        <v xml:space="preserve"> </v>
      </c>
    </row>
    <row r="435" spans="1:11" ht="21.75" customHeight="1">
      <c r="A435" s="5" t="str">
        <f>IF(E435="","",SUBTOTAL(103,$E$6:E435))</f>
        <v/>
      </c>
      <c r="B435" s="6"/>
      <c r="C435" s="6"/>
      <c r="D435" s="6"/>
      <c r="E435" s="2"/>
      <c r="F435" s="2"/>
      <c r="G435" s="2"/>
      <c r="H435" s="2"/>
      <c r="I435" s="2"/>
      <c r="J435" s="1" t="str">
        <f t="shared" si="12"/>
        <v>NO</v>
      </c>
      <c r="K435" s="1" t="str">
        <f t="shared" si="13"/>
        <v xml:space="preserve"> </v>
      </c>
    </row>
    <row r="436" spans="1:11" ht="21.75" customHeight="1">
      <c r="A436" s="5" t="str">
        <f>IF(E436="","",SUBTOTAL(103,$E$6:E436))</f>
        <v/>
      </c>
      <c r="B436" s="6"/>
      <c r="C436" s="6"/>
      <c r="D436" s="6"/>
      <c r="E436" s="2"/>
      <c r="F436" s="2"/>
      <c r="G436" s="2"/>
      <c r="H436" s="2"/>
      <c r="I436" s="2"/>
      <c r="J436" s="1" t="str">
        <f t="shared" si="12"/>
        <v>NO</v>
      </c>
      <c r="K436" s="1" t="str">
        <f t="shared" si="13"/>
        <v xml:space="preserve"> </v>
      </c>
    </row>
    <row r="437" spans="1:11" ht="21.75" customHeight="1">
      <c r="A437" s="5" t="str">
        <f>IF(E437="","",SUBTOTAL(103,$E$6:E437))</f>
        <v/>
      </c>
      <c r="B437" s="6"/>
      <c r="C437" s="6"/>
      <c r="D437" s="6"/>
      <c r="E437" s="2"/>
      <c r="F437" s="2"/>
      <c r="G437" s="2"/>
      <c r="H437" s="2"/>
      <c r="I437" s="2"/>
      <c r="J437" s="1" t="str">
        <f t="shared" si="12"/>
        <v>NO</v>
      </c>
      <c r="K437" s="1" t="str">
        <f t="shared" si="13"/>
        <v xml:space="preserve"> </v>
      </c>
    </row>
    <row r="438" spans="1:11" ht="21.75" customHeight="1">
      <c r="A438" s="5" t="str">
        <f>IF(E438="","",SUBTOTAL(103,$E$6:E438))</f>
        <v/>
      </c>
      <c r="B438" s="6"/>
      <c r="C438" s="6"/>
      <c r="D438" s="6"/>
      <c r="E438" s="2"/>
      <c r="F438" s="2"/>
      <c r="G438" s="2"/>
      <c r="H438" s="2"/>
      <c r="I438" s="2"/>
      <c r="J438" s="1" t="str">
        <f t="shared" si="12"/>
        <v>NO</v>
      </c>
      <c r="K438" s="1" t="str">
        <f t="shared" si="13"/>
        <v xml:space="preserve"> </v>
      </c>
    </row>
    <row r="439" spans="1:11" ht="21.75" customHeight="1">
      <c r="A439" s="5" t="str">
        <f>IF(E439="","",SUBTOTAL(103,$E$6:E439))</f>
        <v/>
      </c>
      <c r="B439" s="6"/>
      <c r="C439" s="6"/>
      <c r="D439" s="6"/>
      <c r="E439" s="2"/>
      <c r="F439" s="2"/>
      <c r="G439" s="2"/>
      <c r="H439" s="2"/>
      <c r="I439" s="2"/>
      <c r="J439" s="1" t="str">
        <f t="shared" si="12"/>
        <v>NO</v>
      </c>
      <c r="K439" s="1" t="str">
        <f t="shared" si="13"/>
        <v xml:space="preserve"> </v>
      </c>
    </row>
    <row r="440" spans="1:11" ht="21.75" customHeight="1">
      <c r="A440" s="5" t="str">
        <f>IF(E440="","",SUBTOTAL(103,$E$6:E440))</f>
        <v/>
      </c>
      <c r="B440" s="6"/>
      <c r="C440" s="6"/>
      <c r="D440" s="6"/>
      <c r="E440" s="2"/>
      <c r="F440" s="2"/>
      <c r="G440" s="2"/>
      <c r="H440" s="2"/>
      <c r="I440" s="2"/>
      <c r="J440" s="1" t="str">
        <f t="shared" si="12"/>
        <v>NO</v>
      </c>
      <c r="K440" s="1" t="str">
        <f t="shared" si="13"/>
        <v xml:space="preserve"> </v>
      </c>
    </row>
    <row r="441" spans="1:11" ht="21.75" customHeight="1">
      <c r="A441" s="5" t="str">
        <f>IF(E441="","",SUBTOTAL(103,$E$6:E441))</f>
        <v/>
      </c>
      <c r="B441" s="6"/>
      <c r="C441" s="6"/>
      <c r="D441" s="6"/>
      <c r="E441" s="2"/>
      <c r="F441" s="2"/>
      <c r="G441" s="2"/>
      <c r="H441" s="2"/>
      <c r="I441" s="2"/>
      <c r="J441" s="1" t="str">
        <f t="shared" si="12"/>
        <v>NO</v>
      </c>
      <c r="K441" s="1" t="str">
        <f t="shared" si="13"/>
        <v xml:space="preserve"> </v>
      </c>
    </row>
    <row r="442" spans="1:11" ht="21.75" customHeight="1">
      <c r="A442" s="5" t="str">
        <f>IF(E442="","",SUBTOTAL(103,$E$6:E442))</f>
        <v/>
      </c>
      <c r="B442" s="6"/>
      <c r="C442" s="6"/>
      <c r="D442" s="6"/>
      <c r="E442" s="2"/>
      <c r="F442" s="2"/>
      <c r="G442" s="2"/>
      <c r="H442" s="2"/>
      <c r="I442" s="2"/>
      <c r="J442" s="1" t="str">
        <f t="shared" si="12"/>
        <v>NO</v>
      </c>
      <c r="K442" s="1" t="str">
        <f t="shared" si="13"/>
        <v xml:space="preserve"> </v>
      </c>
    </row>
    <row r="443" spans="1:11" ht="21.75" customHeight="1">
      <c r="A443" s="5" t="str">
        <f>IF(E443="","",SUBTOTAL(103,$E$6:E443))</f>
        <v/>
      </c>
      <c r="B443" s="6"/>
      <c r="C443" s="6"/>
      <c r="D443" s="6"/>
      <c r="E443" s="2"/>
      <c r="F443" s="2"/>
      <c r="G443" s="2"/>
      <c r="H443" s="2"/>
      <c r="I443" s="2"/>
      <c r="J443" s="1" t="str">
        <f t="shared" si="12"/>
        <v>NO</v>
      </c>
      <c r="K443" s="1" t="str">
        <f t="shared" si="13"/>
        <v xml:space="preserve"> </v>
      </c>
    </row>
    <row r="444" spans="1:11" ht="21.75" customHeight="1">
      <c r="A444" s="5" t="str">
        <f>IF(E444="","",SUBTOTAL(103,$E$6:E444))</f>
        <v/>
      </c>
      <c r="B444" s="6"/>
      <c r="C444" s="6"/>
      <c r="D444" s="6"/>
      <c r="E444" s="2"/>
      <c r="F444" s="2"/>
      <c r="G444" s="2"/>
      <c r="H444" s="2"/>
      <c r="I444" s="2"/>
      <c r="J444" s="1" t="str">
        <f t="shared" si="12"/>
        <v>NO</v>
      </c>
      <c r="K444" s="1" t="str">
        <f t="shared" si="13"/>
        <v xml:space="preserve"> </v>
      </c>
    </row>
    <row r="445" spans="1:11" ht="21.75" customHeight="1">
      <c r="A445" s="5" t="str">
        <f>IF(E445="","",SUBTOTAL(103,$E$6:E445))</f>
        <v/>
      </c>
      <c r="B445" s="6"/>
      <c r="C445" s="6"/>
      <c r="D445" s="6"/>
      <c r="E445" s="2"/>
      <c r="F445" s="2"/>
      <c r="G445" s="2"/>
      <c r="H445" s="2"/>
      <c r="I445" s="2"/>
      <c r="J445" s="1" t="str">
        <f t="shared" si="12"/>
        <v>NO</v>
      </c>
      <c r="K445" s="1" t="str">
        <f t="shared" si="13"/>
        <v xml:space="preserve"> </v>
      </c>
    </row>
    <row r="446" spans="1:11" ht="21.75" customHeight="1">
      <c r="A446" s="5" t="str">
        <f>IF(E446="","",SUBTOTAL(103,$E$6:E446))</f>
        <v/>
      </c>
      <c r="B446" s="6"/>
      <c r="C446" s="6"/>
      <c r="D446" s="6"/>
      <c r="E446" s="2"/>
      <c r="F446" s="2"/>
      <c r="G446" s="2"/>
      <c r="H446" s="2"/>
      <c r="I446" s="2"/>
      <c r="J446" s="1" t="str">
        <f t="shared" si="12"/>
        <v>NO</v>
      </c>
      <c r="K446" s="1" t="str">
        <f t="shared" si="13"/>
        <v xml:space="preserve"> </v>
      </c>
    </row>
    <row r="447" spans="1:11" ht="21.75" customHeight="1">
      <c r="A447" s="5" t="str">
        <f>IF(E447="","",SUBTOTAL(103,$E$6:E447))</f>
        <v/>
      </c>
      <c r="B447" s="6"/>
      <c r="C447" s="6"/>
      <c r="D447" s="6"/>
      <c r="E447" s="2"/>
      <c r="F447" s="2"/>
      <c r="G447" s="2"/>
      <c r="H447" s="2"/>
      <c r="I447" s="2"/>
      <c r="J447" s="1" t="str">
        <f t="shared" si="12"/>
        <v>NO</v>
      </c>
      <c r="K447" s="1" t="str">
        <f t="shared" si="13"/>
        <v xml:space="preserve"> </v>
      </c>
    </row>
    <row r="448" spans="1:11" ht="21.75" customHeight="1">
      <c r="A448" s="5" t="str">
        <f>IF(E448="","",SUBTOTAL(103,$E$6:E448))</f>
        <v/>
      </c>
      <c r="B448" s="6"/>
      <c r="C448" s="6"/>
      <c r="D448" s="6"/>
      <c r="E448" s="2"/>
      <c r="F448" s="2"/>
      <c r="G448" s="2"/>
      <c r="H448" s="2"/>
      <c r="I448" s="2"/>
      <c r="J448" s="1" t="str">
        <f t="shared" si="12"/>
        <v>NO</v>
      </c>
      <c r="K448" s="1" t="str">
        <f t="shared" si="13"/>
        <v xml:space="preserve"> </v>
      </c>
    </row>
    <row r="449" spans="1:11" ht="21.75" customHeight="1">
      <c r="A449" s="5" t="str">
        <f>IF(E449="","",SUBTOTAL(103,$E$6:E449))</f>
        <v/>
      </c>
      <c r="B449" s="6"/>
      <c r="C449" s="6"/>
      <c r="D449" s="6"/>
      <c r="E449" s="2"/>
      <c r="F449" s="2"/>
      <c r="G449" s="2"/>
      <c r="H449" s="2"/>
      <c r="I449" s="2"/>
      <c r="J449" s="1" t="str">
        <f t="shared" ref="J449:J512" si="14">IF(ISERROR(SEARCH("热处理", E449))=FALSE, "XLN", IF(ISERROR(SEARCH("114", E449))=FALSE, "XLN", IF(ISERROR(SEARCH("OM", E449))=FALSE, "NO", IF(ISERROR(SEARCH("试棒毛坯", E449))=FALSE, "XLN", IF(ISERROR(SEARCH("M35", F449))=FALSE, "NO", IF(OR(LEFT(F449, 2)="DN", LEFT(F449, 3)="NPS", ISERROR(SEARCH("LADISH", E449))=FALSE), "XLN", "NO"))))))</f>
        <v>NO</v>
      </c>
      <c r="K449" s="1" t="str">
        <f t="shared" ref="K449:K512" si="15">IF(ISERROR(FIND("304",F449))=FALSE,304,IF(ISERROR(FIND("316",F449))=FALSE,316,IF(ISERROR(FIND("CF8M",F449))=FALSE,316,IF(ISERROR(SEARCH("wcb",F449))=FALSE,"WCB",IF(ISERROR(SEARCH("cd3mn",F449))=FALSE,"CD3MN",IF(ISERROR(SEARCH("CN7M",F449))=FALSE,"CN7M",IF(ISERROR(SEARCH("M35",F449))=FALSE,"M35",IF(ISERROR(SEARCH("CF3M",F449))=FALSE,"CF3M",IF(ISERROR(SEARCH("CD3MWCuN",F449))=FALSE, "CD3MWCuN",  IF(ISERROR(SEARCH("CW12MW",F449))=FALSE, "CW12MW", IF(ISERROR(SEARCH("CF8",F449))=FALSE, 304," ")))))))))))</f>
        <v xml:space="preserve"> </v>
      </c>
    </row>
    <row r="450" spans="1:11" ht="21.75" customHeight="1">
      <c r="A450" s="5" t="str">
        <f>IF(E450="","",SUBTOTAL(103,$E$6:E450))</f>
        <v/>
      </c>
      <c r="B450" s="6"/>
      <c r="C450" s="6"/>
      <c r="D450" s="6"/>
      <c r="E450" s="2"/>
      <c r="F450" s="2"/>
      <c r="G450" s="2"/>
      <c r="H450" s="2"/>
      <c r="I450" s="2"/>
      <c r="J450" s="1" t="str">
        <f t="shared" si="14"/>
        <v>NO</v>
      </c>
      <c r="K450" s="1" t="str">
        <f t="shared" si="15"/>
        <v xml:space="preserve"> </v>
      </c>
    </row>
    <row r="451" spans="1:11" ht="21.75" customHeight="1">
      <c r="A451" s="5" t="str">
        <f>IF(E451="","",SUBTOTAL(103,$E$6:E451))</f>
        <v/>
      </c>
      <c r="B451" s="6"/>
      <c r="C451" s="6"/>
      <c r="D451" s="6"/>
      <c r="E451" s="2"/>
      <c r="F451" s="2"/>
      <c r="G451" s="2"/>
      <c r="H451" s="2"/>
      <c r="I451" s="2"/>
      <c r="J451" s="1" t="str">
        <f t="shared" si="14"/>
        <v>NO</v>
      </c>
      <c r="K451" s="1" t="str">
        <f t="shared" si="15"/>
        <v xml:space="preserve"> </v>
      </c>
    </row>
    <row r="452" spans="1:11" ht="21.75" customHeight="1">
      <c r="A452" s="5" t="str">
        <f>IF(E452="","",SUBTOTAL(103,$E$6:E452))</f>
        <v/>
      </c>
      <c r="B452" s="6"/>
      <c r="C452" s="6"/>
      <c r="D452" s="6"/>
      <c r="E452" s="2"/>
      <c r="F452" s="2"/>
      <c r="G452" s="2"/>
      <c r="H452" s="2"/>
      <c r="I452" s="2"/>
      <c r="J452" s="1" t="str">
        <f t="shared" si="14"/>
        <v>NO</v>
      </c>
      <c r="K452" s="1" t="str">
        <f t="shared" si="15"/>
        <v xml:space="preserve"> </v>
      </c>
    </row>
    <row r="453" spans="1:11" ht="21.75" customHeight="1">
      <c r="A453" s="5" t="str">
        <f>IF(E453="","",SUBTOTAL(103,$E$6:E453))</f>
        <v/>
      </c>
      <c r="B453" s="6"/>
      <c r="C453" s="6"/>
      <c r="D453" s="6"/>
      <c r="E453" s="2"/>
      <c r="F453" s="2"/>
      <c r="G453" s="2"/>
      <c r="H453" s="2"/>
      <c r="I453" s="2"/>
      <c r="J453" s="1" t="str">
        <f t="shared" si="14"/>
        <v>NO</v>
      </c>
      <c r="K453" s="1" t="str">
        <f t="shared" si="15"/>
        <v xml:space="preserve"> </v>
      </c>
    </row>
    <row r="454" spans="1:11" ht="21.75" customHeight="1">
      <c r="A454" s="5" t="str">
        <f>IF(E454="","",SUBTOTAL(103,$E$6:E454))</f>
        <v/>
      </c>
      <c r="B454" s="6"/>
      <c r="C454" s="6"/>
      <c r="D454" s="6"/>
      <c r="E454" s="2"/>
      <c r="F454" s="2"/>
      <c r="G454" s="2"/>
      <c r="H454" s="2"/>
      <c r="I454" s="2"/>
      <c r="J454" s="1" t="str">
        <f t="shared" si="14"/>
        <v>NO</v>
      </c>
      <c r="K454" s="1" t="str">
        <f t="shared" si="15"/>
        <v xml:space="preserve"> </v>
      </c>
    </row>
    <row r="455" spans="1:11" ht="21.75" customHeight="1">
      <c r="A455" s="5" t="str">
        <f>IF(E455="","",SUBTOTAL(103,$E$6:E455))</f>
        <v/>
      </c>
      <c r="B455" s="6"/>
      <c r="C455" s="6"/>
      <c r="D455" s="6"/>
      <c r="E455" s="2"/>
      <c r="F455" s="2"/>
      <c r="G455" s="2"/>
      <c r="H455" s="2"/>
      <c r="I455" s="2"/>
      <c r="J455" s="1" t="str">
        <f t="shared" si="14"/>
        <v>NO</v>
      </c>
      <c r="K455" s="1" t="str">
        <f t="shared" si="15"/>
        <v xml:space="preserve"> </v>
      </c>
    </row>
    <row r="456" spans="1:11" ht="21.75" customHeight="1">
      <c r="A456" s="5" t="str">
        <f>IF(E456="","",SUBTOTAL(103,$E$6:E456))</f>
        <v/>
      </c>
      <c r="B456" s="6"/>
      <c r="C456" s="6"/>
      <c r="D456" s="6"/>
      <c r="E456" s="2"/>
      <c r="F456" s="2"/>
      <c r="G456" s="2"/>
      <c r="H456" s="2"/>
      <c r="I456" s="2"/>
      <c r="J456" s="1" t="str">
        <f t="shared" si="14"/>
        <v>NO</v>
      </c>
      <c r="K456" s="1" t="str">
        <f t="shared" si="15"/>
        <v xml:space="preserve"> </v>
      </c>
    </row>
    <row r="457" spans="1:11" ht="21.75" customHeight="1">
      <c r="A457" s="5" t="str">
        <f>IF(E457="","",SUBTOTAL(103,$E$6:E457))</f>
        <v/>
      </c>
      <c r="B457" s="6"/>
      <c r="C457" s="6"/>
      <c r="D457" s="6"/>
      <c r="E457" s="2"/>
      <c r="F457" s="2"/>
      <c r="G457" s="2"/>
      <c r="H457" s="2"/>
      <c r="I457" s="2"/>
      <c r="J457" s="1" t="str">
        <f t="shared" si="14"/>
        <v>NO</v>
      </c>
      <c r="K457" s="1" t="str">
        <f t="shared" si="15"/>
        <v xml:space="preserve"> </v>
      </c>
    </row>
    <row r="458" spans="1:11" ht="21.75" customHeight="1">
      <c r="A458" s="5" t="str">
        <f>IF(E458="","",SUBTOTAL(103,$E$6:E458))</f>
        <v/>
      </c>
      <c r="B458" s="6"/>
      <c r="C458" s="6"/>
      <c r="D458" s="6"/>
      <c r="E458" s="2"/>
      <c r="F458" s="2"/>
      <c r="G458" s="2"/>
      <c r="H458" s="2"/>
      <c r="I458" s="2"/>
      <c r="J458" s="1" t="str">
        <f t="shared" si="14"/>
        <v>NO</v>
      </c>
      <c r="K458" s="1" t="str">
        <f t="shared" si="15"/>
        <v xml:space="preserve"> </v>
      </c>
    </row>
    <row r="459" spans="1:11" ht="21.75" customHeight="1">
      <c r="A459" s="5" t="str">
        <f>IF(E459="","",SUBTOTAL(103,$E$6:E459))</f>
        <v/>
      </c>
      <c r="B459" s="6"/>
      <c r="C459" s="6"/>
      <c r="D459" s="6"/>
      <c r="E459" s="2"/>
      <c r="F459" s="2"/>
      <c r="G459" s="2"/>
      <c r="H459" s="2"/>
      <c r="I459" s="2"/>
      <c r="J459" s="1" t="str">
        <f t="shared" si="14"/>
        <v>NO</v>
      </c>
      <c r="K459" s="1" t="str">
        <f t="shared" si="15"/>
        <v xml:space="preserve"> </v>
      </c>
    </row>
    <row r="460" spans="1:11" ht="21.75" customHeight="1">
      <c r="A460" s="5" t="str">
        <f>IF(E460="","",SUBTOTAL(103,$E$6:E460))</f>
        <v/>
      </c>
      <c r="B460" s="6"/>
      <c r="C460" s="6"/>
      <c r="D460" s="6"/>
      <c r="E460" s="2"/>
      <c r="F460" s="2"/>
      <c r="G460" s="2"/>
      <c r="H460" s="2"/>
      <c r="I460" s="2"/>
      <c r="J460" s="1" t="str">
        <f t="shared" si="14"/>
        <v>NO</v>
      </c>
      <c r="K460" s="1" t="str">
        <f t="shared" si="15"/>
        <v xml:space="preserve"> </v>
      </c>
    </row>
    <row r="461" spans="1:11" ht="21.75" customHeight="1">
      <c r="A461" s="5" t="str">
        <f>IF(E461="","",SUBTOTAL(103,$E$6:E461))</f>
        <v/>
      </c>
      <c r="B461" s="6"/>
      <c r="C461" s="6"/>
      <c r="D461" s="6"/>
      <c r="E461" s="2"/>
      <c r="F461" s="2"/>
      <c r="G461" s="2"/>
      <c r="H461" s="2"/>
      <c r="I461" s="2"/>
      <c r="J461" s="1" t="str">
        <f t="shared" si="14"/>
        <v>NO</v>
      </c>
      <c r="K461" s="1" t="str">
        <f t="shared" si="15"/>
        <v xml:space="preserve"> </v>
      </c>
    </row>
    <row r="462" spans="1:11" ht="21.75" customHeight="1">
      <c r="A462" s="5" t="str">
        <f>IF(E462="","",SUBTOTAL(103,$E$6:E462))</f>
        <v/>
      </c>
      <c r="B462" s="6"/>
      <c r="C462" s="6"/>
      <c r="D462" s="6"/>
      <c r="E462" s="2"/>
      <c r="F462" s="2"/>
      <c r="G462" s="2"/>
      <c r="H462" s="2"/>
      <c r="I462" s="2"/>
      <c r="J462" s="1" t="str">
        <f t="shared" si="14"/>
        <v>NO</v>
      </c>
      <c r="K462" s="1" t="str">
        <f t="shared" si="15"/>
        <v xml:space="preserve"> </v>
      </c>
    </row>
    <row r="463" spans="1:11" ht="21.75" customHeight="1">
      <c r="A463" s="5" t="str">
        <f>IF(E463="","",SUBTOTAL(103,$E$6:E463))</f>
        <v/>
      </c>
      <c r="B463" s="6"/>
      <c r="C463" s="6"/>
      <c r="D463" s="6"/>
      <c r="E463" s="2"/>
      <c r="F463" s="2"/>
      <c r="G463" s="2"/>
      <c r="H463" s="2"/>
      <c r="I463" s="2"/>
      <c r="J463" s="1" t="str">
        <f t="shared" si="14"/>
        <v>NO</v>
      </c>
      <c r="K463" s="1" t="str">
        <f t="shared" si="15"/>
        <v xml:space="preserve"> </v>
      </c>
    </row>
    <row r="464" spans="1:11" ht="21.75" customHeight="1">
      <c r="A464" s="5" t="str">
        <f>IF(E464="","",SUBTOTAL(103,$E$6:E464))</f>
        <v/>
      </c>
      <c r="B464" s="6"/>
      <c r="C464" s="6"/>
      <c r="D464" s="6"/>
      <c r="E464" s="2"/>
      <c r="F464" s="2"/>
      <c r="G464" s="2"/>
      <c r="H464" s="2"/>
      <c r="I464" s="2"/>
      <c r="J464" s="1" t="str">
        <f t="shared" si="14"/>
        <v>NO</v>
      </c>
      <c r="K464" s="1" t="str">
        <f t="shared" si="15"/>
        <v xml:space="preserve"> </v>
      </c>
    </row>
    <row r="465" spans="1:11" ht="21.75" customHeight="1">
      <c r="A465" s="5" t="str">
        <f>IF(E465="","",SUBTOTAL(103,$E$6:E465))</f>
        <v/>
      </c>
      <c r="B465" s="6"/>
      <c r="C465" s="6"/>
      <c r="D465" s="6"/>
      <c r="E465" s="2"/>
      <c r="F465" s="2"/>
      <c r="G465" s="2"/>
      <c r="H465" s="2"/>
      <c r="I465" s="2"/>
      <c r="J465" s="1" t="str">
        <f t="shared" si="14"/>
        <v>NO</v>
      </c>
      <c r="K465" s="1" t="str">
        <f t="shared" si="15"/>
        <v xml:space="preserve"> </v>
      </c>
    </row>
    <row r="466" spans="1:11" ht="21.75" customHeight="1">
      <c r="A466" s="5" t="str">
        <f>IF(E466="","",SUBTOTAL(103,$E$6:E466))</f>
        <v/>
      </c>
      <c r="B466" s="6"/>
      <c r="C466" s="6"/>
      <c r="D466" s="6"/>
      <c r="E466" s="2"/>
      <c r="F466" s="2"/>
      <c r="G466" s="2"/>
      <c r="H466" s="2"/>
      <c r="I466" s="2"/>
      <c r="J466" s="1" t="str">
        <f t="shared" si="14"/>
        <v>NO</v>
      </c>
      <c r="K466" s="1" t="str">
        <f t="shared" si="15"/>
        <v xml:space="preserve"> </v>
      </c>
    </row>
    <row r="467" spans="1:11" ht="21.75" customHeight="1">
      <c r="A467" s="5" t="str">
        <f>IF(E467="","",SUBTOTAL(103,$E$6:E467))</f>
        <v/>
      </c>
      <c r="B467" s="6"/>
      <c r="C467" s="6"/>
      <c r="D467" s="6"/>
      <c r="E467" s="2"/>
      <c r="F467" s="2"/>
      <c r="G467" s="2"/>
      <c r="H467" s="2"/>
      <c r="I467" s="2"/>
      <c r="J467" s="1" t="str">
        <f t="shared" si="14"/>
        <v>NO</v>
      </c>
      <c r="K467" s="1" t="str">
        <f t="shared" si="15"/>
        <v xml:space="preserve"> </v>
      </c>
    </row>
    <row r="468" spans="1:11" ht="21.75" customHeight="1">
      <c r="A468" s="5" t="str">
        <f>IF(E468="","",SUBTOTAL(103,$E$6:E468))</f>
        <v/>
      </c>
      <c r="B468" s="6"/>
      <c r="C468" s="6"/>
      <c r="D468" s="6"/>
      <c r="E468" s="2"/>
      <c r="F468" s="2"/>
      <c r="G468" s="2"/>
      <c r="H468" s="2"/>
      <c r="I468" s="2"/>
      <c r="J468" s="1" t="str">
        <f t="shared" si="14"/>
        <v>NO</v>
      </c>
      <c r="K468" s="1" t="str">
        <f t="shared" si="15"/>
        <v xml:space="preserve"> </v>
      </c>
    </row>
    <row r="469" spans="1:11" ht="21.75" customHeight="1">
      <c r="A469" s="5" t="str">
        <f>IF(E469="","",SUBTOTAL(103,$E$6:E469))</f>
        <v/>
      </c>
      <c r="B469" s="6"/>
      <c r="C469" s="6"/>
      <c r="D469" s="6"/>
      <c r="E469" s="2"/>
      <c r="F469" s="2"/>
      <c r="G469" s="2"/>
      <c r="H469" s="2"/>
      <c r="I469" s="2"/>
      <c r="J469" s="1" t="str">
        <f t="shared" si="14"/>
        <v>NO</v>
      </c>
      <c r="K469" s="1" t="str">
        <f t="shared" si="15"/>
        <v xml:space="preserve"> </v>
      </c>
    </row>
    <row r="470" spans="1:11" ht="21.75" customHeight="1">
      <c r="A470" s="5" t="str">
        <f>IF(E470="","",SUBTOTAL(103,$E$6:E470))</f>
        <v/>
      </c>
      <c r="B470" s="6"/>
      <c r="C470" s="6"/>
      <c r="D470" s="6"/>
      <c r="E470" s="2"/>
      <c r="F470" s="2"/>
      <c r="G470" s="2"/>
      <c r="H470" s="2"/>
      <c r="I470" s="2"/>
      <c r="J470" s="1" t="str">
        <f t="shared" si="14"/>
        <v>NO</v>
      </c>
      <c r="K470" s="1" t="str">
        <f t="shared" si="15"/>
        <v xml:space="preserve"> </v>
      </c>
    </row>
    <row r="471" spans="1:11" ht="21.75" customHeight="1">
      <c r="A471" s="5" t="str">
        <f>IF(E471="","",SUBTOTAL(103,$E$6:E471))</f>
        <v/>
      </c>
      <c r="B471" s="6"/>
      <c r="C471" s="6"/>
      <c r="D471" s="6"/>
      <c r="E471" s="2"/>
      <c r="F471" s="2"/>
      <c r="G471" s="2"/>
      <c r="H471" s="2"/>
      <c r="I471" s="2"/>
      <c r="J471" s="1" t="str">
        <f t="shared" si="14"/>
        <v>NO</v>
      </c>
      <c r="K471" s="1" t="str">
        <f t="shared" si="15"/>
        <v xml:space="preserve"> </v>
      </c>
    </row>
    <row r="472" spans="1:11" ht="21.75" customHeight="1">
      <c r="A472" s="5" t="str">
        <f>IF(E472="","",SUBTOTAL(103,$E$6:E472))</f>
        <v/>
      </c>
      <c r="B472" s="6"/>
      <c r="C472" s="6"/>
      <c r="D472" s="6"/>
      <c r="E472" s="2"/>
      <c r="F472" s="2"/>
      <c r="G472" s="2"/>
      <c r="H472" s="2"/>
      <c r="I472" s="2"/>
      <c r="J472" s="1" t="str">
        <f t="shared" si="14"/>
        <v>NO</v>
      </c>
      <c r="K472" s="1" t="str">
        <f t="shared" si="15"/>
        <v xml:space="preserve"> </v>
      </c>
    </row>
    <row r="473" spans="1:11" ht="21.75" customHeight="1">
      <c r="A473" s="5" t="str">
        <f>IF(E473="","",SUBTOTAL(103,$E$6:E473))</f>
        <v/>
      </c>
      <c r="B473" s="6"/>
      <c r="C473" s="6"/>
      <c r="D473" s="6"/>
      <c r="E473" s="2"/>
      <c r="F473" s="2"/>
      <c r="G473" s="2"/>
      <c r="H473" s="2"/>
      <c r="I473" s="2"/>
      <c r="J473" s="1" t="str">
        <f t="shared" si="14"/>
        <v>NO</v>
      </c>
      <c r="K473" s="1" t="str">
        <f t="shared" si="15"/>
        <v xml:space="preserve"> </v>
      </c>
    </row>
    <row r="474" spans="1:11" ht="21.75" customHeight="1">
      <c r="A474" s="5" t="str">
        <f>IF(E474="","",SUBTOTAL(103,$E$6:E474))</f>
        <v/>
      </c>
      <c r="B474" s="6"/>
      <c r="C474" s="6"/>
      <c r="D474" s="6"/>
      <c r="E474" s="2"/>
      <c r="F474" s="2"/>
      <c r="G474" s="2"/>
      <c r="H474" s="2"/>
      <c r="I474" s="2"/>
      <c r="J474" s="1" t="str">
        <f t="shared" si="14"/>
        <v>NO</v>
      </c>
      <c r="K474" s="1" t="str">
        <f t="shared" si="15"/>
        <v xml:space="preserve"> </v>
      </c>
    </row>
    <row r="475" spans="1:11" ht="21.75" customHeight="1">
      <c r="A475" s="5" t="str">
        <f>IF(E475="","",SUBTOTAL(103,$E$6:E475))</f>
        <v/>
      </c>
      <c r="B475" s="6"/>
      <c r="C475" s="6"/>
      <c r="D475" s="6"/>
      <c r="E475" s="2"/>
      <c r="F475" s="2"/>
      <c r="G475" s="2"/>
      <c r="H475" s="2"/>
      <c r="I475" s="2"/>
      <c r="J475" s="1" t="str">
        <f t="shared" si="14"/>
        <v>NO</v>
      </c>
      <c r="K475" s="1" t="str">
        <f t="shared" si="15"/>
        <v xml:space="preserve"> </v>
      </c>
    </row>
    <row r="476" spans="1:11" ht="21.75" customHeight="1">
      <c r="A476" s="5" t="str">
        <f>IF(E476="","",SUBTOTAL(103,$E$6:E476))</f>
        <v/>
      </c>
      <c r="B476" s="6"/>
      <c r="C476" s="6"/>
      <c r="D476" s="6"/>
      <c r="E476" s="2"/>
      <c r="F476" s="2"/>
      <c r="G476" s="2"/>
      <c r="H476" s="2"/>
      <c r="I476" s="2"/>
      <c r="J476" s="1" t="str">
        <f t="shared" si="14"/>
        <v>NO</v>
      </c>
      <c r="K476" s="1" t="str">
        <f t="shared" si="15"/>
        <v xml:space="preserve"> </v>
      </c>
    </row>
    <row r="477" spans="1:11" ht="21.75" customHeight="1">
      <c r="A477" s="5" t="str">
        <f>IF(E477="","",SUBTOTAL(103,$E$6:E477))</f>
        <v/>
      </c>
      <c r="B477" s="6"/>
      <c r="C477" s="6"/>
      <c r="D477" s="6"/>
      <c r="E477" s="2"/>
      <c r="F477" s="2"/>
      <c r="G477" s="2"/>
      <c r="H477" s="2"/>
      <c r="I477" s="2"/>
      <c r="J477" s="1" t="str">
        <f t="shared" si="14"/>
        <v>NO</v>
      </c>
      <c r="K477" s="1" t="str">
        <f t="shared" si="15"/>
        <v xml:space="preserve"> </v>
      </c>
    </row>
    <row r="478" spans="1:11" ht="21.75" customHeight="1">
      <c r="A478" s="5" t="str">
        <f>IF(E478="","",SUBTOTAL(103,$E$6:E478))</f>
        <v/>
      </c>
      <c r="B478" s="6"/>
      <c r="C478" s="6"/>
      <c r="D478" s="6"/>
      <c r="E478" s="2"/>
      <c r="F478" s="2"/>
      <c r="G478" s="2"/>
      <c r="H478" s="2"/>
      <c r="I478" s="2"/>
      <c r="J478" s="1" t="str">
        <f t="shared" si="14"/>
        <v>NO</v>
      </c>
      <c r="K478" s="1" t="str">
        <f t="shared" si="15"/>
        <v xml:space="preserve"> </v>
      </c>
    </row>
    <row r="479" spans="1:11" ht="21.75" customHeight="1">
      <c r="A479" s="5" t="str">
        <f>IF(E479="","",SUBTOTAL(103,$E$6:E479))</f>
        <v/>
      </c>
      <c r="B479" s="6"/>
      <c r="C479" s="6"/>
      <c r="D479" s="6"/>
      <c r="E479" s="2"/>
      <c r="F479" s="2"/>
      <c r="G479" s="2"/>
      <c r="H479" s="2"/>
      <c r="I479" s="2"/>
      <c r="J479" s="1" t="str">
        <f t="shared" si="14"/>
        <v>NO</v>
      </c>
      <c r="K479" s="1" t="str">
        <f t="shared" si="15"/>
        <v xml:space="preserve"> </v>
      </c>
    </row>
    <row r="480" spans="1:11" ht="21.75" customHeight="1">
      <c r="A480" s="5" t="str">
        <f>IF(E480="","",SUBTOTAL(103,$E$6:E480))</f>
        <v/>
      </c>
      <c r="B480" s="6"/>
      <c r="C480" s="6"/>
      <c r="D480" s="6"/>
      <c r="E480" s="2"/>
      <c r="F480" s="2"/>
      <c r="G480" s="2"/>
      <c r="H480" s="2"/>
      <c r="I480" s="2"/>
      <c r="J480" s="1" t="str">
        <f t="shared" si="14"/>
        <v>NO</v>
      </c>
      <c r="K480" s="1" t="str">
        <f t="shared" si="15"/>
        <v xml:space="preserve"> </v>
      </c>
    </row>
    <row r="481" spans="1:11" ht="21.75" customHeight="1">
      <c r="A481" s="5" t="str">
        <f>IF(E481="","",SUBTOTAL(103,$E$6:E481))</f>
        <v/>
      </c>
      <c r="B481" s="6"/>
      <c r="C481" s="6"/>
      <c r="D481" s="6"/>
      <c r="E481" s="2"/>
      <c r="F481" s="2"/>
      <c r="G481" s="2"/>
      <c r="H481" s="2"/>
      <c r="I481" s="2"/>
      <c r="J481" s="1" t="str">
        <f t="shared" si="14"/>
        <v>NO</v>
      </c>
      <c r="K481" s="1" t="str">
        <f t="shared" si="15"/>
        <v xml:space="preserve"> </v>
      </c>
    </row>
    <row r="482" spans="1:11" ht="21.75" customHeight="1">
      <c r="A482" s="5" t="str">
        <f>IF(E482="","",SUBTOTAL(103,$E$6:E482))</f>
        <v/>
      </c>
      <c r="B482" s="6"/>
      <c r="C482" s="6"/>
      <c r="D482" s="6"/>
      <c r="E482" s="2"/>
      <c r="F482" s="2"/>
      <c r="G482" s="2"/>
      <c r="H482" s="2"/>
      <c r="I482" s="2"/>
      <c r="J482" s="1" t="str">
        <f t="shared" si="14"/>
        <v>NO</v>
      </c>
      <c r="K482" s="1" t="str">
        <f t="shared" si="15"/>
        <v xml:space="preserve"> </v>
      </c>
    </row>
    <row r="483" spans="1:11" ht="21.75" customHeight="1">
      <c r="A483" s="5" t="str">
        <f>IF(E483="","",SUBTOTAL(103,$E$6:E483))</f>
        <v/>
      </c>
      <c r="B483" s="6"/>
      <c r="C483" s="6"/>
      <c r="D483" s="6"/>
      <c r="E483" s="2"/>
      <c r="F483" s="2"/>
      <c r="G483" s="2"/>
      <c r="H483" s="2"/>
      <c r="I483" s="2"/>
      <c r="J483" s="1" t="str">
        <f t="shared" si="14"/>
        <v>NO</v>
      </c>
      <c r="K483" s="1" t="str">
        <f t="shared" si="15"/>
        <v xml:space="preserve"> </v>
      </c>
    </row>
    <row r="484" spans="1:11" ht="21.75" customHeight="1">
      <c r="A484" s="5" t="str">
        <f>IF(E484="","",SUBTOTAL(103,$E$6:E484))</f>
        <v/>
      </c>
      <c r="B484" s="6"/>
      <c r="C484" s="6"/>
      <c r="D484" s="6"/>
      <c r="E484" s="2"/>
      <c r="F484" s="2"/>
      <c r="G484" s="2"/>
      <c r="H484" s="2"/>
      <c r="I484" s="2"/>
      <c r="J484" s="1" t="str">
        <f t="shared" si="14"/>
        <v>NO</v>
      </c>
      <c r="K484" s="1" t="str">
        <f t="shared" si="15"/>
        <v xml:space="preserve"> </v>
      </c>
    </row>
    <row r="485" spans="1:11" ht="21.75" customHeight="1">
      <c r="A485" s="5" t="str">
        <f>IF(E485="","",SUBTOTAL(103,$E$6:E485))</f>
        <v/>
      </c>
      <c r="B485" s="6"/>
      <c r="C485" s="6"/>
      <c r="D485" s="6"/>
      <c r="E485" s="2"/>
      <c r="F485" s="2"/>
      <c r="G485" s="2"/>
      <c r="H485" s="2"/>
      <c r="I485" s="2"/>
      <c r="J485" s="1" t="str">
        <f t="shared" si="14"/>
        <v>NO</v>
      </c>
      <c r="K485" s="1" t="str">
        <f t="shared" si="15"/>
        <v xml:space="preserve"> </v>
      </c>
    </row>
    <row r="486" spans="1:11" ht="21.75" customHeight="1">
      <c r="A486" s="5" t="str">
        <f>IF(E486="","",SUBTOTAL(103,$E$6:E486))</f>
        <v/>
      </c>
      <c r="B486" s="6"/>
      <c r="C486" s="6"/>
      <c r="D486" s="6"/>
      <c r="E486" s="2"/>
      <c r="F486" s="2"/>
      <c r="G486" s="2"/>
      <c r="H486" s="2"/>
      <c r="I486" s="2"/>
      <c r="J486" s="1" t="str">
        <f t="shared" si="14"/>
        <v>NO</v>
      </c>
      <c r="K486" s="1" t="str">
        <f t="shared" si="15"/>
        <v xml:space="preserve"> </v>
      </c>
    </row>
    <row r="487" spans="1:11" ht="21.75" customHeight="1">
      <c r="A487" s="5" t="str">
        <f>IF(E487="","",SUBTOTAL(103,$E$6:E487))</f>
        <v/>
      </c>
      <c r="B487" s="6"/>
      <c r="C487" s="6"/>
      <c r="D487" s="6"/>
      <c r="E487" s="2"/>
      <c r="F487" s="2"/>
      <c r="G487" s="2"/>
      <c r="H487" s="2"/>
      <c r="I487" s="2"/>
      <c r="J487" s="1" t="str">
        <f t="shared" si="14"/>
        <v>NO</v>
      </c>
      <c r="K487" s="1" t="str">
        <f t="shared" si="15"/>
        <v xml:space="preserve"> </v>
      </c>
    </row>
    <row r="488" spans="1:11" ht="21.75" customHeight="1">
      <c r="A488" s="5" t="str">
        <f>IF(E488="","",SUBTOTAL(103,$E$6:E488))</f>
        <v/>
      </c>
      <c r="B488" s="6"/>
      <c r="C488" s="6"/>
      <c r="D488" s="6"/>
      <c r="E488" s="2"/>
      <c r="F488" s="2"/>
      <c r="G488" s="2"/>
      <c r="H488" s="2"/>
      <c r="I488" s="2"/>
      <c r="J488" s="1" t="str">
        <f t="shared" si="14"/>
        <v>NO</v>
      </c>
      <c r="K488" s="1" t="str">
        <f t="shared" si="15"/>
        <v xml:space="preserve"> </v>
      </c>
    </row>
    <row r="489" spans="1:11" ht="21.75" customHeight="1">
      <c r="A489" s="5" t="str">
        <f>IF(E489="","",SUBTOTAL(103,$E$6:E489))</f>
        <v/>
      </c>
      <c r="B489" s="6"/>
      <c r="C489" s="6"/>
      <c r="D489" s="6"/>
      <c r="E489" s="2"/>
      <c r="F489" s="2"/>
      <c r="G489" s="2"/>
      <c r="H489" s="2"/>
      <c r="I489" s="2"/>
      <c r="J489" s="1" t="str">
        <f t="shared" si="14"/>
        <v>NO</v>
      </c>
      <c r="K489" s="1" t="str">
        <f t="shared" si="15"/>
        <v xml:space="preserve"> </v>
      </c>
    </row>
    <row r="490" spans="1:11" ht="21.75" customHeight="1">
      <c r="A490" s="5" t="str">
        <f>IF(E490="","",SUBTOTAL(103,$E$6:E490))</f>
        <v/>
      </c>
      <c r="B490" s="6"/>
      <c r="C490" s="6"/>
      <c r="D490" s="6"/>
      <c r="E490" s="2"/>
      <c r="F490" s="2"/>
      <c r="G490" s="2"/>
      <c r="H490" s="2"/>
      <c r="I490" s="2"/>
      <c r="J490" s="1" t="str">
        <f t="shared" si="14"/>
        <v>NO</v>
      </c>
      <c r="K490" s="1" t="str">
        <f t="shared" si="15"/>
        <v xml:space="preserve"> </v>
      </c>
    </row>
    <row r="491" spans="1:11" ht="21.75" customHeight="1">
      <c r="A491" s="5" t="str">
        <f>IF(E491="","",SUBTOTAL(103,$E$6:E491))</f>
        <v/>
      </c>
      <c r="B491" s="6"/>
      <c r="C491" s="6"/>
      <c r="D491" s="6"/>
      <c r="E491" s="2"/>
      <c r="F491" s="2"/>
      <c r="G491" s="2"/>
      <c r="H491" s="2"/>
      <c r="I491" s="2"/>
      <c r="J491" s="1" t="str">
        <f t="shared" si="14"/>
        <v>NO</v>
      </c>
      <c r="K491" s="1" t="str">
        <f t="shared" si="15"/>
        <v xml:space="preserve"> </v>
      </c>
    </row>
    <row r="492" spans="1:11" ht="21.75" customHeight="1">
      <c r="A492" s="5" t="str">
        <f>IF(E492="","",SUBTOTAL(103,$E$6:E492))</f>
        <v/>
      </c>
      <c r="B492" s="6"/>
      <c r="C492" s="6"/>
      <c r="D492" s="6"/>
      <c r="E492" s="2"/>
      <c r="F492" s="2"/>
      <c r="G492" s="2"/>
      <c r="H492" s="2"/>
      <c r="I492" s="2"/>
      <c r="J492" s="1" t="str">
        <f t="shared" si="14"/>
        <v>NO</v>
      </c>
      <c r="K492" s="1" t="str">
        <f t="shared" si="15"/>
        <v xml:space="preserve"> </v>
      </c>
    </row>
    <row r="493" spans="1:11" ht="21.75" customHeight="1">
      <c r="A493" s="5" t="str">
        <f>IF(E493="","",SUBTOTAL(103,$E$6:E493))</f>
        <v/>
      </c>
      <c r="B493" s="6"/>
      <c r="C493" s="6"/>
      <c r="D493" s="6"/>
      <c r="E493" s="2"/>
      <c r="F493" s="2"/>
      <c r="G493" s="2"/>
      <c r="H493" s="2"/>
      <c r="I493" s="2"/>
      <c r="J493" s="1" t="str">
        <f t="shared" si="14"/>
        <v>NO</v>
      </c>
      <c r="K493" s="1" t="str">
        <f t="shared" si="15"/>
        <v xml:space="preserve"> </v>
      </c>
    </row>
    <row r="494" spans="1:11" ht="21.75" customHeight="1">
      <c r="A494" s="5" t="str">
        <f>IF(E494="","",SUBTOTAL(103,$E$6:E494))</f>
        <v/>
      </c>
      <c r="B494" s="6"/>
      <c r="C494" s="6"/>
      <c r="D494" s="6"/>
      <c r="E494" s="2"/>
      <c r="F494" s="2"/>
      <c r="G494" s="2"/>
      <c r="H494" s="2"/>
      <c r="I494" s="2"/>
      <c r="J494" s="1" t="str">
        <f t="shared" si="14"/>
        <v>NO</v>
      </c>
      <c r="K494" s="1" t="str">
        <f t="shared" si="15"/>
        <v xml:space="preserve"> </v>
      </c>
    </row>
    <row r="495" spans="1:11" ht="21.75" customHeight="1">
      <c r="A495" s="5" t="str">
        <f>IF(E495="","",SUBTOTAL(103,$E$6:E495))</f>
        <v/>
      </c>
      <c r="B495" s="6"/>
      <c r="C495" s="6"/>
      <c r="D495" s="6"/>
      <c r="E495" s="2"/>
      <c r="F495" s="2"/>
      <c r="G495" s="2"/>
      <c r="H495" s="2"/>
      <c r="I495" s="2"/>
      <c r="J495" s="1" t="str">
        <f t="shared" si="14"/>
        <v>NO</v>
      </c>
      <c r="K495" s="1" t="str">
        <f t="shared" si="15"/>
        <v xml:space="preserve"> </v>
      </c>
    </row>
    <row r="496" spans="1:11" ht="21.75" customHeight="1">
      <c r="A496" s="5" t="str">
        <f>IF(E496="","",SUBTOTAL(103,$E$6:E496))</f>
        <v/>
      </c>
      <c r="B496" s="6"/>
      <c r="C496" s="6"/>
      <c r="D496" s="6"/>
      <c r="E496" s="2"/>
      <c r="F496" s="2"/>
      <c r="G496" s="2"/>
      <c r="H496" s="2"/>
      <c r="I496" s="2"/>
      <c r="J496" s="1" t="str">
        <f t="shared" si="14"/>
        <v>NO</v>
      </c>
      <c r="K496" s="1" t="str">
        <f t="shared" si="15"/>
        <v xml:space="preserve"> </v>
      </c>
    </row>
    <row r="497" spans="1:11" ht="21.75" customHeight="1">
      <c r="A497" s="5" t="str">
        <f>IF(E497="","",SUBTOTAL(103,$E$6:E497))</f>
        <v/>
      </c>
      <c r="B497" s="6"/>
      <c r="C497" s="6"/>
      <c r="D497" s="6"/>
      <c r="E497" s="2"/>
      <c r="F497" s="2"/>
      <c r="G497" s="2"/>
      <c r="H497" s="2"/>
      <c r="I497" s="2"/>
      <c r="J497" s="1" t="str">
        <f t="shared" si="14"/>
        <v>NO</v>
      </c>
      <c r="K497" s="1" t="str">
        <f t="shared" si="15"/>
        <v xml:space="preserve"> </v>
      </c>
    </row>
    <row r="498" spans="1:11" ht="21.75" customHeight="1">
      <c r="A498" s="5" t="str">
        <f>IF(E498="","",SUBTOTAL(103,$E$6:E498))</f>
        <v/>
      </c>
      <c r="B498" s="6"/>
      <c r="C498" s="6"/>
      <c r="D498" s="6"/>
      <c r="E498" s="2"/>
      <c r="F498" s="2"/>
      <c r="G498" s="2"/>
      <c r="H498" s="2"/>
      <c r="I498" s="2"/>
      <c r="J498" s="1" t="str">
        <f t="shared" si="14"/>
        <v>NO</v>
      </c>
      <c r="K498" s="1" t="str">
        <f t="shared" si="15"/>
        <v xml:space="preserve"> </v>
      </c>
    </row>
    <row r="499" spans="1:11" ht="21.75" customHeight="1">
      <c r="A499" s="5" t="str">
        <f>IF(E499="","",SUBTOTAL(103,$E$6:E499))</f>
        <v/>
      </c>
      <c r="B499" s="6"/>
      <c r="C499" s="6"/>
      <c r="D499" s="6"/>
      <c r="E499" s="2"/>
      <c r="F499" s="2"/>
      <c r="G499" s="2"/>
      <c r="H499" s="2"/>
      <c r="I499" s="2"/>
      <c r="J499" s="1" t="str">
        <f t="shared" si="14"/>
        <v>NO</v>
      </c>
      <c r="K499" s="1" t="str">
        <f t="shared" si="15"/>
        <v xml:space="preserve"> </v>
      </c>
    </row>
    <row r="500" spans="1:11" ht="21.75" customHeight="1">
      <c r="A500" s="5" t="str">
        <f>IF(E500="","",SUBTOTAL(103,$E$6:E500))</f>
        <v/>
      </c>
      <c r="B500" s="6"/>
      <c r="C500" s="6"/>
      <c r="D500" s="6"/>
      <c r="E500" s="2"/>
      <c r="F500" s="2"/>
      <c r="G500" s="2"/>
      <c r="H500" s="2"/>
      <c r="I500" s="2"/>
      <c r="J500" s="1" t="str">
        <f t="shared" si="14"/>
        <v>NO</v>
      </c>
      <c r="K500" s="1" t="str">
        <f t="shared" si="15"/>
        <v xml:space="preserve"> </v>
      </c>
    </row>
    <row r="501" spans="1:11" ht="21.75" customHeight="1">
      <c r="A501" s="5" t="str">
        <f>IF(E501="","",SUBTOTAL(103,$E$6:E501))</f>
        <v/>
      </c>
      <c r="B501" s="6"/>
      <c r="C501" s="6"/>
      <c r="D501" s="6"/>
      <c r="E501" s="2"/>
      <c r="F501" s="2"/>
      <c r="G501" s="2"/>
      <c r="H501" s="2"/>
      <c r="I501" s="2"/>
      <c r="J501" s="1" t="str">
        <f t="shared" si="14"/>
        <v>NO</v>
      </c>
      <c r="K501" s="1" t="str">
        <f t="shared" si="15"/>
        <v xml:space="preserve"> </v>
      </c>
    </row>
    <row r="502" spans="1:11" ht="21.75" customHeight="1">
      <c r="A502" s="5" t="str">
        <f>IF(E502="","",SUBTOTAL(103,$E$6:E502))</f>
        <v/>
      </c>
      <c r="B502" s="6"/>
      <c r="C502" s="6"/>
      <c r="D502" s="6"/>
      <c r="E502" s="2"/>
      <c r="F502" s="2"/>
      <c r="G502" s="2"/>
      <c r="H502" s="2"/>
      <c r="I502" s="2"/>
      <c r="J502" s="1" t="str">
        <f t="shared" si="14"/>
        <v>NO</v>
      </c>
      <c r="K502" s="1" t="str">
        <f t="shared" si="15"/>
        <v xml:space="preserve"> </v>
      </c>
    </row>
    <row r="503" spans="1:11" ht="21.75" customHeight="1">
      <c r="A503" s="5" t="str">
        <f>IF(E503="","",SUBTOTAL(103,$E$6:E503))</f>
        <v/>
      </c>
      <c r="B503" s="6"/>
      <c r="C503" s="6"/>
      <c r="D503" s="6"/>
      <c r="E503" s="2"/>
      <c r="F503" s="2"/>
      <c r="G503" s="2"/>
      <c r="H503" s="2"/>
      <c r="I503" s="2"/>
      <c r="J503" s="1" t="str">
        <f t="shared" si="14"/>
        <v>NO</v>
      </c>
      <c r="K503" s="1" t="str">
        <f t="shared" si="15"/>
        <v xml:space="preserve"> </v>
      </c>
    </row>
    <row r="504" spans="1:11" ht="21.75" customHeight="1">
      <c r="A504" s="5" t="str">
        <f>IF(E504="","",SUBTOTAL(103,$E$6:E504))</f>
        <v/>
      </c>
      <c r="B504" s="6"/>
      <c r="C504" s="6"/>
      <c r="D504" s="6"/>
      <c r="E504" s="2"/>
      <c r="F504" s="2"/>
      <c r="G504" s="2"/>
      <c r="H504" s="2"/>
      <c r="I504" s="2"/>
      <c r="J504" s="1" t="str">
        <f t="shared" si="14"/>
        <v>NO</v>
      </c>
      <c r="K504" s="1" t="str">
        <f t="shared" si="15"/>
        <v xml:space="preserve"> </v>
      </c>
    </row>
    <row r="505" spans="1:11" ht="21.75" customHeight="1">
      <c r="A505" s="5" t="str">
        <f>IF(E505="","",SUBTOTAL(103,$E$6:E505))</f>
        <v/>
      </c>
      <c r="B505" s="6"/>
      <c r="C505" s="6"/>
      <c r="D505" s="6"/>
      <c r="E505" s="2"/>
      <c r="F505" s="2"/>
      <c r="G505" s="2"/>
      <c r="H505" s="2"/>
      <c r="I505" s="2"/>
      <c r="J505" s="1" t="str">
        <f t="shared" si="14"/>
        <v>NO</v>
      </c>
      <c r="K505" s="1" t="str">
        <f t="shared" si="15"/>
        <v xml:space="preserve"> </v>
      </c>
    </row>
    <row r="506" spans="1:11" ht="21.75" customHeight="1">
      <c r="A506" s="5" t="str">
        <f>IF(E506="","",SUBTOTAL(103,$E$6:E506))</f>
        <v/>
      </c>
      <c r="B506" s="6"/>
      <c r="C506" s="6"/>
      <c r="D506" s="6"/>
      <c r="E506" s="2"/>
      <c r="F506" s="2"/>
      <c r="G506" s="2"/>
      <c r="H506" s="2"/>
      <c r="I506" s="2"/>
      <c r="J506" s="1" t="str">
        <f t="shared" si="14"/>
        <v>NO</v>
      </c>
      <c r="K506" s="1" t="str">
        <f t="shared" si="15"/>
        <v xml:space="preserve"> </v>
      </c>
    </row>
    <row r="507" spans="1:11" ht="21.75" customHeight="1">
      <c r="A507" s="5" t="str">
        <f>IF(E507="","",SUBTOTAL(103,$E$6:E507))</f>
        <v/>
      </c>
      <c r="B507" s="6"/>
      <c r="C507" s="6"/>
      <c r="D507" s="6"/>
      <c r="E507" s="2"/>
      <c r="F507" s="2"/>
      <c r="G507" s="2"/>
      <c r="H507" s="2"/>
      <c r="I507" s="2"/>
      <c r="J507" s="1" t="str">
        <f t="shared" si="14"/>
        <v>NO</v>
      </c>
      <c r="K507" s="1" t="str">
        <f t="shared" si="15"/>
        <v xml:space="preserve"> </v>
      </c>
    </row>
    <row r="508" spans="1:11" ht="21.75" customHeight="1">
      <c r="A508" s="5" t="str">
        <f>IF(E508="","",SUBTOTAL(103,$E$6:E508))</f>
        <v/>
      </c>
      <c r="B508" s="6"/>
      <c r="C508" s="6"/>
      <c r="D508" s="6"/>
      <c r="E508" s="2"/>
      <c r="F508" s="2"/>
      <c r="G508" s="2"/>
      <c r="H508" s="2"/>
      <c r="I508" s="2"/>
      <c r="J508" s="1" t="str">
        <f t="shared" si="14"/>
        <v>NO</v>
      </c>
      <c r="K508" s="1" t="str">
        <f t="shared" si="15"/>
        <v xml:space="preserve"> </v>
      </c>
    </row>
    <row r="509" spans="1:11" ht="21.75" customHeight="1">
      <c r="A509" s="5" t="str">
        <f>IF(E509="","",SUBTOTAL(103,$E$6:E509))</f>
        <v/>
      </c>
      <c r="B509" s="6"/>
      <c r="C509" s="6"/>
      <c r="D509" s="6"/>
      <c r="E509" s="2"/>
      <c r="F509" s="2"/>
      <c r="G509" s="2"/>
      <c r="H509" s="2"/>
      <c r="I509" s="2"/>
      <c r="J509" s="1" t="str">
        <f t="shared" si="14"/>
        <v>NO</v>
      </c>
      <c r="K509" s="1" t="str">
        <f t="shared" si="15"/>
        <v xml:space="preserve"> </v>
      </c>
    </row>
    <row r="510" spans="1:11" ht="21.75" customHeight="1">
      <c r="A510" s="5" t="str">
        <f>IF(E510="","",SUBTOTAL(103,$E$6:E510))</f>
        <v/>
      </c>
      <c r="B510" s="6"/>
      <c r="C510" s="6"/>
      <c r="D510" s="6"/>
      <c r="E510" s="2"/>
      <c r="F510" s="2"/>
      <c r="G510" s="2"/>
      <c r="H510" s="2"/>
      <c r="I510" s="2"/>
      <c r="J510" s="1" t="str">
        <f t="shared" si="14"/>
        <v>NO</v>
      </c>
      <c r="K510" s="1" t="str">
        <f t="shared" si="15"/>
        <v xml:space="preserve"> </v>
      </c>
    </row>
    <row r="511" spans="1:11" ht="21.75" customHeight="1">
      <c r="A511" s="5" t="str">
        <f>IF(E511="","",SUBTOTAL(103,$E$6:E511))</f>
        <v/>
      </c>
      <c r="B511" s="6"/>
      <c r="C511" s="6"/>
      <c r="D511" s="6"/>
      <c r="E511" s="2"/>
      <c r="F511" s="2"/>
      <c r="G511" s="2"/>
      <c r="H511" s="2"/>
      <c r="I511" s="2"/>
      <c r="J511" s="1" t="str">
        <f t="shared" si="14"/>
        <v>NO</v>
      </c>
      <c r="K511" s="1" t="str">
        <f t="shared" si="15"/>
        <v xml:space="preserve"> </v>
      </c>
    </row>
    <row r="512" spans="1:11" ht="21.75" customHeight="1">
      <c r="A512" s="5" t="str">
        <f>IF(E512="","",SUBTOTAL(103,$E$6:E512))</f>
        <v/>
      </c>
      <c r="B512" s="6"/>
      <c r="C512" s="6"/>
      <c r="D512" s="6"/>
      <c r="E512" s="2"/>
      <c r="F512" s="2"/>
      <c r="G512" s="2"/>
      <c r="H512" s="2"/>
      <c r="I512" s="2"/>
      <c r="J512" s="1" t="str">
        <f t="shared" si="14"/>
        <v>NO</v>
      </c>
      <c r="K512" s="1" t="str">
        <f t="shared" si="15"/>
        <v xml:space="preserve"> </v>
      </c>
    </row>
    <row r="513" spans="1:11" ht="21.75" customHeight="1">
      <c r="A513" s="5" t="str">
        <f>IF(E513="","",SUBTOTAL(103,$E$6:E513))</f>
        <v/>
      </c>
      <c r="B513" s="6"/>
      <c r="C513" s="6"/>
      <c r="D513" s="6"/>
      <c r="E513" s="2"/>
      <c r="F513" s="2"/>
      <c r="G513" s="2"/>
      <c r="H513" s="2"/>
      <c r="I513" s="2"/>
      <c r="J513" s="1" t="str">
        <f t="shared" ref="J513:J576" si="16">IF(ISERROR(SEARCH("热处理", E513))=FALSE, "XLN", IF(ISERROR(SEARCH("114", E513))=FALSE, "XLN", IF(ISERROR(SEARCH("OM", E513))=FALSE, "NO", IF(ISERROR(SEARCH("试棒毛坯", E513))=FALSE, "XLN", IF(ISERROR(SEARCH("M35", F513))=FALSE, "NO", IF(OR(LEFT(F513, 2)="DN", LEFT(F513, 3)="NPS", ISERROR(SEARCH("LADISH", E513))=FALSE), "XLN", "NO"))))))</f>
        <v>NO</v>
      </c>
      <c r="K513" s="1" t="str">
        <f t="shared" ref="K513:K576" si="17">IF(ISERROR(FIND("304",F513))=FALSE,304,IF(ISERROR(FIND("316",F513))=FALSE,316,IF(ISERROR(FIND("CF8M",F513))=FALSE,316,IF(ISERROR(SEARCH("wcb",F513))=FALSE,"WCB",IF(ISERROR(SEARCH("cd3mn",F513))=FALSE,"CD3MN",IF(ISERROR(SEARCH("CN7M",F513))=FALSE,"CN7M",IF(ISERROR(SEARCH("M35",F513))=FALSE,"M35",IF(ISERROR(SEARCH("CF3M",F513))=FALSE,"CF3M",IF(ISERROR(SEARCH("CD3MWCuN",F513))=FALSE, "CD3MWCuN",  IF(ISERROR(SEARCH("CW12MW",F513))=FALSE, "CW12MW", IF(ISERROR(SEARCH("CF8",F513))=FALSE, 304," ")))))))))))</f>
        <v xml:space="preserve"> </v>
      </c>
    </row>
    <row r="514" spans="1:11" ht="21.75" customHeight="1">
      <c r="A514" s="5" t="str">
        <f>IF(E514="","",SUBTOTAL(103,$E$6:E514))</f>
        <v/>
      </c>
      <c r="B514" s="6"/>
      <c r="C514" s="6"/>
      <c r="D514" s="6"/>
      <c r="E514" s="2"/>
      <c r="F514" s="2"/>
      <c r="G514" s="2"/>
      <c r="H514" s="2"/>
      <c r="I514" s="2"/>
      <c r="J514" s="1" t="str">
        <f t="shared" si="16"/>
        <v>NO</v>
      </c>
      <c r="K514" s="1" t="str">
        <f t="shared" si="17"/>
        <v xml:space="preserve"> </v>
      </c>
    </row>
    <row r="515" spans="1:11" ht="21.75" customHeight="1">
      <c r="A515" s="5" t="str">
        <f>IF(E515="","",SUBTOTAL(103,$E$6:E515))</f>
        <v/>
      </c>
      <c r="B515" s="6"/>
      <c r="C515" s="6"/>
      <c r="D515" s="6"/>
      <c r="E515" s="2"/>
      <c r="F515" s="2"/>
      <c r="G515" s="2"/>
      <c r="H515" s="2"/>
      <c r="I515" s="2"/>
      <c r="J515" s="1" t="str">
        <f t="shared" si="16"/>
        <v>NO</v>
      </c>
      <c r="K515" s="1" t="str">
        <f t="shared" si="17"/>
        <v xml:space="preserve"> </v>
      </c>
    </row>
    <row r="516" spans="1:11" ht="21.75" customHeight="1">
      <c r="A516" s="5" t="str">
        <f>IF(E516="","",SUBTOTAL(103,$E$6:E516))</f>
        <v/>
      </c>
      <c r="B516" s="6"/>
      <c r="C516" s="6"/>
      <c r="D516" s="6"/>
      <c r="E516" s="2"/>
      <c r="F516" s="2"/>
      <c r="G516" s="2"/>
      <c r="H516" s="2"/>
      <c r="I516" s="2"/>
      <c r="J516" s="1" t="str">
        <f t="shared" si="16"/>
        <v>NO</v>
      </c>
      <c r="K516" s="1" t="str">
        <f t="shared" si="17"/>
        <v xml:space="preserve"> </v>
      </c>
    </row>
    <row r="517" spans="1:11" ht="21.75" customHeight="1">
      <c r="A517" s="5" t="str">
        <f>IF(E517="","",SUBTOTAL(103,$E$6:E517))</f>
        <v/>
      </c>
      <c r="B517" s="6"/>
      <c r="C517" s="6"/>
      <c r="D517" s="6"/>
      <c r="E517" s="2"/>
      <c r="F517" s="2"/>
      <c r="G517" s="2"/>
      <c r="H517" s="2"/>
      <c r="I517" s="2"/>
      <c r="J517" s="1" t="str">
        <f t="shared" si="16"/>
        <v>NO</v>
      </c>
      <c r="K517" s="1" t="str">
        <f t="shared" si="17"/>
        <v xml:space="preserve"> </v>
      </c>
    </row>
    <row r="518" spans="1:11" ht="21.75" customHeight="1">
      <c r="A518" s="5" t="str">
        <f>IF(E518="","",SUBTOTAL(103,$E$6:E518))</f>
        <v/>
      </c>
      <c r="B518" s="6"/>
      <c r="C518" s="6"/>
      <c r="D518" s="6"/>
      <c r="E518" s="2"/>
      <c r="F518" s="2"/>
      <c r="G518" s="2"/>
      <c r="H518" s="2"/>
      <c r="I518" s="2"/>
      <c r="J518" s="1" t="str">
        <f t="shared" si="16"/>
        <v>NO</v>
      </c>
      <c r="K518" s="1" t="str">
        <f t="shared" si="17"/>
        <v xml:space="preserve"> </v>
      </c>
    </row>
    <row r="519" spans="1:11" ht="21.75" customHeight="1">
      <c r="A519" s="5" t="str">
        <f>IF(E519="","",SUBTOTAL(103,$E$6:E519))</f>
        <v/>
      </c>
      <c r="B519" s="6"/>
      <c r="C519" s="6"/>
      <c r="D519" s="6"/>
      <c r="E519" s="2"/>
      <c r="F519" s="2"/>
      <c r="G519" s="2"/>
      <c r="H519" s="2"/>
      <c r="I519" s="2"/>
      <c r="J519" s="1" t="str">
        <f t="shared" si="16"/>
        <v>NO</v>
      </c>
      <c r="K519" s="1" t="str">
        <f t="shared" si="17"/>
        <v xml:space="preserve"> </v>
      </c>
    </row>
    <row r="520" spans="1:11" ht="21.75" customHeight="1">
      <c r="A520" s="5" t="str">
        <f>IF(E520="","",SUBTOTAL(103,$E$6:E520))</f>
        <v/>
      </c>
      <c r="B520" s="6"/>
      <c r="C520" s="6"/>
      <c r="D520" s="6"/>
      <c r="E520" s="2"/>
      <c r="F520" s="2"/>
      <c r="G520" s="2"/>
      <c r="H520" s="2"/>
      <c r="I520" s="2"/>
      <c r="J520" s="1" t="str">
        <f t="shared" si="16"/>
        <v>NO</v>
      </c>
      <c r="K520" s="1" t="str">
        <f t="shared" si="17"/>
        <v xml:space="preserve"> </v>
      </c>
    </row>
    <row r="521" spans="1:11" ht="21.75" customHeight="1">
      <c r="A521" s="5" t="str">
        <f>IF(E521="","",SUBTOTAL(103,$E$6:E521))</f>
        <v/>
      </c>
      <c r="B521" s="6"/>
      <c r="C521" s="6"/>
      <c r="D521" s="6"/>
      <c r="E521" s="2"/>
      <c r="F521" s="2"/>
      <c r="G521" s="2"/>
      <c r="H521" s="2"/>
      <c r="I521" s="2"/>
      <c r="J521" s="1" t="str">
        <f t="shared" si="16"/>
        <v>NO</v>
      </c>
      <c r="K521" s="1" t="str">
        <f t="shared" si="17"/>
        <v xml:space="preserve"> </v>
      </c>
    </row>
    <row r="522" spans="1:11" ht="21.75" customHeight="1">
      <c r="A522" s="5" t="str">
        <f>IF(E522="","",SUBTOTAL(103,$E$6:E522))</f>
        <v/>
      </c>
      <c r="B522" s="6"/>
      <c r="C522" s="6"/>
      <c r="D522" s="6"/>
      <c r="E522" s="2"/>
      <c r="F522" s="2"/>
      <c r="G522" s="2"/>
      <c r="H522" s="2"/>
      <c r="I522" s="2"/>
      <c r="J522" s="1" t="str">
        <f t="shared" si="16"/>
        <v>NO</v>
      </c>
      <c r="K522" s="1" t="str">
        <f t="shared" si="17"/>
        <v xml:space="preserve"> </v>
      </c>
    </row>
    <row r="523" spans="1:11" ht="21.75" customHeight="1">
      <c r="A523" s="5" t="str">
        <f>IF(E523="","",SUBTOTAL(103,$E$6:E523))</f>
        <v/>
      </c>
      <c r="B523" s="6"/>
      <c r="C523" s="6"/>
      <c r="D523" s="6"/>
      <c r="E523" s="2"/>
      <c r="F523" s="2"/>
      <c r="G523" s="2"/>
      <c r="H523" s="2"/>
      <c r="I523" s="2"/>
      <c r="J523" s="1" t="str">
        <f t="shared" si="16"/>
        <v>NO</v>
      </c>
      <c r="K523" s="1" t="str">
        <f t="shared" si="17"/>
        <v xml:space="preserve"> </v>
      </c>
    </row>
    <row r="524" spans="1:11" ht="21.75" customHeight="1">
      <c r="A524" s="5" t="str">
        <f>IF(E524="","",SUBTOTAL(103,$E$6:E524))</f>
        <v/>
      </c>
      <c r="B524" s="6"/>
      <c r="C524" s="6"/>
      <c r="D524" s="6"/>
      <c r="E524" s="2"/>
      <c r="F524" s="2"/>
      <c r="G524" s="2"/>
      <c r="H524" s="2"/>
      <c r="I524" s="2"/>
      <c r="J524" s="1" t="str">
        <f t="shared" si="16"/>
        <v>NO</v>
      </c>
      <c r="K524" s="1" t="str">
        <f t="shared" si="17"/>
        <v xml:space="preserve"> </v>
      </c>
    </row>
    <row r="525" spans="1:11" ht="21.75" customHeight="1">
      <c r="A525" s="5" t="str">
        <f>IF(E525="","",SUBTOTAL(103,$E$6:E525))</f>
        <v/>
      </c>
      <c r="B525" s="6"/>
      <c r="C525" s="6"/>
      <c r="D525" s="6"/>
      <c r="E525" s="2"/>
      <c r="F525" s="2"/>
      <c r="G525" s="2"/>
      <c r="H525" s="2"/>
      <c r="I525" s="2"/>
      <c r="J525" s="1" t="str">
        <f t="shared" si="16"/>
        <v>NO</v>
      </c>
      <c r="K525" s="1" t="str">
        <f t="shared" si="17"/>
        <v xml:space="preserve"> </v>
      </c>
    </row>
    <row r="526" spans="1:11" ht="21.75" customHeight="1">
      <c r="A526" s="5" t="str">
        <f>IF(E526="","",SUBTOTAL(103,$E$6:E526))</f>
        <v/>
      </c>
      <c r="B526" s="6"/>
      <c r="C526" s="6"/>
      <c r="D526" s="6"/>
      <c r="E526" s="2"/>
      <c r="F526" s="2"/>
      <c r="G526" s="2"/>
      <c r="H526" s="2"/>
      <c r="I526" s="2"/>
      <c r="J526" s="1" t="str">
        <f t="shared" si="16"/>
        <v>NO</v>
      </c>
      <c r="K526" s="1" t="str">
        <f t="shared" si="17"/>
        <v xml:space="preserve"> </v>
      </c>
    </row>
    <row r="527" spans="1:11" ht="21.75" customHeight="1">
      <c r="A527" s="5" t="str">
        <f>IF(E527="","",SUBTOTAL(103,$E$6:E527))</f>
        <v/>
      </c>
      <c r="B527" s="6"/>
      <c r="C527" s="6"/>
      <c r="D527" s="6"/>
      <c r="E527" s="2"/>
      <c r="F527" s="2"/>
      <c r="G527" s="2"/>
      <c r="H527" s="2"/>
      <c r="I527" s="2"/>
      <c r="J527" s="1" t="str">
        <f t="shared" si="16"/>
        <v>NO</v>
      </c>
      <c r="K527" s="1" t="str">
        <f t="shared" si="17"/>
        <v xml:space="preserve"> </v>
      </c>
    </row>
    <row r="528" spans="1:11" ht="21.75" customHeight="1">
      <c r="A528" s="5" t="str">
        <f>IF(E528="","",SUBTOTAL(103,$E$6:E528))</f>
        <v/>
      </c>
      <c r="B528" s="6"/>
      <c r="C528" s="6"/>
      <c r="D528" s="6"/>
      <c r="E528" s="2"/>
      <c r="F528" s="2"/>
      <c r="G528" s="2"/>
      <c r="H528" s="2"/>
      <c r="I528" s="2"/>
      <c r="J528" s="1" t="str">
        <f t="shared" si="16"/>
        <v>NO</v>
      </c>
      <c r="K528" s="1" t="str">
        <f t="shared" si="17"/>
        <v xml:space="preserve"> </v>
      </c>
    </row>
    <row r="529" spans="1:11" ht="21.75" customHeight="1">
      <c r="A529" s="5" t="str">
        <f>IF(E529="","",SUBTOTAL(103,$E$6:E529))</f>
        <v/>
      </c>
      <c r="B529" s="6"/>
      <c r="C529" s="6"/>
      <c r="D529" s="6"/>
      <c r="E529" s="2"/>
      <c r="F529" s="2"/>
      <c r="G529" s="2"/>
      <c r="H529" s="2"/>
      <c r="I529" s="2"/>
      <c r="J529" s="1" t="str">
        <f t="shared" si="16"/>
        <v>NO</v>
      </c>
      <c r="K529" s="1" t="str">
        <f t="shared" si="17"/>
        <v xml:space="preserve"> </v>
      </c>
    </row>
    <row r="530" spans="1:11" ht="21.75" customHeight="1">
      <c r="A530" s="5" t="str">
        <f>IF(E530="","",SUBTOTAL(103,$E$6:E530))</f>
        <v/>
      </c>
      <c r="B530" s="6"/>
      <c r="C530" s="6"/>
      <c r="D530" s="6"/>
      <c r="E530" s="2"/>
      <c r="F530" s="2"/>
      <c r="G530" s="2"/>
      <c r="H530" s="2"/>
      <c r="I530" s="2"/>
      <c r="J530" s="1" t="str">
        <f t="shared" si="16"/>
        <v>NO</v>
      </c>
      <c r="K530" s="1" t="str">
        <f t="shared" si="17"/>
        <v xml:space="preserve"> </v>
      </c>
    </row>
    <row r="531" spans="1:11" ht="21.75" customHeight="1">
      <c r="A531" s="5" t="str">
        <f>IF(E531="","",SUBTOTAL(103,$E$6:E531))</f>
        <v/>
      </c>
      <c r="B531" s="6"/>
      <c r="C531" s="6"/>
      <c r="D531" s="6"/>
      <c r="E531" s="2"/>
      <c r="F531" s="2"/>
      <c r="G531" s="2"/>
      <c r="H531" s="2"/>
      <c r="I531" s="2"/>
      <c r="J531" s="1" t="str">
        <f t="shared" si="16"/>
        <v>NO</v>
      </c>
      <c r="K531" s="1" t="str">
        <f t="shared" si="17"/>
        <v xml:space="preserve"> </v>
      </c>
    </row>
    <row r="532" spans="1:11" ht="21.75" customHeight="1">
      <c r="A532" s="5" t="str">
        <f>IF(E532="","",SUBTOTAL(103,$E$6:E532))</f>
        <v/>
      </c>
      <c r="B532" s="6"/>
      <c r="C532" s="6"/>
      <c r="D532" s="6"/>
      <c r="E532" s="2"/>
      <c r="F532" s="2"/>
      <c r="G532" s="2"/>
      <c r="H532" s="2"/>
      <c r="I532" s="2"/>
      <c r="J532" s="1" t="str">
        <f t="shared" si="16"/>
        <v>NO</v>
      </c>
      <c r="K532" s="1" t="str">
        <f t="shared" si="17"/>
        <v xml:space="preserve"> </v>
      </c>
    </row>
    <row r="533" spans="1:11" ht="21.75" customHeight="1">
      <c r="A533" s="5" t="str">
        <f>IF(E533="","",SUBTOTAL(103,$E$6:E533))</f>
        <v/>
      </c>
      <c r="B533" s="6"/>
      <c r="C533" s="6"/>
      <c r="D533" s="6"/>
      <c r="E533" s="2"/>
      <c r="F533" s="2"/>
      <c r="G533" s="2"/>
      <c r="H533" s="2"/>
      <c r="I533" s="2"/>
      <c r="J533" s="1" t="str">
        <f t="shared" si="16"/>
        <v>NO</v>
      </c>
      <c r="K533" s="1" t="str">
        <f t="shared" si="17"/>
        <v xml:space="preserve"> </v>
      </c>
    </row>
    <row r="534" spans="1:11" ht="21.75" customHeight="1">
      <c r="A534" s="5" t="str">
        <f>IF(E534="","",SUBTOTAL(103,$E$6:E534))</f>
        <v/>
      </c>
      <c r="B534" s="6"/>
      <c r="C534" s="6"/>
      <c r="D534" s="6"/>
      <c r="E534" s="2"/>
      <c r="F534" s="2"/>
      <c r="G534" s="2"/>
      <c r="H534" s="2"/>
      <c r="I534" s="2"/>
      <c r="J534" s="1" t="str">
        <f t="shared" si="16"/>
        <v>NO</v>
      </c>
      <c r="K534" s="1" t="str">
        <f t="shared" si="17"/>
        <v xml:space="preserve"> </v>
      </c>
    </row>
    <row r="535" spans="1:11" ht="21.75" customHeight="1">
      <c r="A535" s="5" t="str">
        <f>IF(E535="","",SUBTOTAL(103,$E$6:E535))</f>
        <v/>
      </c>
      <c r="B535" s="6"/>
      <c r="C535" s="6"/>
      <c r="D535" s="6"/>
      <c r="E535" s="2"/>
      <c r="F535" s="2"/>
      <c r="G535" s="2"/>
      <c r="H535" s="2"/>
      <c r="I535" s="2"/>
      <c r="J535" s="1" t="str">
        <f t="shared" si="16"/>
        <v>NO</v>
      </c>
      <c r="K535" s="1" t="str">
        <f t="shared" si="17"/>
        <v xml:space="preserve"> </v>
      </c>
    </row>
    <row r="536" spans="1:11" ht="21.75" customHeight="1">
      <c r="A536" s="5" t="str">
        <f>IF(E536="","",SUBTOTAL(103,$E$6:E536))</f>
        <v/>
      </c>
      <c r="B536" s="6"/>
      <c r="C536" s="6"/>
      <c r="D536" s="6"/>
      <c r="E536" s="2"/>
      <c r="F536" s="2"/>
      <c r="G536" s="2"/>
      <c r="H536" s="2"/>
      <c r="I536" s="2"/>
      <c r="J536" s="1" t="str">
        <f t="shared" si="16"/>
        <v>NO</v>
      </c>
      <c r="K536" s="1" t="str">
        <f t="shared" si="17"/>
        <v xml:space="preserve"> </v>
      </c>
    </row>
    <row r="537" spans="1:11" ht="21.75" customHeight="1">
      <c r="A537" s="5" t="str">
        <f>IF(E537="","",SUBTOTAL(103,$E$6:E537))</f>
        <v/>
      </c>
      <c r="B537" s="6"/>
      <c r="C537" s="6"/>
      <c r="D537" s="6"/>
      <c r="E537" s="2"/>
      <c r="F537" s="2"/>
      <c r="G537" s="2"/>
      <c r="H537" s="2"/>
      <c r="I537" s="2"/>
      <c r="J537" s="1" t="str">
        <f t="shared" si="16"/>
        <v>NO</v>
      </c>
      <c r="K537" s="1" t="str">
        <f t="shared" si="17"/>
        <v xml:space="preserve"> </v>
      </c>
    </row>
    <row r="538" spans="1:11" ht="21.75" customHeight="1">
      <c r="A538" s="5" t="str">
        <f>IF(E538="","",SUBTOTAL(103,$E$6:E538))</f>
        <v/>
      </c>
      <c r="B538" s="6"/>
      <c r="C538" s="6"/>
      <c r="D538" s="6"/>
      <c r="E538" s="2"/>
      <c r="F538" s="2"/>
      <c r="G538" s="2"/>
      <c r="H538" s="2"/>
      <c r="I538" s="2"/>
      <c r="J538" s="1" t="str">
        <f t="shared" si="16"/>
        <v>NO</v>
      </c>
      <c r="K538" s="1" t="str">
        <f t="shared" si="17"/>
        <v xml:space="preserve"> </v>
      </c>
    </row>
    <row r="539" spans="1:11" ht="21.75" customHeight="1">
      <c r="A539" s="5" t="str">
        <f>IF(E539="","",SUBTOTAL(103,$E$6:E539))</f>
        <v/>
      </c>
      <c r="B539" s="6"/>
      <c r="C539" s="6"/>
      <c r="D539" s="6"/>
      <c r="E539" s="2"/>
      <c r="F539" s="2"/>
      <c r="G539" s="2"/>
      <c r="H539" s="2"/>
      <c r="I539" s="2"/>
      <c r="J539" s="1" t="str">
        <f t="shared" si="16"/>
        <v>NO</v>
      </c>
      <c r="K539" s="1" t="str">
        <f t="shared" si="17"/>
        <v xml:space="preserve"> </v>
      </c>
    </row>
    <row r="540" spans="1:11" ht="21.75" customHeight="1">
      <c r="A540" s="5" t="str">
        <f>IF(E540="","",SUBTOTAL(103,$E$6:E540))</f>
        <v/>
      </c>
      <c r="B540" s="6"/>
      <c r="C540" s="6"/>
      <c r="D540" s="6"/>
      <c r="E540" s="2"/>
      <c r="F540" s="2"/>
      <c r="G540" s="2"/>
      <c r="H540" s="2"/>
      <c r="I540" s="2"/>
      <c r="J540" s="1" t="str">
        <f t="shared" si="16"/>
        <v>NO</v>
      </c>
      <c r="K540" s="1" t="str">
        <f t="shared" si="17"/>
        <v xml:space="preserve"> </v>
      </c>
    </row>
    <row r="541" spans="1:11" ht="21.75" customHeight="1">
      <c r="A541" s="5" t="str">
        <f>IF(E541="","",SUBTOTAL(103,$E$6:E541))</f>
        <v/>
      </c>
      <c r="B541" s="6"/>
      <c r="C541" s="6"/>
      <c r="D541" s="6"/>
      <c r="E541" s="2"/>
      <c r="F541" s="2"/>
      <c r="G541" s="2"/>
      <c r="H541" s="2"/>
      <c r="I541" s="2"/>
      <c r="J541" s="1" t="str">
        <f t="shared" si="16"/>
        <v>NO</v>
      </c>
      <c r="K541" s="1" t="str">
        <f t="shared" si="17"/>
        <v xml:space="preserve"> </v>
      </c>
    </row>
    <row r="542" spans="1:11" ht="21.75" customHeight="1">
      <c r="A542" s="5" t="str">
        <f>IF(E542="","",SUBTOTAL(103,$E$6:E542))</f>
        <v/>
      </c>
      <c r="B542" s="6"/>
      <c r="C542" s="6"/>
      <c r="D542" s="6"/>
      <c r="E542" s="2"/>
      <c r="F542" s="2"/>
      <c r="G542" s="2"/>
      <c r="H542" s="2"/>
      <c r="I542" s="2"/>
      <c r="J542" s="1" t="str">
        <f t="shared" si="16"/>
        <v>NO</v>
      </c>
      <c r="K542" s="1" t="str">
        <f t="shared" si="17"/>
        <v xml:space="preserve"> </v>
      </c>
    </row>
    <row r="543" spans="1:11" ht="21.75" customHeight="1">
      <c r="A543" s="5" t="str">
        <f>IF(E543="","",SUBTOTAL(103,$E$6:E543))</f>
        <v/>
      </c>
      <c r="B543" s="6"/>
      <c r="C543" s="6"/>
      <c r="D543" s="6"/>
      <c r="E543" s="2"/>
      <c r="F543" s="2"/>
      <c r="G543" s="2"/>
      <c r="H543" s="2"/>
      <c r="I543" s="2"/>
      <c r="J543" s="1" t="str">
        <f t="shared" si="16"/>
        <v>NO</v>
      </c>
      <c r="K543" s="1" t="str">
        <f t="shared" si="17"/>
        <v xml:space="preserve"> </v>
      </c>
    </row>
    <row r="544" spans="1:11" ht="21.75" customHeight="1">
      <c r="A544" s="5" t="str">
        <f>IF(E544="","",SUBTOTAL(103,$E$6:E544))</f>
        <v/>
      </c>
      <c r="B544" s="6"/>
      <c r="C544" s="6"/>
      <c r="D544" s="6"/>
      <c r="E544" s="2"/>
      <c r="F544" s="2"/>
      <c r="G544" s="2"/>
      <c r="H544" s="2"/>
      <c r="I544" s="2"/>
      <c r="J544" s="1" t="str">
        <f t="shared" si="16"/>
        <v>NO</v>
      </c>
      <c r="K544" s="1" t="str">
        <f t="shared" si="17"/>
        <v xml:space="preserve"> </v>
      </c>
    </row>
    <row r="545" spans="1:11" ht="21.75" customHeight="1">
      <c r="A545" s="5" t="str">
        <f>IF(E545="","",SUBTOTAL(103,$E$6:E545))</f>
        <v/>
      </c>
      <c r="B545" s="6"/>
      <c r="C545" s="6"/>
      <c r="D545" s="6"/>
      <c r="E545" s="2"/>
      <c r="F545" s="2"/>
      <c r="G545" s="2"/>
      <c r="H545" s="2"/>
      <c r="I545" s="2"/>
      <c r="J545" s="1" t="str">
        <f t="shared" si="16"/>
        <v>NO</v>
      </c>
      <c r="K545" s="1" t="str">
        <f t="shared" si="17"/>
        <v xml:space="preserve"> </v>
      </c>
    </row>
    <row r="546" spans="1:11" ht="21.75" customHeight="1">
      <c r="A546" s="5" t="str">
        <f>IF(E546="","",SUBTOTAL(103,$E$6:E546))</f>
        <v/>
      </c>
      <c r="B546" s="6"/>
      <c r="C546" s="6"/>
      <c r="D546" s="6"/>
      <c r="E546" s="2"/>
      <c r="F546" s="2"/>
      <c r="G546" s="2"/>
      <c r="H546" s="2"/>
      <c r="I546" s="2"/>
      <c r="J546" s="1" t="str">
        <f t="shared" si="16"/>
        <v>NO</v>
      </c>
      <c r="K546" s="1" t="str">
        <f t="shared" si="17"/>
        <v xml:space="preserve"> </v>
      </c>
    </row>
    <row r="547" spans="1:11" ht="21.75" customHeight="1">
      <c r="A547" s="5" t="str">
        <f>IF(E547="","",SUBTOTAL(103,$E$6:E547))</f>
        <v/>
      </c>
      <c r="B547" s="6"/>
      <c r="C547" s="6"/>
      <c r="D547" s="6"/>
      <c r="E547" s="2"/>
      <c r="F547" s="2"/>
      <c r="G547" s="2"/>
      <c r="H547" s="2"/>
      <c r="I547" s="2"/>
      <c r="J547" s="1" t="str">
        <f t="shared" si="16"/>
        <v>NO</v>
      </c>
      <c r="K547" s="1" t="str">
        <f t="shared" si="17"/>
        <v xml:space="preserve"> </v>
      </c>
    </row>
    <row r="548" spans="1:11" ht="21.75" customHeight="1">
      <c r="A548" s="5" t="str">
        <f>IF(E548="","",SUBTOTAL(103,$E$6:E548))</f>
        <v/>
      </c>
      <c r="B548" s="6"/>
      <c r="C548" s="6"/>
      <c r="D548" s="6"/>
      <c r="E548" s="2"/>
      <c r="F548" s="2"/>
      <c r="G548" s="2"/>
      <c r="H548" s="2"/>
      <c r="I548" s="2"/>
      <c r="J548" s="1" t="str">
        <f t="shared" si="16"/>
        <v>NO</v>
      </c>
      <c r="K548" s="1" t="str">
        <f t="shared" si="17"/>
        <v xml:space="preserve"> </v>
      </c>
    </row>
    <row r="549" spans="1:11" ht="21.75" customHeight="1">
      <c r="A549" s="5" t="str">
        <f>IF(E549="","",SUBTOTAL(103,$E$6:E549))</f>
        <v/>
      </c>
      <c r="B549" s="6"/>
      <c r="C549" s="6"/>
      <c r="D549" s="6"/>
      <c r="E549" s="2"/>
      <c r="F549" s="2"/>
      <c r="G549" s="2"/>
      <c r="H549" s="2"/>
      <c r="I549" s="2"/>
      <c r="J549" s="1" t="str">
        <f t="shared" si="16"/>
        <v>NO</v>
      </c>
      <c r="K549" s="1" t="str">
        <f t="shared" si="17"/>
        <v xml:space="preserve"> </v>
      </c>
    </row>
    <row r="550" spans="1:11" ht="21.75" customHeight="1">
      <c r="A550" s="5" t="str">
        <f>IF(E550="","",SUBTOTAL(103,$E$6:E550))</f>
        <v/>
      </c>
      <c r="B550" s="6"/>
      <c r="C550" s="6"/>
      <c r="D550" s="6"/>
      <c r="E550" s="2"/>
      <c r="F550" s="2"/>
      <c r="G550" s="2"/>
      <c r="H550" s="2"/>
      <c r="I550" s="2"/>
      <c r="J550" s="1" t="str">
        <f t="shared" si="16"/>
        <v>NO</v>
      </c>
      <c r="K550" s="1" t="str">
        <f t="shared" si="17"/>
        <v xml:space="preserve"> </v>
      </c>
    </row>
    <row r="551" spans="1:11" ht="21.75" customHeight="1">
      <c r="A551" s="5" t="str">
        <f>IF(E551="","",SUBTOTAL(103,$E$6:E551))</f>
        <v/>
      </c>
      <c r="B551" s="6"/>
      <c r="C551" s="6"/>
      <c r="D551" s="6"/>
      <c r="E551" s="2"/>
      <c r="F551" s="2"/>
      <c r="G551" s="2"/>
      <c r="H551" s="2"/>
      <c r="I551" s="2"/>
      <c r="J551" s="1" t="str">
        <f t="shared" si="16"/>
        <v>NO</v>
      </c>
      <c r="K551" s="1" t="str">
        <f t="shared" si="17"/>
        <v xml:space="preserve"> </v>
      </c>
    </row>
    <row r="552" spans="1:11" ht="21.75" customHeight="1">
      <c r="A552" s="5" t="str">
        <f>IF(E552="","",SUBTOTAL(103,$E$6:E552))</f>
        <v/>
      </c>
      <c r="B552" s="6"/>
      <c r="C552" s="6"/>
      <c r="D552" s="6"/>
      <c r="E552" s="2"/>
      <c r="F552" s="2"/>
      <c r="G552" s="2"/>
      <c r="H552" s="2"/>
      <c r="I552" s="2"/>
      <c r="J552" s="1" t="str">
        <f t="shared" si="16"/>
        <v>NO</v>
      </c>
      <c r="K552" s="1" t="str">
        <f t="shared" si="17"/>
        <v xml:space="preserve"> </v>
      </c>
    </row>
    <row r="553" spans="1:11" ht="21.75" customHeight="1">
      <c r="A553" s="5" t="str">
        <f>IF(E553="","",SUBTOTAL(103,$E$6:E553))</f>
        <v/>
      </c>
      <c r="B553" s="6"/>
      <c r="C553" s="6"/>
      <c r="D553" s="6"/>
      <c r="E553" s="2"/>
      <c r="F553" s="2"/>
      <c r="G553" s="2"/>
      <c r="H553" s="2"/>
      <c r="I553" s="2"/>
      <c r="J553" s="1" t="str">
        <f t="shared" si="16"/>
        <v>NO</v>
      </c>
      <c r="K553" s="1" t="str">
        <f t="shared" si="17"/>
        <v xml:space="preserve"> </v>
      </c>
    </row>
    <row r="554" spans="1:11" ht="21.75" customHeight="1">
      <c r="A554" s="5" t="str">
        <f>IF(E554="","",SUBTOTAL(103,$E$6:E554))</f>
        <v/>
      </c>
      <c r="B554" s="6"/>
      <c r="C554" s="6"/>
      <c r="D554" s="6"/>
      <c r="E554" s="2"/>
      <c r="F554" s="2"/>
      <c r="G554" s="2"/>
      <c r="H554" s="2"/>
      <c r="I554" s="2"/>
      <c r="J554" s="1" t="str">
        <f t="shared" si="16"/>
        <v>NO</v>
      </c>
      <c r="K554" s="1" t="str">
        <f t="shared" si="17"/>
        <v xml:space="preserve"> </v>
      </c>
    </row>
    <row r="555" spans="1:11" ht="21.75" customHeight="1">
      <c r="A555" s="5" t="str">
        <f>IF(E555="","",SUBTOTAL(103,$E$6:E555))</f>
        <v/>
      </c>
      <c r="B555" s="6"/>
      <c r="C555" s="6"/>
      <c r="D555" s="6"/>
      <c r="E555" s="2"/>
      <c r="F555" s="2"/>
      <c r="G555" s="2"/>
      <c r="H555" s="2"/>
      <c r="I555" s="2"/>
      <c r="J555" s="1" t="str">
        <f t="shared" si="16"/>
        <v>NO</v>
      </c>
      <c r="K555" s="1" t="str">
        <f t="shared" si="17"/>
        <v xml:space="preserve"> </v>
      </c>
    </row>
    <row r="556" spans="1:11" ht="21.75" customHeight="1">
      <c r="A556" s="5" t="str">
        <f>IF(E556="","",SUBTOTAL(103,$E$6:E556))</f>
        <v/>
      </c>
      <c r="B556" s="6"/>
      <c r="C556" s="6"/>
      <c r="D556" s="6"/>
      <c r="E556" s="2"/>
      <c r="F556" s="2"/>
      <c r="G556" s="2"/>
      <c r="H556" s="2"/>
      <c r="I556" s="2"/>
      <c r="J556" s="1" t="str">
        <f t="shared" si="16"/>
        <v>NO</v>
      </c>
      <c r="K556" s="1" t="str">
        <f t="shared" si="17"/>
        <v xml:space="preserve"> </v>
      </c>
    </row>
    <row r="557" spans="1:11" ht="21.75" customHeight="1">
      <c r="A557" s="5" t="str">
        <f>IF(E557="","",SUBTOTAL(103,$E$6:E557))</f>
        <v/>
      </c>
      <c r="B557" s="6"/>
      <c r="C557" s="6"/>
      <c r="D557" s="6"/>
      <c r="E557" s="2"/>
      <c r="F557" s="2"/>
      <c r="G557" s="2"/>
      <c r="H557" s="2"/>
      <c r="I557" s="2"/>
      <c r="J557" s="1" t="str">
        <f t="shared" si="16"/>
        <v>NO</v>
      </c>
      <c r="K557" s="1" t="str">
        <f t="shared" si="17"/>
        <v xml:space="preserve"> </v>
      </c>
    </row>
    <row r="558" spans="1:11" ht="21.75" customHeight="1">
      <c r="A558" s="5" t="str">
        <f>IF(E558="","",SUBTOTAL(103,$E$6:E558))</f>
        <v/>
      </c>
      <c r="B558" s="6"/>
      <c r="C558" s="6"/>
      <c r="D558" s="6"/>
      <c r="E558" s="2"/>
      <c r="F558" s="2"/>
      <c r="G558" s="2"/>
      <c r="H558" s="2"/>
      <c r="I558" s="2"/>
      <c r="J558" s="1" t="str">
        <f t="shared" si="16"/>
        <v>NO</v>
      </c>
      <c r="K558" s="1" t="str">
        <f t="shared" si="17"/>
        <v xml:space="preserve"> </v>
      </c>
    </row>
    <row r="559" spans="1:11" ht="21.75" customHeight="1">
      <c r="A559" s="5" t="str">
        <f>IF(E559="","",SUBTOTAL(103,$E$6:E559))</f>
        <v/>
      </c>
      <c r="B559" s="6"/>
      <c r="C559" s="6"/>
      <c r="D559" s="6"/>
      <c r="E559" s="2"/>
      <c r="F559" s="2"/>
      <c r="G559" s="2"/>
      <c r="H559" s="2"/>
      <c r="I559" s="2"/>
      <c r="J559" s="1" t="str">
        <f t="shared" si="16"/>
        <v>NO</v>
      </c>
      <c r="K559" s="1" t="str">
        <f t="shared" si="17"/>
        <v xml:space="preserve"> </v>
      </c>
    </row>
    <row r="560" spans="1:11" ht="21.75" customHeight="1">
      <c r="A560" s="5" t="str">
        <f>IF(E560="","",SUBTOTAL(103,$E$6:E560))</f>
        <v/>
      </c>
      <c r="B560" s="6"/>
      <c r="C560" s="6"/>
      <c r="D560" s="6"/>
      <c r="E560" s="2"/>
      <c r="F560" s="2"/>
      <c r="G560" s="2"/>
      <c r="H560" s="2"/>
      <c r="I560" s="2"/>
      <c r="J560" s="1" t="str">
        <f t="shared" si="16"/>
        <v>NO</v>
      </c>
      <c r="K560" s="1" t="str">
        <f t="shared" si="17"/>
        <v xml:space="preserve"> </v>
      </c>
    </row>
    <row r="561" spans="1:11" ht="21.75" customHeight="1">
      <c r="A561" s="5" t="str">
        <f>IF(E561="","",SUBTOTAL(103,$E$6:E561))</f>
        <v/>
      </c>
      <c r="B561" s="6"/>
      <c r="C561" s="6"/>
      <c r="D561" s="6"/>
      <c r="E561" s="2"/>
      <c r="F561" s="2"/>
      <c r="G561" s="2"/>
      <c r="H561" s="2"/>
      <c r="I561" s="2"/>
      <c r="J561" s="1" t="str">
        <f t="shared" si="16"/>
        <v>NO</v>
      </c>
      <c r="K561" s="1" t="str">
        <f t="shared" si="17"/>
        <v xml:space="preserve"> </v>
      </c>
    </row>
    <row r="562" spans="1:11" ht="21.75" customHeight="1">
      <c r="A562" s="5" t="str">
        <f>IF(E562="","",SUBTOTAL(103,$E$6:E562))</f>
        <v/>
      </c>
      <c r="B562" s="6"/>
      <c r="C562" s="6"/>
      <c r="D562" s="6"/>
      <c r="E562" s="2"/>
      <c r="F562" s="2"/>
      <c r="G562" s="2"/>
      <c r="H562" s="2"/>
      <c r="I562" s="2"/>
      <c r="J562" s="1" t="str">
        <f t="shared" si="16"/>
        <v>NO</v>
      </c>
      <c r="K562" s="1" t="str">
        <f t="shared" si="17"/>
        <v xml:space="preserve"> </v>
      </c>
    </row>
    <row r="563" spans="1:11" ht="21.75" customHeight="1">
      <c r="A563" s="5" t="str">
        <f>IF(E563="","",SUBTOTAL(103,$E$6:E563))</f>
        <v/>
      </c>
      <c r="B563" s="6"/>
      <c r="C563" s="6"/>
      <c r="D563" s="6"/>
      <c r="E563" s="2"/>
      <c r="F563" s="2"/>
      <c r="G563" s="2"/>
      <c r="H563" s="2"/>
      <c r="I563" s="2"/>
      <c r="J563" s="1" t="str">
        <f t="shared" si="16"/>
        <v>NO</v>
      </c>
      <c r="K563" s="1" t="str">
        <f t="shared" si="17"/>
        <v xml:space="preserve"> </v>
      </c>
    </row>
    <row r="564" spans="1:11" ht="21.75" customHeight="1">
      <c r="A564" s="5" t="str">
        <f>IF(E564="","",SUBTOTAL(103,$E$6:E564))</f>
        <v/>
      </c>
      <c r="B564" s="6"/>
      <c r="C564" s="6"/>
      <c r="D564" s="6"/>
      <c r="E564" s="2"/>
      <c r="F564" s="2"/>
      <c r="G564" s="2"/>
      <c r="H564" s="2"/>
      <c r="I564" s="2"/>
      <c r="J564" s="1" t="str">
        <f t="shared" si="16"/>
        <v>NO</v>
      </c>
      <c r="K564" s="1" t="str">
        <f t="shared" si="17"/>
        <v xml:space="preserve"> </v>
      </c>
    </row>
    <row r="565" spans="1:11" ht="21.75" customHeight="1">
      <c r="A565" s="5" t="str">
        <f>IF(E565="","",SUBTOTAL(103,$E$6:E565))</f>
        <v/>
      </c>
      <c r="B565" s="6"/>
      <c r="C565" s="6"/>
      <c r="D565" s="6"/>
      <c r="E565" s="2"/>
      <c r="F565" s="2"/>
      <c r="G565" s="2"/>
      <c r="H565" s="2"/>
      <c r="I565" s="2"/>
      <c r="J565" s="1" t="str">
        <f t="shared" si="16"/>
        <v>NO</v>
      </c>
      <c r="K565" s="1" t="str">
        <f t="shared" si="17"/>
        <v xml:space="preserve"> </v>
      </c>
    </row>
    <row r="566" spans="1:11" ht="21.75" customHeight="1">
      <c r="A566" s="5" t="str">
        <f>IF(E566="","",SUBTOTAL(103,$E$6:E566))</f>
        <v/>
      </c>
      <c r="B566" s="6"/>
      <c r="C566" s="6"/>
      <c r="D566" s="6"/>
      <c r="E566" s="2"/>
      <c r="F566" s="2"/>
      <c r="G566" s="2"/>
      <c r="H566" s="2"/>
      <c r="I566" s="2"/>
      <c r="J566" s="1" t="str">
        <f t="shared" si="16"/>
        <v>NO</v>
      </c>
      <c r="K566" s="1" t="str">
        <f t="shared" si="17"/>
        <v xml:space="preserve"> </v>
      </c>
    </row>
    <row r="567" spans="1:11" ht="21.75" customHeight="1">
      <c r="A567" s="5" t="str">
        <f>IF(E567="","",SUBTOTAL(103,$E$6:E567))</f>
        <v/>
      </c>
      <c r="B567" s="6"/>
      <c r="C567" s="6"/>
      <c r="D567" s="6"/>
      <c r="E567" s="2"/>
      <c r="F567" s="2"/>
      <c r="G567" s="2"/>
      <c r="H567" s="2"/>
      <c r="I567" s="2"/>
      <c r="J567" s="1" t="str">
        <f t="shared" si="16"/>
        <v>NO</v>
      </c>
      <c r="K567" s="1" t="str">
        <f t="shared" si="17"/>
        <v xml:space="preserve"> </v>
      </c>
    </row>
    <row r="568" spans="1:11" ht="21.75" customHeight="1">
      <c r="A568" s="5" t="str">
        <f>IF(E568="","",SUBTOTAL(103,$E$6:E568))</f>
        <v/>
      </c>
      <c r="B568" s="6"/>
      <c r="C568" s="6"/>
      <c r="D568" s="6"/>
      <c r="E568" s="2"/>
      <c r="F568" s="2"/>
      <c r="G568" s="2"/>
      <c r="H568" s="2"/>
      <c r="I568" s="2"/>
      <c r="J568" s="1" t="str">
        <f t="shared" si="16"/>
        <v>NO</v>
      </c>
      <c r="K568" s="1" t="str">
        <f t="shared" si="17"/>
        <v xml:space="preserve"> </v>
      </c>
    </row>
    <row r="569" spans="1:11" ht="21.75" customHeight="1">
      <c r="A569" s="5" t="str">
        <f>IF(E569="","",SUBTOTAL(103,$E$6:E569))</f>
        <v/>
      </c>
      <c r="B569" s="6"/>
      <c r="C569" s="6"/>
      <c r="D569" s="6"/>
      <c r="E569" s="2"/>
      <c r="F569" s="2"/>
      <c r="G569" s="2"/>
      <c r="H569" s="2"/>
      <c r="I569" s="2"/>
      <c r="J569" s="1" t="str">
        <f t="shared" si="16"/>
        <v>NO</v>
      </c>
      <c r="K569" s="1" t="str">
        <f t="shared" si="17"/>
        <v xml:space="preserve"> </v>
      </c>
    </row>
    <row r="570" spans="1:11" ht="21.75" customHeight="1">
      <c r="A570" s="5" t="str">
        <f>IF(E570="","",SUBTOTAL(103,$E$6:E570))</f>
        <v/>
      </c>
      <c r="B570" s="6"/>
      <c r="C570" s="6"/>
      <c r="D570" s="6"/>
      <c r="E570" s="2"/>
      <c r="F570" s="2"/>
      <c r="G570" s="2"/>
      <c r="H570" s="2"/>
      <c r="I570" s="2"/>
      <c r="J570" s="1" t="str">
        <f t="shared" si="16"/>
        <v>NO</v>
      </c>
      <c r="K570" s="1" t="str">
        <f t="shared" si="17"/>
        <v xml:space="preserve"> </v>
      </c>
    </row>
    <row r="571" spans="1:11" ht="21.75" customHeight="1">
      <c r="A571" s="5" t="str">
        <f>IF(E571="","",SUBTOTAL(103,$E$6:E571))</f>
        <v/>
      </c>
      <c r="B571" s="6"/>
      <c r="C571" s="6"/>
      <c r="D571" s="6"/>
      <c r="E571" s="2"/>
      <c r="F571" s="2"/>
      <c r="G571" s="2"/>
      <c r="H571" s="2"/>
      <c r="I571" s="2"/>
      <c r="J571" s="1" t="str">
        <f t="shared" si="16"/>
        <v>NO</v>
      </c>
      <c r="K571" s="1" t="str">
        <f t="shared" si="17"/>
        <v xml:space="preserve"> </v>
      </c>
    </row>
    <row r="572" spans="1:11" ht="21.75" customHeight="1">
      <c r="A572" s="5" t="str">
        <f>IF(E572="","",SUBTOTAL(103,$E$6:E572))</f>
        <v/>
      </c>
      <c r="B572" s="6"/>
      <c r="C572" s="6"/>
      <c r="D572" s="6"/>
      <c r="E572" s="2"/>
      <c r="F572" s="2"/>
      <c r="G572" s="2"/>
      <c r="H572" s="2"/>
      <c r="I572" s="2"/>
      <c r="J572" s="1" t="str">
        <f t="shared" si="16"/>
        <v>NO</v>
      </c>
      <c r="K572" s="1" t="str">
        <f t="shared" si="17"/>
        <v xml:space="preserve"> </v>
      </c>
    </row>
    <row r="573" spans="1:11" ht="21.75" customHeight="1">
      <c r="A573" s="5" t="str">
        <f>IF(E573="","",SUBTOTAL(103,$E$6:E573))</f>
        <v/>
      </c>
      <c r="B573" s="6"/>
      <c r="C573" s="6"/>
      <c r="D573" s="6"/>
      <c r="E573" s="2"/>
      <c r="F573" s="2"/>
      <c r="G573" s="2"/>
      <c r="H573" s="2"/>
      <c r="I573" s="2"/>
      <c r="J573" s="1" t="str">
        <f t="shared" si="16"/>
        <v>NO</v>
      </c>
      <c r="K573" s="1" t="str">
        <f t="shared" si="17"/>
        <v xml:space="preserve"> </v>
      </c>
    </row>
    <row r="574" spans="1:11" ht="21.75" customHeight="1">
      <c r="A574" s="5" t="str">
        <f>IF(E574="","",SUBTOTAL(103,$E$6:E574))</f>
        <v/>
      </c>
      <c r="B574" s="6"/>
      <c r="C574" s="6"/>
      <c r="D574" s="6"/>
      <c r="E574" s="2"/>
      <c r="F574" s="2"/>
      <c r="G574" s="2"/>
      <c r="H574" s="2"/>
      <c r="I574" s="2"/>
      <c r="J574" s="1" t="str">
        <f t="shared" si="16"/>
        <v>NO</v>
      </c>
      <c r="K574" s="1" t="str">
        <f t="shared" si="17"/>
        <v xml:space="preserve"> </v>
      </c>
    </row>
    <row r="575" spans="1:11" ht="21.75" customHeight="1">
      <c r="A575" s="5" t="str">
        <f>IF(E575="","",SUBTOTAL(103,$E$6:E575))</f>
        <v/>
      </c>
      <c r="B575" s="6"/>
      <c r="C575" s="6"/>
      <c r="D575" s="6"/>
      <c r="E575" s="2"/>
      <c r="F575" s="2"/>
      <c r="G575" s="2"/>
      <c r="H575" s="2"/>
      <c r="I575" s="2"/>
      <c r="J575" s="1" t="str">
        <f t="shared" si="16"/>
        <v>NO</v>
      </c>
      <c r="K575" s="1" t="str">
        <f t="shared" si="17"/>
        <v xml:space="preserve"> </v>
      </c>
    </row>
    <row r="576" spans="1:11" ht="21.75" customHeight="1">
      <c r="A576" s="5" t="str">
        <f>IF(E576="","",SUBTOTAL(103,$E$6:E576))</f>
        <v/>
      </c>
      <c r="B576" s="6"/>
      <c r="C576" s="6"/>
      <c r="D576" s="6"/>
      <c r="E576" s="2"/>
      <c r="F576" s="2"/>
      <c r="G576" s="2"/>
      <c r="H576" s="2"/>
      <c r="I576" s="2"/>
      <c r="J576" s="1" t="str">
        <f t="shared" si="16"/>
        <v>NO</v>
      </c>
      <c r="K576" s="1" t="str">
        <f t="shared" si="17"/>
        <v xml:space="preserve"> </v>
      </c>
    </row>
    <row r="577" spans="1:11" ht="21.75" customHeight="1">
      <c r="A577" s="5" t="str">
        <f>IF(E577="","",SUBTOTAL(103,$E$6:E577))</f>
        <v/>
      </c>
      <c r="B577" s="6"/>
      <c r="C577" s="6"/>
      <c r="D577" s="6"/>
      <c r="E577" s="2"/>
      <c r="F577" s="2"/>
      <c r="G577" s="2"/>
      <c r="H577" s="2"/>
      <c r="I577" s="2"/>
      <c r="J577" s="1" t="str">
        <f t="shared" ref="J577:J614" si="18">IF(ISERROR(SEARCH("热处理", E577))=FALSE, "XLN", IF(ISERROR(SEARCH("114", E577))=FALSE, "XLN", IF(ISERROR(SEARCH("OM", E577))=FALSE, "NO", IF(ISERROR(SEARCH("试棒毛坯", E577))=FALSE, "XLN", IF(ISERROR(SEARCH("M35", F577))=FALSE, "NO", IF(OR(LEFT(F577, 2)="DN", LEFT(F577, 3)="NPS", ISERROR(SEARCH("LADISH", E577))=FALSE), "XLN", "NO"))))))</f>
        <v>NO</v>
      </c>
      <c r="K577" s="1" t="str">
        <f t="shared" ref="K577:K614" si="19">IF(ISERROR(FIND("304",F577))=FALSE,304,IF(ISERROR(FIND("316",F577))=FALSE,316,IF(ISERROR(FIND("CF8M",F577))=FALSE,316,IF(ISERROR(SEARCH("wcb",F577))=FALSE,"WCB",IF(ISERROR(SEARCH("cd3mn",F577))=FALSE,"CD3MN",IF(ISERROR(SEARCH("CN7M",F577))=FALSE,"CN7M",IF(ISERROR(SEARCH("M35",F577))=FALSE,"M35",IF(ISERROR(SEARCH("CF3M",F577))=FALSE,"CF3M",IF(ISERROR(SEARCH("CD3MWCuN",F577))=FALSE, "CD3MWCuN",  IF(ISERROR(SEARCH("CW12MW",F577))=FALSE, "CW12MW", IF(ISERROR(SEARCH("CF8",F577))=FALSE, 304," ")))))))))))</f>
        <v xml:space="preserve"> </v>
      </c>
    </row>
    <row r="578" spans="1:11" ht="21.75" customHeight="1">
      <c r="A578" s="5" t="str">
        <f>IF(E578="","",SUBTOTAL(103,$E$6:E578))</f>
        <v/>
      </c>
      <c r="B578" s="6"/>
      <c r="C578" s="6"/>
      <c r="D578" s="6"/>
      <c r="E578" s="2"/>
      <c r="F578" s="2"/>
      <c r="G578" s="2"/>
      <c r="H578" s="2"/>
      <c r="I578" s="2"/>
      <c r="J578" s="1" t="str">
        <f t="shared" si="18"/>
        <v>NO</v>
      </c>
      <c r="K578" s="1" t="str">
        <f t="shared" si="19"/>
        <v xml:space="preserve"> </v>
      </c>
    </row>
    <row r="579" spans="1:11" ht="21.75" customHeight="1">
      <c r="A579" s="5" t="str">
        <f>IF(E579="","",SUBTOTAL(103,$E$6:E579))</f>
        <v/>
      </c>
      <c r="B579" s="6"/>
      <c r="C579" s="6"/>
      <c r="D579" s="6"/>
      <c r="E579" s="2"/>
      <c r="F579" s="2"/>
      <c r="G579" s="2"/>
      <c r="H579" s="2"/>
      <c r="I579" s="2"/>
      <c r="J579" s="1" t="str">
        <f t="shared" si="18"/>
        <v>NO</v>
      </c>
      <c r="K579" s="1" t="str">
        <f t="shared" si="19"/>
        <v xml:space="preserve"> </v>
      </c>
    </row>
    <row r="580" spans="1:11" ht="21.75" customHeight="1">
      <c r="A580" s="5" t="str">
        <f>IF(E580="","",SUBTOTAL(103,$E$6:E580))</f>
        <v/>
      </c>
      <c r="B580" s="6"/>
      <c r="C580" s="6"/>
      <c r="D580" s="6"/>
      <c r="E580" s="2"/>
      <c r="F580" s="2"/>
      <c r="G580" s="2"/>
      <c r="H580" s="2"/>
      <c r="I580" s="2"/>
      <c r="J580" s="1" t="str">
        <f t="shared" si="18"/>
        <v>NO</v>
      </c>
      <c r="K580" s="1" t="str">
        <f t="shared" si="19"/>
        <v xml:space="preserve"> </v>
      </c>
    </row>
    <row r="581" spans="1:11" ht="21.75" customHeight="1">
      <c r="A581" s="5" t="str">
        <f>IF(E581="","",SUBTOTAL(103,$E$6:E581))</f>
        <v/>
      </c>
      <c r="B581" s="6"/>
      <c r="C581" s="6"/>
      <c r="D581" s="6"/>
      <c r="E581" s="2"/>
      <c r="F581" s="2"/>
      <c r="G581" s="2"/>
      <c r="H581" s="2"/>
      <c r="I581" s="2"/>
      <c r="J581" s="1" t="str">
        <f t="shared" si="18"/>
        <v>NO</v>
      </c>
      <c r="K581" s="1" t="str">
        <f t="shared" si="19"/>
        <v xml:space="preserve"> </v>
      </c>
    </row>
    <row r="582" spans="1:11" ht="21.75" customHeight="1">
      <c r="A582" s="5" t="str">
        <f>IF(E582="","",SUBTOTAL(103,$E$6:E582))</f>
        <v/>
      </c>
      <c r="B582" s="6"/>
      <c r="C582" s="6"/>
      <c r="D582" s="6"/>
      <c r="E582" s="2"/>
      <c r="F582" s="2"/>
      <c r="G582" s="2"/>
      <c r="H582" s="2"/>
      <c r="I582" s="2"/>
      <c r="J582" s="1" t="str">
        <f t="shared" si="18"/>
        <v>NO</v>
      </c>
      <c r="K582" s="1" t="str">
        <f t="shared" si="19"/>
        <v xml:space="preserve"> </v>
      </c>
    </row>
    <row r="583" spans="1:11" ht="21.75" customHeight="1">
      <c r="A583" s="5" t="str">
        <f>IF(E583="","",SUBTOTAL(103,$E$6:E583))</f>
        <v/>
      </c>
      <c r="B583" s="6"/>
      <c r="C583" s="6"/>
      <c r="D583" s="6"/>
      <c r="E583" s="2"/>
      <c r="F583" s="2"/>
      <c r="G583" s="2"/>
      <c r="H583" s="2"/>
      <c r="I583" s="2"/>
      <c r="J583" s="1" t="str">
        <f t="shared" si="18"/>
        <v>NO</v>
      </c>
      <c r="K583" s="1" t="str">
        <f t="shared" si="19"/>
        <v xml:space="preserve"> </v>
      </c>
    </row>
    <row r="584" spans="1:11" ht="21.75" customHeight="1">
      <c r="A584" s="5" t="str">
        <f>IF(E584="","",SUBTOTAL(103,$E$6:E584))</f>
        <v/>
      </c>
      <c r="B584" s="6"/>
      <c r="C584" s="6"/>
      <c r="D584" s="6"/>
      <c r="E584" s="2"/>
      <c r="F584" s="2"/>
      <c r="G584" s="2"/>
      <c r="H584" s="2"/>
      <c r="I584" s="2"/>
      <c r="J584" s="1" t="str">
        <f t="shared" si="18"/>
        <v>NO</v>
      </c>
      <c r="K584" s="1" t="str">
        <f t="shared" si="19"/>
        <v xml:space="preserve"> </v>
      </c>
    </row>
    <row r="585" spans="1:11" ht="21.75" customHeight="1">
      <c r="A585" s="5" t="str">
        <f>IF(E585="","",SUBTOTAL(103,$E$6:E585))</f>
        <v/>
      </c>
      <c r="B585" s="6"/>
      <c r="C585" s="6"/>
      <c r="D585" s="6"/>
      <c r="E585" s="2"/>
      <c r="F585" s="2"/>
      <c r="G585" s="2"/>
      <c r="H585" s="2"/>
      <c r="I585" s="2"/>
      <c r="J585" s="1" t="str">
        <f t="shared" si="18"/>
        <v>NO</v>
      </c>
      <c r="K585" s="1" t="str">
        <f t="shared" si="19"/>
        <v xml:space="preserve"> </v>
      </c>
    </row>
    <row r="586" spans="1:11" ht="21.75" customHeight="1">
      <c r="A586" s="5" t="str">
        <f>IF(E586="","",SUBTOTAL(103,$E$6:E586))</f>
        <v/>
      </c>
      <c r="B586" s="6"/>
      <c r="C586" s="6"/>
      <c r="D586" s="6"/>
      <c r="E586" s="2"/>
      <c r="F586" s="2"/>
      <c r="G586" s="2"/>
      <c r="H586" s="2"/>
      <c r="I586" s="2"/>
      <c r="J586" s="1" t="str">
        <f t="shared" si="18"/>
        <v>NO</v>
      </c>
      <c r="K586" s="1" t="str">
        <f t="shared" si="19"/>
        <v xml:space="preserve"> </v>
      </c>
    </row>
    <row r="587" spans="1:11" ht="21.75" customHeight="1">
      <c r="A587" s="5" t="str">
        <f>IF(E587="","",SUBTOTAL(103,$E$6:E587))</f>
        <v/>
      </c>
      <c r="B587" s="6"/>
      <c r="C587" s="6"/>
      <c r="D587" s="6"/>
      <c r="E587" s="2"/>
      <c r="F587" s="2"/>
      <c r="G587" s="2"/>
      <c r="H587" s="2"/>
      <c r="I587" s="2"/>
      <c r="J587" s="1" t="str">
        <f t="shared" si="18"/>
        <v>NO</v>
      </c>
      <c r="K587" s="1" t="str">
        <f t="shared" si="19"/>
        <v xml:space="preserve"> </v>
      </c>
    </row>
    <row r="588" spans="1:11" ht="21.75" customHeight="1">
      <c r="A588" s="5" t="str">
        <f>IF(E588="","",SUBTOTAL(103,$E$6:E588))</f>
        <v/>
      </c>
      <c r="B588" s="6"/>
      <c r="C588" s="6"/>
      <c r="D588" s="6"/>
      <c r="E588" s="2"/>
      <c r="F588" s="2"/>
      <c r="G588" s="2"/>
      <c r="H588" s="2"/>
      <c r="I588" s="2"/>
      <c r="J588" s="1" t="str">
        <f t="shared" si="18"/>
        <v>NO</v>
      </c>
      <c r="K588" s="1" t="str">
        <f t="shared" si="19"/>
        <v xml:space="preserve"> </v>
      </c>
    </row>
    <row r="589" spans="1:11" ht="21.75" customHeight="1">
      <c r="A589" s="5" t="str">
        <f>IF(E589="","",SUBTOTAL(103,$E$6:E589))</f>
        <v/>
      </c>
      <c r="B589" s="6"/>
      <c r="C589" s="6"/>
      <c r="D589" s="6"/>
      <c r="E589" s="2"/>
      <c r="F589" s="2"/>
      <c r="G589" s="2"/>
      <c r="H589" s="2"/>
      <c r="I589" s="2"/>
      <c r="J589" s="1" t="str">
        <f t="shared" si="18"/>
        <v>NO</v>
      </c>
      <c r="K589" s="1" t="str">
        <f t="shared" si="19"/>
        <v xml:space="preserve"> </v>
      </c>
    </row>
    <row r="590" spans="1:11" ht="21.75" customHeight="1">
      <c r="A590" s="5" t="str">
        <f>IF(E590="","",SUBTOTAL(103,$E$6:E590))</f>
        <v/>
      </c>
      <c r="B590" s="6"/>
      <c r="C590" s="6"/>
      <c r="D590" s="6"/>
      <c r="E590" s="2"/>
      <c r="F590" s="2"/>
      <c r="G590" s="2"/>
      <c r="H590" s="2"/>
      <c r="I590" s="2"/>
      <c r="J590" s="1" t="str">
        <f t="shared" si="18"/>
        <v>NO</v>
      </c>
      <c r="K590" s="1" t="str">
        <f t="shared" si="19"/>
        <v xml:space="preserve"> </v>
      </c>
    </row>
    <row r="591" spans="1:11" ht="21.75" customHeight="1">
      <c r="A591" s="5" t="str">
        <f>IF(E591="","",SUBTOTAL(103,$E$6:E591))</f>
        <v/>
      </c>
      <c r="B591" s="6"/>
      <c r="C591" s="6"/>
      <c r="D591" s="6"/>
      <c r="E591" s="2"/>
      <c r="F591" s="2"/>
      <c r="G591" s="2"/>
      <c r="H591" s="2"/>
      <c r="I591" s="2"/>
      <c r="J591" s="1" t="str">
        <f t="shared" si="18"/>
        <v>NO</v>
      </c>
      <c r="K591" s="1" t="str">
        <f t="shared" si="19"/>
        <v xml:space="preserve"> </v>
      </c>
    </row>
    <row r="592" spans="1:11" ht="21.75" customHeight="1">
      <c r="A592" s="5" t="str">
        <f>IF(E592="","",SUBTOTAL(103,$E$6:E592))</f>
        <v/>
      </c>
      <c r="B592" s="6"/>
      <c r="C592" s="6"/>
      <c r="D592" s="6"/>
      <c r="E592" s="2"/>
      <c r="F592" s="2"/>
      <c r="G592" s="2"/>
      <c r="H592" s="2"/>
      <c r="I592" s="2"/>
      <c r="J592" s="1" t="str">
        <f t="shared" si="18"/>
        <v>NO</v>
      </c>
      <c r="K592" s="1" t="str">
        <f t="shared" si="19"/>
        <v xml:space="preserve"> </v>
      </c>
    </row>
    <row r="593" spans="1:11" ht="21.75" customHeight="1">
      <c r="A593" s="5" t="str">
        <f>IF(E593="","",SUBTOTAL(103,$E$6:E593))</f>
        <v/>
      </c>
      <c r="B593" s="6"/>
      <c r="C593" s="6"/>
      <c r="D593" s="6"/>
      <c r="E593" s="2"/>
      <c r="F593" s="2"/>
      <c r="G593" s="2"/>
      <c r="H593" s="2"/>
      <c r="I593" s="2"/>
      <c r="J593" s="1" t="str">
        <f t="shared" si="18"/>
        <v>NO</v>
      </c>
      <c r="K593" s="1" t="str">
        <f t="shared" si="19"/>
        <v xml:space="preserve"> </v>
      </c>
    </row>
    <row r="594" spans="1:11" ht="21.75" customHeight="1">
      <c r="A594" s="5" t="str">
        <f>IF(E594="","",SUBTOTAL(103,$E$6:E594))</f>
        <v/>
      </c>
      <c r="B594" s="6"/>
      <c r="C594" s="6"/>
      <c r="D594" s="6"/>
      <c r="E594" s="2"/>
      <c r="F594" s="2"/>
      <c r="G594" s="2"/>
      <c r="H594" s="2"/>
      <c r="I594" s="2"/>
      <c r="J594" s="1" t="str">
        <f t="shared" si="18"/>
        <v>NO</v>
      </c>
      <c r="K594" s="1" t="str">
        <f t="shared" si="19"/>
        <v xml:space="preserve"> </v>
      </c>
    </row>
    <row r="595" spans="1:11" ht="21.75" customHeight="1">
      <c r="A595" s="5" t="str">
        <f>IF(E595="","",SUBTOTAL(103,$E$6:E595))</f>
        <v/>
      </c>
      <c r="B595" s="6"/>
      <c r="C595" s="6"/>
      <c r="D595" s="6"/>
      <c r="E595" s="2"/>
      <c r="F595" s="2"/>
      <c r="G595" s="2"/>
      <c r="H595" s="2"/>
      <c r="I595" s="2"/>
      <c r="J595" s="1" t="str">
        <f t="shared" si="18"/>
        <v>NO</v>
      </c>
      <c r="K595" s="1" t="str">
        <f t="shared" si="19"/>
        <v xml:space="preserve"> </v>
      </c>
    </row>
    <row r="596" spans="1:11" ht="21.75" customHeight="1">
      <c r="A596" s="5" t="str">
        <f>IF(E596="","",SUBTOTAL(103,$E$6:E596))</f>
        <v/>
      </c>
      <c r="B596" s="6"/>
      <c r="C596" s="6"/>
      <c r="D596" s="6"/>
      <c r="E596" s="2"/>
      <c r="F596" s="2"/>
      <c r="G596" s="2"/>
      <c r="H596" s="2"/>
      <c r="I596" s="2"/>
      <c r="J596" s="1" t="str">
        <f t="shared" si="18"/>
        <v>NO</v>
      </c>
      <c r="K596" s="1" t="str">
        <f t="shared" si="19"/>
        <v xml:space="preserve"> </v>
      </c>
    </row>
    <row r="597" spans="1:11" ht="21.75" customHeight="1">
      <c r="A597" s="5" t="str">
        <f>IF(E597="","",SUBTOTAL(103,$E$6:E597))</f>
        <v/>
      </c>
      <c r="B597" s="6"/>
      <c r="C597" s="6"/>
      <c r="D597" s="6"/>
      <c r="E597" s="2"/>
      <c r="F597" s="2"/>
      <c r="G597" s="2"/>
      <c r="H597" s="2"/>
      <c r="I597" s="2"/>
      <c r="J597" s="1" t="str">
        <f t="shared" si="18"/>
        <v>NO</v>
      </c>
      <c r="K597" s="1" t="str">
        <f t="shared" si="19"/>
        <v xml:space="preserve"> </v>
      </c>
    </row>
    <row r="598" spans="1:11" ht="21.75" customHeight="1">
      <c r="A598" s="5" t="str">
        <f>IF(E598="","",SUBTOTAL(103,$E$6:E598))</f>
        <v/>
      </c>
      <c r="B598" s="6"/>
      <c r="C598" s="6"/>
      <c r="D598" s="6"/>
      <c r="E598" s="2"/>
      <c r="F598" s="2"/>
      <c r="G598" s="2"/>
      <c r="H598" s="2"/>
      <c r="I598" s="2"/>
      <c r="J598" s="1" t="str">
        <f t="shared" si="18"/>
        <v>NO</v>
      </c>
      <c r="K598" s="1" t="str">
        <f t="shared" si="19"/>
        <v xml:space="preserve"> </v>
      </c>
    </row>
    <row r="599" spans="1:11" ht="21.75" customHeight="1">
      <c r="A599" s="5" t="str">
        <f>IF(E599="","",SUBTOTAL(103,$E$6:E599))</f>
        <v/>
      </c>
      <c r="B599" s="6"/>
      <c r="C599" s="6"/>
      <c r="D599" s="6"/>
      <c r="E599" s="2"/>
      <c r="F599" s="2"/>
      <c r="G599" s="2"/>
      <c r="H599" s="2"/>
      <c r="I599" s="2"/>
      <c r="J599" s="1" t="str">
        <f t="shared" si="18"/>
        <v>NO</v>
      </c>
      <c r="K599" s="1" t="str">
        <f t="shared" si="19"/>
        <v xml:space="preserve"> </v>
      </c>
    </row>
    <row r="600" spans="1:11" ht="21.75" customHeight="1">
      <c r="A600" s="5" t="str">
        <f>IF(E600="","",SUBTOTAL(103,$E$6:E600))</f>
        <v/>
      </c>
      <c r="B600" s="6"/>
      <c r="C600" s="6"/>
      <c r="D600" s="6"/>
      <c r="E600" s="2"/>
      <c r="F600" s="2"/>
      <c r="G600" s="2"/>
      <c r="H600" s="2"/>
      <c r="I600" s="2"/>
      <c r="J600" s="1" t="str">
        <f t="shared" si="18"/>
        <v>NO</v>
      </c>
      <c r="K600" s="1" t="str">
        <f t="shared" si="19"/>
        <v xml:space="preserve"> </v>
      </c>
    </row>
    <row r="601" spans="1:11" ht="21.75" customHeight="1">
      <c r="A601" s="5" t="str">
        <f>IF(E601="","",SUBTOTAL(103,$E$6:E601))</f>
        <v/>
      </c>
      <c r="B601" s="6"/>
      <c r="C601" s="6"/>
      <c r="D601" s="6"/>
      <c r="E601" s="2"/>
      <c r="F601" s="2"/>
      <c r="G601" s="2"/>
      <c r="H601" s="2"/>
      <c r="I601" s="2"/>
      <c r="J601" s="1" t="str">
        <f t="shared" si="18"/>
        <v>NO</v>
      </c>
      <c r="K601" s="1" t="str">
        <f t="shared" si="19"/>
        <v xml:space="preserve"> </v>
      </c>
    </row>
    <row r="602" spans="1:11" ht="21.75" customHeight="1">
      <c r="A602" s="5" t="str">
        <f>IF(E602="","",SUBTOTAL(103,$E$6:E602))</f>
        <v/>
      </c>
      <c r="B602" s="6"/>
      <c r="C602" s="6"/>
      <c r="D602" s="6"/>
      <c r="E602" s="2"/>
      <c r="F602" s="2"/>
      <c r="G602" s="2"/>
      <c r="H602" s="2"/>
      <c r="I602" s="2"/>
      <c r="J602" s="1" t="str">
        <f t="shared" si="18"/>
        <v>NO</v>
      </c>
      <c r="K602" s="1" t="str">
        <f t="shared" si="19"/>
        <v xml:space="preserve"> </v>
      </c>
    </row>
    <row r="603" spans="1:11" ht="21.75" customHeight="1">
      <c r="A603" s="5" t="str">
        <f>IF(E603="","",SUBTOTAL(103,$E$6:E603))</f>
        <v/>
      </c>
      <c r="B603" s="6"/>
      <c r="C603" s="6"/>
      <c r="D603" s="6"/>
      <c r="E603" s="2"/>
      <c r="F603" s="2"/>
      <c r="G603" s="2"/>
      <c r="H603" s="2"/>
      <c r="I603" s="2"/>
      <c r="J603" s="1" t="str">
        <f t="shared" si="18"/>
        <v>NO</v>
      </c>
      <c r="K603" s="1" t="str">
        <f t="shared" si="19"/>
        <v xml:space="preserve"> </v>
      </c>
    </row>
    <row r="604" spans="1:11" ht="21.75" customHeight="1">
      <c r="A604" s="5" t="str">
        <f>IF(E604="","",SUBTOTAL(103,$E$6:E604))</f>
        <v/>
      </c>
      <c r="B604" s="6"/>
      <c r="C604" s="6"/>
      <c r="D604" s="6"/>
      <c r="E604" s="2"/>
      <c r="F604" s="2"/>
      <c r="G604" s="2"/>
      <c r="H604" s="2"/>
      <c r="I604" s="2"/>
      <c r="J604" s="1" t="str">
        <f t="shared" si="18"/>
        <v>NO</v>
      </c>
      <c r="K604" s="1" t="str">
        <f t="shared" si="19"/>
        <v xml:space="preserve"> </v>
      </c>
    </row>
    <row r="605" spans="1:11" ht="21.75" customHeight="1">
      <c r="A605" s="5" t="str">
        <f>IF(E605="","",SUBTOTAL(103,$E$6:E605))</f>
        <v/>
      </c>
      <c r="B605" s="6"/>
      <c r="C605" s="6"/>
      <c r="D605" s="6"/>
      <c r="E605" s="2"/>
      <c r="F605" s="2"/>
      <c r="G605" s="2"/>
      <c r="H605" s="2"/>
      <c r="I605" s="2"/>
      <c r="J605" s="1" t="str">
        <f t="shared" si="18"/>
        <v>NO</v>
      </c>
      <c r="K605" s="1" t="str">
        <f t="shared" si="19"/>
        <v xml:space="preserve"> </v>
      </c>
    </row>
    <row r="606" spans="1:11" ht="21.75" customHeight="1">
      <c r="A606" s="5" t="str">
        <f>IF(E606="","",SUBTOTAL(103,$E$6:E606))</f>
        <v/>
      </c>
      <c r="B606" s="6"/>
      <c r="C606" s="6"/>
      <c r="D606" s="6"/>
      <c r="E606" s="2"/>
      <c r="F606" s="2"/>
      <c r="G606" s="2"/>
      <c r="H606" s="2"/>
      <c r="I606" s="2"/>
      <c r="J606" s="1" t="str">
        <f t="shared" si="18"/>
        <v>NO</v>
      </c>
      <c r="K606" s="1" t="str">
        <f t="shared" si="19"/>
        <v xml:space="preserve"> </v>
      </c>
    </row>
    <row r="607" spans="1:11" ht="21.75" customHeight="1">
      <c r="A607" s="5" t="str">
        <f>IF(E607="","",SUBTOTAL(103,$E$6:E607))</f>
        <v/>
      </c>
      <c r="B607" s="6"/>
      <c r="C607" s="6"/>
      <c r="D607" s="6"/>
      <c r="E607" s="2"/>
      <c r="F607" s="2"/>
      <c r="G607" s="2"/>
      <c r="H607" s="2"/>
      <c r="I607" s="2"/>
      <c r="J607" s="1" t="str">
        <f t="shared" si="18"/>
        <v>NO</v>
      </c>
      <c r="K607" s="1" t="str">
        <f t="shared" si="19"/>
        <v xml:space="preserve"> </v>
      </c>
    </row>
    <row r="608" spans="1:11" ht="21.75" customHeight="1">
      <c r="A608" s="5" t="str">
        <f>IF(E608="","",SUBTOTAL(103,$E$6:E608))</f>
        <v/>
      </c>
      <c r="B608" s="6"/>
      <c r="C608" s="6"/>
      <c r="D608" s="6"/>
      <c r="E608" s="2"/>
      <c r="F608" s="2"/>
      <c r="G608" s="2"/>
      <c r="H608" s="2"/>
      <c r="I608" s="2"/>
      <c r="J608" s="1" t="str">
        <f t="shared" si="18"/>
        <v>NO</v>
      </c>
      <c r="K608" s="1" t="str">
        <f t="shared" si="19"/>
        <v xml:space="preserve"> </v>
      </c>
    </row>
    <row r="609" spans="1:11" ht="21.75" customHeight="1">
      <c r="A609" s="5" t="str">
        <f>IF(E609="","",SUBTOTAL(103,$E$6:E609))</f>
        <v/>
      </c>
      <c r="B609" s="6"/>
      <c r="C609" s="6"/>
      <c r="D609" s="6"/>
      <c r="E609" s="2"/>
      <c r="F609" s="2"/>
      <c r="G609" s="2"/>
      <c r="H609" s="2"/>
      <c r="I609" s="2"/>
      <c r="J609" s="1" t="str">
        <f t="shared" si="18"/>
        <v>NO</v>
      </c>
      <c r="K609" s="1" t="str">
        <f t="shared" si="19"/>
        <v xml:space="preserve"> </v>
      </c>
    </row>
    <row r="610" spans="1:11" ht="21.75" customHeight="1">
      <c r="A610" s="5" t="str">
        <f>IF(E610="","",SUBTOTAL(103,$E$6:E610))</f>
        <v/>
      </c>
      <c r="B610" s="6"/>
      <c r="C610" s="6"/>
      <c r="D610" s="6"/>
      <c r="E610" s="2"/>
      <c r="F610" s="2"/>
      <c r="G610" s="2"/>
      <c r="H610" s="2"/>
      <c r="I610" s="2"/>
      <c r="J610" s="1" t="str">
        <f t="shared" si="18"/>
        <v>NO</v>
      </c>
      <c r="K610" s="1" t="str">
        <f t="shared" si="19"/>
        <v xml:space="preserve"> </v>
      </c>
    </row>
    <row r="611" spans="1:11" ht="21.75" customHeight="1">
      <c r="A611" s="5" t="str">
        <f>IF(E611="","",SUBTOTAL(103,$E$6:E611))</f>
        <v/>
      </c>
      <c r="B611" s="6"/>
      <c r="C611" s="6"/>
      <c r="D611" s="6"/>
      <c r="E611" s="2"/>
      <c r="F611" s="2"/>
      <c r="G611" s="2"/>
      <c r="H611" s="2"/>
      <c r="I611" s="2"/>
      <c r="J611" s="1" t="str">
        <f t="shared" si="18"/>
        <v>NO</v>
      </c>
      <c r="K611" s="1" t="str">
        <f t="shared" si="19"/>
        <v xml:space="preserve"> </v>
      </c>
    </row>
    <row r="612" spans="1:11" ht="21.75" customHeight="1">
      <c r="A612" s="5" t="str">
        <f>IF(E612="","",SUBTOTAL(103,$E$6:E612))</f>
        <v/>
      </c>
      <c r="B612" s="6"/>
      <c r="C612" s="6"/>
      <c r="D612" s="6"/>
      <c r="E612" s="2"/>
      <c r="F612" s="2"/>
      <c r="G612" s="2"/>
      <c r="H612" s="2"/>
      <c r="I612" s="2"/>
      <c r="J612" s="1" t="str">
        <f t="shared" si="18"/>
        <v>NO</v>
      </c>
      <c r="K612" s="1" t="str">
        <f t="shared" si="19"/>
        <v xml:space="preserve"> </v>
      </c>
    </row>
    <row r="613" spans="1:11" ht="21.75" customHeight="1">
      <c r="A613" s="5" t="str">
        <f>IF(E613="","",SUBTOTAL(103,$E$6:E613))</f>
        <v/>
      </c>
      <c r="B613" s="6"/>
      <c r="C613" s="6"/>
      <c r="D613" s="6"/>
      <c r="E613" s="2"/>
      <c r="F613" s="2"/>
      <c r="G613" s="2"/>
      <c r="H613" s="2"/>
      <c r="I613" s="2"/>
      <c r="J613" s="1" t="str">
        <f t="shared" si="18"/>
        <v>NO</v>
      </c>
      <c r="K613" s="1" t="str">
        <f t="shared" si="19"/>
        <v xml:space="preserve"> </v>
      </c>
    </row>
    <row r="614" spans="1:11" ht="21.75" customHeight="1">
      <c r="A614" s="5" t="str">
        <f>IF(E614="","",SUBTOTAL(103,$E$6:E614))</f>
        <v/>
      </c>
      <c r="B614" s="6"/>
      <c r="C614" s="6"/>
      <c r="D614" s="6"/>
      <c r="E614" s="2"/>
      <c r="F614" s="2"/>
      <c r="G614" s="2"/>
      <c r="H614" s="2"/>
      <c r="I614" s="2"/>
      <c r="J614" s="1" t="str">
        <f t="shared" si="18"/>
        <v>NO</v>
      </c>
      <c r="K614" s="1" t="str">
        <f t="shared" si="19"/>
        <v xml:space="preserve"> </v>
      </c>
    </row>
    <row r="615" spans="1:11" ht="33" customHeight="1">
      <c r="A615" s="17" t="s">
        <v>16</v>
      </c>
      <c r="B615" s="13"/>
      <c r="C615" s="14">
        <f>ROUND(SUMIFS($I$6:$I$614, $J$6:$J$614, "XLN", K6:$K$614, "WCB"), 2)</f>
        <v>0</v>
      </c>
      <c r="D615" s="7"/>
      <c r="E615" s="12" t="s">
        <v>17</v>
      </c>
      <c r="F615" s="15">
        <f>ROUND(IFERROR(H615-C615, "0"), 2)</f>
        <v>0</v>
      </c>
      <c r="G615" s="12" t="s">
        <v>18</v>
      </c>
      <c r="H615" s="16">
        <f>ROUND(SUMIF(J6:J614, "XLN", I6:I614), 2)</f>
        <v>0</v>
      </c>
      <c r="I615" s="16"/>
      <c r="J615" s="1" t="b">
        <f>H615='xử lý chất liệu'!H235</f>
        <v>1</v>
      </c>
    </row>
    <row r="617" spans="1:11" ht="31.5">
      <c r="B617" s="8" t="s">
        <v>4</v>
      </c>
      <c r="E617" s="9" t="s">
        <v>5</v>
      </c>
      <c r="H617" s="10" t="s">
        <v>3</v>
      </c>
      <c r="I617" s="11"/>
    </row>
  </sheetData>
  <autoFilter ref="A5:K615" xr:uid="{125219BA-F4F6-4348-BEF7-1027E41B2552}">
    <sortState xmlns:xlrd2="http://schemas.microsoft.com/office/spreadsheetml/2017/richdata2" ref="A7:K615">
      <sortCondition ref="K5:K615"/>
    </sortState>
  </autoFilter>
  <mergeCells count="11">
    <mergeCell ref="A1:I1"/>
    <mergeCell ref="A2:I2"/>
    <mergeCell ref="F4:F5"/>
    <mergeCell ref="G4:G5"/>
    <mergeCell ref="H4:H5"/>
    <mergeCell ref="I4:I5"/>
    <mergeCell ref="A4:A5"/>
    <mergeCell ref="B4:B5"/>
    <mergeCell ref="C4:C5"/>
    <mergeCell ref="D4:D5"/>
    <mergeCell ref="E4:E5"/>
  </mergeCells>
  <printOptions horizontalCentered="1"/>
  <pageMargins left="0.28000000000000003" right="0" top="0.46" bottom="0.52" header="0" footer="0"/>
  <pageSetup paperSize="9" scale="75" orientation="portrait" horizontalDpi="300" verticalDpi="300" r:id="rId1"/>
  <headerFooter alignWithMargins="0">
    <oddFooter>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F929-9F74-4CB1-A71B-7540E63D2746}">
  <dimension ref="A1:K237"/>
  <sheetViews>
    <sheetView zoomScaleNormal="100" zoomScaleSheetLayoutView="70" zoomScalePageLayoutView="70" workbookViewId="0">
      <pane ySplit="2" topLeftCell="A218" activePane="bottomLeft" state="frozen"/>
      <selection pane="bottomLeft" activeCell="U7" sqref="U7"/>
    </sheetView>
  </sheetViews>
  <sheetFormatPr defaultColWidth="8.625" defaultRowHeight="15.75"/>
  <cols>
    <col min="1" max="1" width="5" style="3" customWidth="1"/>
    <col min="2" max="2" width="13.5" style="1" customWidth="1"/>
    <col min="3" max="3" width="14.625" style="1" customWidth="1"/>
    <col min="4" max="4" width="13.375" style="1" customWidth="1"/>
    <col min="5" max="5" width="20.375" style="1" customWidth="1"/>
    <col min="6" max="6" width="18.875" style="1" customWidth="1"/>
    <col min="7" max="7" width="13" style="1" bestFit="1" customWidth="1"/>
    <col min="8" max="8" width="9.625" style="1" customWidth="1"/>
    <col min="9" max="9" width="11" style="1" customWidth="1"/>
    <col min="10" max="10" width="8.625" style="1" customWidth="1"/>
    <col min="11" max="16384" width="8.625" style="1"/>
  </cols>
  <sheetData>
    <row r="1" spans="1:11" ht="30" customHeight="1">
      <c r="A1" s="21" t="s">
        <v>6</v>
      </c>
      <c r="B1" s="21" t="s">
        <v>7</v>
      </c>
      <c r="C1" s="21" t="s">
        <v>8</v>
      </c>
      <c r="D1" s="21" t="s">
        <v>9</v>
      </c>
      <c r="E1" s="21" t="s">
        <v>10</v>
      </c>
      <c r="F1" s="21" t="s">
        <v>11</v>
      </c>
      <c r="G1" s="21" t="s">
        <v>12</v>
      </c>
      <c r="H1" s="21" t="s">
        <v>13</v>
      </c>
      <c r="I1" s="21" t="s">
        <v>14</v>
      </c>
    </row>
    <row r="2" spans="1:11" ht="74.25" customHeight="1">
      <c r="A2" s="21"/>
      <c r="B2" s="21"/>
      <c r="C2" s="21"/>
      <c r="D2" s="21"/>
      <c r="E2" s="21"/>
      <c r="F2" s="21"/>
      <c r="G2" s="21"/>
      <c r="H2" s="21"/>
      <c r="I2" s="21"/>
      <c r="J2" s="3" t="s">
        <v>1</v>
      </c>
      <c r="K2" s="3" t="s">
        <v>15</v>
      </c>
    </row>
    <row r="3" spans="1:11" ht="21.75" customHeight="1">
      <c r="A3" s="5" t="str">
        <f>IF(E3="","",SUBTOTAL(103,$E$3:E3))</f>
        <v/>
      </c>
      <c r="B3" s="6"/>
      <c r="C3" s="6"/>
      <c r="D3" s="6"/>
      <c r="E3" s="2"/>
      <c r="F3" s="2"/>
      <c r="G3" s="2"/>
      <c r="H3" s="2"/>
      <c r="I3" s="2"/>
      <c r="J3" s="1" t="str">
        <f t="shared" ref="J3:J66" si="0">IF(ISERROR(SEARCH("热处理", E3))=FALSE, "XLN", IF(ISERROR(SEARCH("114", E3))=FALSE, "XLN", IF(ISERROR(SEARCH("OM", E3))=FALSE, "NO", IF(ISERROR(SEARCH("试棒毛坯", E3))=FALSE, "XLN", IF(ISERROR(SEARCH("M35", F3))=FALSE, "NO", IF(OR(LEFT(F3, 2)="DN", LEFT(F3, 3)="NPS", ISERROR(SEARCH("LADISH", E3))=FALSE), "XLN", "NO"))))))</f>
        <v>NO</v>
      </c>
      <c r="K3" s="1" t="str">
        <f>IF(ISERROR(FIND("304",F3))=FALSE,304,IF(ISERROR(FIND("316",F3))=FALSE,316,IF(ISERROR(FIND("CF8M",F3))=FALSE,316,IF(ISERROR(SEARCH("wcb",F3))=FALSE,"WCB",IF(ISERROR(SEARCH("cd3mn",F3))=FALSE,"CD3MN",IF(ISERROR(SEARCH("CN7M",F3))=FALSE,"CN7M",IF(ISERROR(SEARCH("M35",F3))=FALSE,"M35",IF(ISERROR(SEARCH("CF3M",F3))=FALSE,"CF3M",IF(ISERROR(SEARCH("CD3MWCuN",F3))=FALSE, "CD3MWCuN",  IF(ISERROR(SEARCH("CW12MW",F3))=FALSE, "CW12MW", IF(ISERROR(SEARCH("CF8",F3))=FALSE, 304," ")))))))))))</f>
        <v xml:space="preserve"> </v>
      </c>
    </row>
    <row r="4" spans="1:11" ht="21.75" customHeight="1">
      <c r="A4" s="5" t="str">
        <f>IF(E4="","",SUBTOTAL(103,$E$3:E4))</f>
        <v/>
      </c>
      <c r="B4" s="6"/>
      <c r="C4" s="6"/>
      <c r="D4" s="6"/>
      <c r="E4" s="2"/>
      <c r="F4" s="2"/>
      <c r="G4" s="2"/>
      <c r="H4" s="2"/>
      <c r="I4" s="2"/>
      <c r="J4" s="1" t="str">
        <f t="shared" si="0"/>
        <v>NO</v>
      </c>
      <c r="K4" s="1" t="str">
        <f t="shared" ref="K4:K67" si="1">IF(ISERROR(FIND("304",F4))=FALSE,304,IF(ISERROR(FIND("316",F4))=FALSE,316,IF(ISERROR(FIND("CF8M",F4))=FALSE,316,IF(ISERROR(SEARCH("wcb",F4))=FALSE,"WCB",IF(ISERROR(SEARCH("cd3mn",F4))=FALSE,"CD3MN",IF(ISERROR(SEARCH("CN7M",F4))=FALSE,"CN7M",IF(ISERROR(SEARCH("M35",F4))=FALSE,"M35",IF(ISERROR(SEARCH("CF3M",F4))=FALSE,"CF3M",IF(ISERROR(SEARCH("CD3MWCuN",F4))=FALSE, "CD3MWCuN",  IF(ISERROR(SEARCH("CW12MW",F4))=FALSE, "CW12MW", IF(ISERROR(SEARCH("CF8",F4))=FALSE, 304," ")))))))))))</f>
        <v xml:space="preserve"> </v>
      </c>
    </row>
    <row r="5" spans="1:11" ht="21.75" customHeight="1">
      <c r="A5" s="5" t="str">
        <f>IF(E5="","",SUBTOTAL(103,$E$3:E5))</f>
        <v/>
      </c>
      <c r="B5" s="6"/>
      <c r="C5" s="6"/>
      <c r="D5" s="6"/>
      <c r="E5" s="2"/>
      <c r="F5" s="2"/>
      <c r="G5" s="2"/>
      <c r="H5" s="2"/>
      <c r="I5" s="2"/>
      <c r="J5" s="1" t="str">
        <f t="shared" si="0"/>
        <v>NO</v>
      </c>
      <c r="K5" s="1" t="str">
        <f t="shared" si="1"/>
        <v xml:space="preserve"> </v>
      </c>
    </row>
    <row r="6" spans="1:11" ht="21.75" customHeight="1">
      <c r="A6" s="5" t="str">
        <f>IF(E6="","",SUBTOTAL(103,$E$3:E6))</f>
        <v/>
      </c>
      <c r="B6" s="6"/>
      <c r="C6" s="6"/>
      <c r="D6" s="6"/>
      <c r="E6" s="2"/>
      <c r="F6" s="2"/>
      <c r="G6" s="2"/>
      <c r="H6" s="2"/>
      <c r="I6" s="2"/>
      <c r="J6" s="1" t="str">
        <f t="shared" si="0"/>
        <v>NO</v>
      </c>
      <c r="K6" s="1" t="str">
        <f t="shared" si="1"/>
        <v xml:space="preserve"> </v>
      </c>
    </row>
    <row r="7" spans="1:11" ht="21.75" customHeight="1">
      <c r="A7" s="5" t="str">
        <f>IF(E7="","",SUBTOTAL(103,$E$3:E7))</f>
        <v/>
      </c>
      <c r="B7" s="6"/>
      <c r="C7" s="6"/>
      <c r="D7" s="6"/>
      <c r="E7" s="2"/>
      <c r="F7" s="2"/>
      <c r="G7" s="2"/>
      <c r="H7" s="2"/>
      <c r="I7" s="2"/>
      <c r="J7" s="1" t="str">
        <f t="shared" si="0"/>
        <v>NO</v>
      </c>
      <c r="K7" s="1" t="str">
        <f t="shared" si="1"/>
        <v xml:space="preserve"> </v>
      </c>
    </row>
    <row r="8" spans="1:11" ht="21.75" customHeight="1">
      <c r="A8" s="5" t="str">
        <f>IF(E8="","",SUBTOTAL(103,$E$3:E8))</f>
        <v/>
      </c>
      <c r="B8" s="6"/>
      <c r="C8" s="6"/>
      <c r="D8" s="6"/>
      <c r="E8" s="2"/>
      <c r="F8" s="2"/>
      <c r="G8" s="2"/>
      <c r="H8" s="2"/>
      <c r="I8" s="2"/>
      <c r="J8" s="1" t="str">
        <f t="shared" si="0"/>
        <v>NO</v>
      </c>
      <c r="K8" s="1" t="str">
        <f t="shared" si="1"/>
        <v xml:space="preserve"> </v>
      </c>
    </row>
    <row r="9" spans="1:11" ht="21.75" customHeight="1">
      <c r="A9" s="5" t="str">
        <f>IF(E9="","",SUBTOTAL(103,$E$3:E9))</f>
        <v/>
      </c>
      <c r="B9" s="6"/>
      <c r="C9" s="6"/>
      <c r="D9" s="6"/>
      <c r="E9" s="2"/>
      <c r="F9" s="2"/>
      <c r="G9" s="2"/>
      <c r="H9" s="2"/>
      <c r="I9" s="2"/>
      <c r="J9" s="1" t="str">
        <f t="shared" si="0"/>
        <v>NO</v>
      </c>
      <c r="K9" s="1" t="str">
        <f t="shared" si="1"/>
        <v xml:space="preserve"> </v>
      </c>
    </row>
    <row r="10" spans="1:11" ht="21.75" customHeight="1">
      <c r="A10" s="5" t="str">
        <f>IF(E10="","",SUBTOTAL(103,$E$3:E10))</f>
        <v/>
      </c>
      <c r="B10" s="6"/>
      <c r="C10" s="6"/>
      <c r="D10" s="6"/>
      <c r="E10" s="2"/>
      <c r="F10" s="2"/>
      <c r="G10" s="2"/>
      <c r="H10" s="2"/>
      <c r="I10" s="2"/>
      <c r="J10" s="1" t="str">
        <f t="shared" si="0"/>
        <v>NO</v>
      </c>
      <c r="K10" s="1" t="str">
        <f t="shared" si="1"/>
        <v xml:space="preserve"> </v>
      </c>
    </row>
    <row r="11" spans="1:11" ht="21.75" customHeight="1">
      <c r="A11" s="5" t="str">
        <f>IF(E11="","",SUBTOTAL(103,$E$3:E11))</f>
        <v/>
      </c>
      <c r="B11" s="6"/>
      <c r="C11" s="6"/>
      <c r="D11" s="6"/>
      <c r="E11" s="2"/>
      <c r="F11" s="2"/>
      <c r="G11" s="2"/>
      <c r="H11" s="2"/>
      <c r="I11" s="2"/>
      <c r="J11" s="1" t="str">
        <f t="shared" si="0"/>
        <v>NO</v>
      </c>
      <c r="K11" s="1" t="str">
        <f t="shared" si="1"/>
        <v xml:space="preserve"> </v>
      </c>
    </row>
    <row r="12" spans="1:11" ht="21.75" customHeight="1">
      <c r="A12" s="5" t="str">
        <f>IF(E12="","",SUBTOTAL(103,$E$3:E12))</f>
        <v/>
      </c>
      <c r="B12" s="6"/>
      <c r="C12" s="6"/>
      <c r="D12" s="6"/>
      <c r="E12" s="2"/>
      <c r="F12" s="2"/>
      <c r="G12" s="2"/>
      <c r="H12" s="2"/>
      <c r="I12" s="2"/>
      <c r="J12" s="1" t="str">
        <f t="shared" si="0"/>
        <v>NO</v>
      </c>
      <c r="K12" s="1" t="str">
        <f t="shared" si="1"/>
        <v xml:space="preserve"> </v>
      </c>
    </row>
    <row r="13" spans="1:11" ht="21.75" customHeight="1">
      <c r="A13" s="5" t="str">
        <f>IF(E13="","",SUBTOTAL(103,$E$3:E13))</f>
        <v/>
      </c>
      <c r="B13" s="6"/>
      <c r="C13" s="6"/>
      <c r="D13" s="6"/>
      <c r="E13" s="2"/>
      <c r="F13" s="2"/>
      <c r="G13" s="2"/>
      <c r="H13" s="2"/>
      <c r="I13" s="2"/>
      <c r="J13" s="1" t="str">
        <f t="shared" si="0"/>
        <v>NO</v>
      </c>
      <c r="K13" s="1" t="str">
        <f t="shared" si="1"/>
        <v xml:space="preserve"> </v>
      </c>
    </row>
    <row r="14" spans="1:11" ht="21.75" customHeight="1">
      <c r="A14" s="5" t="str">
        <f>IF(E14="","",SUBTOTAL(103,$E$3:E14))</f>
        <v/>
      </c>
      <c r="B14" s="6"/>
      <c r="C14" s="6"/>
      <c r="D14" s="6"/>
      <c r="E14" s="2"/>
      <c r="F14" s="2"/>
      <c r="G14" s="2"/>
      <c r="H14" s="2"/>
      <c r="I14" s="2"/>
      <c r="J14" s="1" t="str">
        <f t="shared" si="0"/>
        <v>NO</v>
      </c>
      <c r="K14" s="1" t="str">
        <f t="shared" si="1"/>
        <v xml:space="preserve"> </v>
      </c>
    </row>
    <row r="15" spans="1:11" ht="21.75" customHeight="1">
      <c r="A15" s="5" t="str">
        <f>IF(E15="","",SUBTOTAL(103,$E$3:E15))</f>
        <v/>
      </c>
      <c r="B15" s="6"/>
      <c r="C15" s="6"/>
      <c r="D15" s="6"/>
      <c r="E15" s="2"/>
      <c r="F15" s="2"/>
      <c r="G15" s="2"/>
      <c r="H15" s="2"/>
      <c r="I15" s="2"/>
      <c r="J15" s="1" t="str">
        <f t="shared" si="0"/>
        <v>NO</v>
      </c>
      <c r="K15" s="1" t="str">
        <f t="shared" si="1"/>
        <v xml:space="preserve"> </v>
      </c>
    </row>
    <row r="16" spans="1:11" ht="21.75" customHeight="1">
      <c r="A16" s="5" t="str">
        <f>IF(E16="","",SUBTOTAL(103,$E$3:E16))</f>
        <v/>
      </c>
      <c r="B16" s="6"/>
      <c r="C16" s="6"/>
      <c r="D16" s="6"/>
      <c r="E16" s="2"/>
      <c r="F16" s="2"/>
      <c r="G16" s="2"/>
      <c r="H16" s="2"/>
      <c r="I16" s="2"/>
      <c r="J16" s="1" t="str">
        <f t="shared" si="0"/>
        <v>NO</v>
      </c>
      <c r="K16" s="1" t="str">
        <f t="shared" si="1"/>
        <v xml:space="preserve"> </v>
      </c>
    </row>
    <row r="17" spans="1:11" ht="21.75" customHeight="1">
      <c r="A17" s="5" t="str">
        <f>IF(E17="","",SUBTOTAL(103,$E$3:E17))</f>
        <v/>
      </c>
      <c r="B17" s="6"/>
      <c r="C17" s="6"/>
      <c r="D17" s="6"/>
      <c r="E17" s="2"/>
      <c r="F17" s="2"/>
      <c r="G17" s="2"/>
      <c r="H17" s="2"/>
      <c r="I17" s="2"/>
      <c r="J17" s="1" t="str">
        <f t="shared" si="0"/>
        <v>NO</v>
      </c>
      <c r="K17" s="1" t="str">
        <f t="shared" si="1"/>
        <v xml:space="preserve"> </v>
      </c>
    </row>
    <row r="18" spans="1:11" ht="21.75" customHeight="1">
      <c r="A18" s="5" t="str">
        <f>IF(E18="","",SUBTOTAL(103,$E$3:E18))</f>
        <v/>
      </c>
      <c r="B18" s="6"/>
      <c r="C18" s="6"/>
      <c r="D18" s="6"/>
      <c r="E18" s="2"/>
      <c r="F18" s="2"/>
      <c r="G18" s="2"/>
      <c r="H18" s="2"/>
      <c r="I18" s="2"/>
      <c r="J18" s="1" t="str">
        <f t="shared" si="0"/>
        <v>NO</v>
      </c>
      <c r="K18" s="1" t="str">
        <f t="shared" si="1"/>
        <v xml:space="preserve"> </v>
      </c>
    </row>
    <row r="19" spans="1:11" ht="21.75" customHeight="1">
      <c r="A19" s="5" t="str">
        <f>IF(E19="","",SUBTOTAL(103,$E$3:E19))</f>
        <v/>
      </c>
      <c r="B19" s="6"/>
      <c r="C19" s="6"/>
      <c r="D19" s="6"/>
      <c r="E19" s="2"/>
      <c r="F19" s="2"/>
      <c r="G19" s="2"/>
      <c r="H19" s="2"/>
      <c r="I19" s="2"/>
      <c r="J19" s="1" t="str">
        <f t="shared" si="0"/>
        <v>NO</v>
      </c>
      <c r="K19" s="1" t="str">
        <f t="shared" si="1"/>
        <v xml:space="preserve"> </v>
      </c>
    </row>
    <row r="20" spans="1:11" ht="21.75" customHeight="1">
      <c r="A20" s="5" t="str">
        <f>IF(E20="","",SUBTOTAL(103,$E$3:E20))</f>
        <v/>
      </c>
      <c r="B20" s="6"/>
      <c r="C20" s="6"/>
      <c r="D20" s="6"/>
      <c r="E20" s="2"/>
      <c r="F20" s="2"/>
      <c r="G20" s="2"/>
      <c r="H20" s="2"/>
      <c r="I20" s="2"/>
      <c r="J20" s="1" t="str">
        <f t="shared" si="0"/>
        <v>NO</v>
      </c>
      <c r="K20" s="1" t="str">
        <f t="shared" si="1"/>
        <v xml:space="preserve"> </v>
      </c>
    </row>
    <row r="21" spans="1:11" ht="21.75" customHeight="1">
      <c r="A21" s="5" t="str">
        <f>IF(E21="","",SUBTOTAL(103,$E$3:E21))</f>
        <v/>
      </c>
      <c r="B21" s="6"/>
      <c r="C21" s="6"/>
      <c r="D21" s="6"/>
      <c r="E21" s="2"/>
      <c r="F21" s="2"/>
      <c r="G21" s="2"/>
      <c r="H21" s="2"/>
      <c r="I21" s="2"/>
      <c r="J21" s="1" t="str">
        <f t="shared" si="0"/>
        <v>NO</v>
      </c>
      <c r="K21" s="1" t="str">
        <f t="shared" si="1"/>
        <v xml:space="preserve"> </v>
      </c>
    </row>
    <row r="22" spans="1:11" ht="21.75" customHeight="1">
      <c r="A22" s="5" t="str">
        <f>IF(E22="","",SUBTOTAL(103,$E$3:E22))</f>
        <v/>
      </c>
      <c r="B22" s="6"/>
      <c r="C22" s="6"/>
      <c r="D22" s="6"/>
      <c r="E22" s="2"/>
      <c r="F22" s="2"/>
      <c r="G22" s="2"/>
      <c r="H22" s="2"/>
      <c r="I22" s="2"/>
      <c r="J22" s="1" t="str">
        <f t="shared" si="0"/>
        <v>NO</v>
      </c>
      <c r="K22" s="1" t="str">
        <f t="shared" si="1"/>
        <v xml:space="preserve"> </v>
      </c>
    </row>
    <row r="23" spans="1:11" ht="21.75" customHeight="1">
      <c r="A23" s="5" t="str">
        <f>IF(E23="","",SUBTOTAL(103,$E$3:E23))</f>
        <v/>
      </c>
      <c r="B23" s="6"/>
      <c r="C23" s="6"/>
      <c r="D23" s="6"/>
      <c r="E23" s="2"/>
      <c r="F23" s="2"/>
      <c r="G23" s="2"/>
      <c r="H23" s="2"/>
      <c r="I23" s="2"/>
      <c r="J23" s="1" t="str">
        <f t="shared" si="0"/>
        <v>NO</v>
      </c>
      <c r="K23" s="1" t="str">
        <f t="shared" si="1"/>
        <v xml:space="preserve"> </v>
      </c>
    </row>
    <row r="24" spans="1:11" ht="21.75" customHeight="1">
      <c r="A24" s="5" t="str">
        <f>IF(E24="","",SUBTOTAL(103,$E$3:E24))</f>
        <v/>
      </c>
      <c r="B24" s="6"/>
      <c r="C24" s="6"/>
      <c r="D24" s="6"/>
      <c r="E24" s="2"/>
      <c r="F24" s="2"/>
      <c r="G24" s="2"/>
      <c r="H24" s="2"/>
      <c r="I24" s="2"/>
      <c r="J24" s="1" t="str">
        <f t="shared" si="0"/>
        <v>NO</v>
      </c>
      <c r="K24" s="1" t="str">
        <f t="shared" si="1"/>
        <v xml:space="preserve"> </v>
      </c>
    </row>
    <row r="25" spans="1:11" ht="21.75" customHeight="1">
      <c r="A25" s="5" t="str">
        <f>IF(E25="","",SUBTOTAL(103,$E$3:E25))</f>
        <v/>
      </c>
      <c r="B25" s="6"/>
      <c r="C25" s="6"/>
      <c r="D25" s="6"/>
      <c r="E25" s="2"/>
      <c r="F25" s="2"/>
      <c r="G25" s="2"/>
      <c r="H25" s="2"/>
      <c r="I25" s="2"/>
      <c r="J25" s="1" t="str">
        <f t="shared" si="0"/>
        <v>NO</v>
      </c>
      <c r="K25" s="1" t="str">
        <f t="shared" si="1"/>
        <v xml:space="preserve"> </v>
      </c>
    </row>
    <row r="26" spans="1:11" ht="21.75" customHeight="1">
      <c r="A26" s="5" t="str">
        <f>IF(E26="","",SUBTOTAL(103,$E$3:E26))</f>
        <v/>
      </c>
      <c r="B26" s="6"/>
      <c r="C26" s="6"/>
      <c r="D26" s="6"/>
      <c r="E26" s="2"/>
      <c r="F26" s="2"/>
      <c r="G26" s="2"/>
      <c r="H26" s="2"/>
      <c r="I26" s="2"/>
      <c r="J26" s="1" t="str">
        <f t="shared" si="0"/>
        <v>NO</v>
      </c>
      <c r="K26" s="1" t="str">
        <f t="shared" si="1"/>
        <v xml:space="preserve"> </v>
      </c>
    </row>
    <row r="27" spans="1:11" ht="21.75" customHeight="1">
      <c r="A27" s="5" t="str">
        <f>IF(E27="","",SUBTOTAL(103,$E$3:E27))</f>
        <v/>
      </c>
      <c r="B27" s="6"/>
      <c r="C27" s="6"/>
      <c r="D27" s="6"/>
      <c r="E27" s="2"/>
      <c r="F27" s="2"/>
      <c r="G27" s="2"/>
      <c r="H27" s="2"/>
      <c r="I27" s="2"/>
      <c r="J27" s="1" t="str">
        <f t="shared" si="0"/>
        <v>NO</v>
      </c>
      <c r="K27" s="1" t="str">
        <f t="shared" si="1"/>
        <v xml:space="preserve"> </v>
      </c>
    </row>
    <row r="28" spans="1:11" ht="21.75" customHeight="1">
      <c r="A28" s="5" t="str">
        <f>IF(E28="","",SUBTOTAL(103,$E$3:E28))</f>
        <v/>
      </c>
      <c r="B28" s="6"/>
      <c r="C28" s="6"/>
      <c r="D28" s="6"/>
      <c r="E28" s="2"/>
      <c r="F28" s="2"/>
      <c r="G28" s="2"/>
      <c r="H28" s="2"/>
      <c r="I28" s="2"/>
      <c r="J28" s="1" t="str">
        <f t="shared" si="0"/>
        <v>NO</v>
      </c>
      <c r="K28" s="1" t="str">
        <f t="shared" si="1"/>
        <v xml:space="preserve"> </v>
      </c>
    </row>
    <row r="29" spans="1:11" ht="21.75" customHeight="1">
      <c r="A29" s="5" t="str">
        <f>IF(E29="","",SUBTOTAL(103,$E$3:E29))</f>
        <v/>
      </c>
      <c r="B29" s="6"/>
      <c r="C29" s="6"/>
      <c r="D29" s="6"/>
      <c r="E29" s="2"/>
      <c r="F29" s="2"/>
      <c r="G29" s="2"/>
      <c r="H29" s="2"/>
      <c r="I29" s="2"/>
      <c r="J29" s="1" t="str">
        <f t="shared" si="0"/>
        <v>NO</v>
      </c>
      <c r="K29" s="1" t="str">
        <f t="shared" si="1"/>
        <v xml:space="preserve"> </v>
      </c>
    </row>
    <row r="30" spans="1:11" ht="21.75" customHeight="1">
      <c r="A30" s="5" t="str">
        <f>IF(E30="","",SUBTOTAL(103,$E$3:E30))</f>
        <v/>
      </c>
      <c r="B30" s="6"/>
      <c r="C30" s="6"/>
      <c r="D30" s="6"/>
      <c r="E30" s="2"/>
      <c r="F30" s="2"/>
      <c r="G30" s="2"/>
      <c r="H30" s="2"/>
      <c r="I30" s="2"/>
      <c r="J30" s="1" t="str">
        <f t="shared" si="0"/>
        <v>NO</v>
      </c>
      <c r="K30" s="1" t="str">
        <f t="shared" si="1"/>
        <v xml:space="preserve"> </v>
      </c>
    </row>
    <row r="31" spans="1:11" ht="21.75" customHeight="1">
      <c r="A31" s="5" t="str">
        <f>IF(E31="","",SUBTOTAL(103,$E$3:E31))</f>
        <v/>
      </c>
      <c r="B31" s="6"/>
      <c r="C31" s="6"/>
      <c r="D31" s="6"/>
      <c r="E31" s="2"/>
      <c r="F31" s="2"/>
      <c r="G31" s="2"/>
      <c r="H31" s="2"/>
      <c r="I31" s="2"/>
      <c r="J31" s="1" t="str">
        <f t="shared" si="0"/>
        <v>NO</v>
      </c>
      <c r="K31" s="1" t="str">
        <f t="shared" si="1"/>
        <v xml:space="preserve"> </v>
      </c>
    </row>
    <row r="32" spans="1:11" ht="21.75" customHeight="1">
      <c r="A32" s="5" t="str">
        <f>IF(E32="","",SUBTOTAL(103,$E$3:E32))</f>
        <v/>
      </c>
      <c r="B32" s="6"/>
      <c r="C32" s="6"/>
      <c r="D32" s="6"/>
      <c r="E32" s="2"/>
      <c r="F32" s="2"/>
      <c r="G32" s="2"/>
      <c r="H32" s="2"/>
      <c r="I32" s="2"/>
      <c r="J32" s="1" t="str">
        <f t="shared" si="0"/>
        <v>NO</v>
      </c>
      <c r="K32" s="1" t="str">
        <f t="shared" si="1"/>
        <v xml:space="preserve"> </v>
      </c>
    </row>
    <row r="33" spans="1:11" ht="21.75" customHeight="1">
      <c r="A33" s="5" t="str">
        <f>IF(E33="","",SUBTOTAL(103,$E$3:E33))</f>
        <v/>
      </c>
      <c r="B33" s="6"/>
      <c r="C33" s="6"/>
      <c r="D33" s="6"/>
      <c r="E33" s="2"/>
      <c r="F33" s="2"/>
      <c r="G33" s="2"/>
      <c r="H33" s="2"/>
      <c r="I33" s="2"/>
      <c r="J33" s="1" t="str">
        <f t="shared" si="0"/>
        <v>NO</v>
      </c>
      <c r="K33" s="1" t="str">
        <f t="shared" si="1"/>
        <v xml:space="preserve"> </v>
      </c>
    </row>
    <row r="34" spans="1:11" ht="21.75" customHeight="1">
      <c r="A34" s="5" t="str">
        <f>IF(E34="","",SUBTOTAL(103,$E$3:E34))</f>
        <v/>
      </c>
      <c r="B34" s="6"/>
      <c r="C34" s="6"/>
      <c r="D34" s="6"/>
      <c r="E34" s="2"/>
      <c r="F34" s="2"/>
      <c r="G34" s="2"/>
      <c r="H34" s="2"/>
      <c r="I34" s="2"/>
      <c r="J34" s="1" t="str">
        <f t="shared" si="0"/>
        <v>NO</v>
      </c>
      <c r="K34" s="1" t="str">
        <f t="shared" si="1"/>
        <v xml:space="preserve"> </v>
      </c>
    </row>
    <row r="35" spans="1:11" ht="21.75" customHeight="1">
      <c r="A35" s="5" t="str">
        <f>IF(E35="","",SUBTOTAL(103,$E$3:E35))</f>
        <v/>
      </c>
      <c r="B35" s="6"/>
      <c r="C35" s="6"/>
      <c r="D35" s="6"/>
      <c r="E35" s="2"/>
      <c r="F35" s="2"/>
      <c r="G35" s="2"/>
      <c r="H35" s="2"/>
      <c r="I35" s="2"/>
      <c r="J35" s="1" t="str">
        <f t="shared" si="0"/>
        <v>NO</v>
      </c>
      <c r="K35" s="1" t="str">
        <f t="shared" si="1"/>
        <v xml:space="preserve"> </v>
      </c>
    </row>
    <row r="36" spans="1:11" ht="21.75" customHeight="1">
      <c r="A36" s="5" t="str">
        <f>IF(E36="","",SUBTOTAL(103,$E$3:E36))</f>
        <v/>
      </c>
      <c r="B36" s="6"/>
      <c r="C36" s="6"/>
      <c r="D36" s="6"/>
      <c r="E36" s="2"/>
      <c r="F36" s="2"/>
      <c r="G36" s="2"/>
      <c r="H36" s="2"/>
      <c r="I36" s="2"/>
      <c r="J36" s="1" t="str">
        <f t="shared" si="0"/>
        <v>NO</v>
      </c>
      <c r="K36" s="1" t="str">
        <f t="shared" si="1"/>
        <v xml:space="preserve"> </v>
      </c>
    </row>
    <row r="37" spans="1:11" ht="21.75" customHeight="1">
      <c r="A37" s="5" t="str">
        <f>IF(E37="","",SUBTOTAL(103,$E$3:E37))</f>
        <v/>
      </c>
      <c r="B37" s="6"/>
      <c r="C37" s="6"/>
      <c r="D37" s="6"/>
      <c r="E37" s="2"/>
      <c r="F37" s="2"/>
      <c r="G37" s="2"/>
      <c r="H37" s="2"/>
      <c r="I37" s="2"/>
      <c r="J37" s="1" t="str">
        <f t="shared" si="0"/>
        <v>NO</v>
      </c>
      <c r="K37" s="1" t="str">
        <f t="shared" si="1"/>
        <v xml:space="preserve"> </v>
      </c>
    </row>
    <row r="38" spans="1:11" ht="21.75" customHeight="1">
      <c r="A38" s="5" t="str">
        <f>IF(E38="","",SUBTOTAL(103,$E$3:E38))</f>
        <v/>
      </c>
      <c r="B38" s="6"/>
      <c r="C38" s="6"/>
      <c r="D38" s="6"/>
      <c r="E38" s="2"/>
      <c r="F38" s="2"/>
      <c r="G38" s="2"/>
      <c r="H38" s="2"/>
      <c r="I38" s="2"/>
      <c r="J38" s="1" t="str">
        <f t="shared" si="0"/>
        <v>NO</v>
      </c>
      <c r="K38" s="1" t="str">
        <f t="shared" si="1"/>
        <v xml:space="preserve"> </v>
      </c>
    </row>
    <row r="39" spans="1:11" ht="21.75" customHeight="1">
      <c r="A39" s="5" t="str">
        <f>IF(E39="","",SUBTOTAL(103,$E$3:E39))</f>
        <v/>
      </c>
      <c r="B39" s="6"/>
      <c r="C39" s="6"/>
      <c r="D39" s="6"/>
      <c r="E39" s="2"/>
      <c r="F39" s="2"/>
      <c r="G39" s="2"/>
      <c r="H39" s="2"/>
      <c r="I39" s="2"/>
      <c r="J39" s="1" t="str">
        <f t="shared" si="0"/>
        <v>NO</v>
      </c>
      <c r="K39" s="1" t="str">
        <f t="shared" si="1"/>
        <v xml:space="preserve"> </v>
      </c>
    </row>
    <row r="40" spans="1:11" ht="21.75" customHeight="1">
      <c r="A40" s="5" t="str">
        <f>IF(E40="","",SUBTOTAL(103,$E$3:E40))</f>
        <v/>
      </c>
      <c r="B40" s="6"/>
      <c r="C40" s="6"/>
      <c r="D40" s="6"/>
      <c r="E40" s="2"/>
      <c r="F40" s="2"/>
      <c r="G40" s="2"/>
      <c r="H40" s="2"/>
      <c r="I40" s="2"/>
      <c r="J40" s="1" t="str">
        <f t="shared" si="0"/>
        <v>NO</v>
      </c>
      <c r="K40" s="1" t="str">
        <f t="shared" si="1"/>
        <v xml:space="preserve"> </v>
      </c>
    </row>
    <row r="41" spans="1:11" ht="21.75" customHeight="1">
      <c r="A41" s="5" t="str">
        <f>IF(E41="","",SUBTOTAL(103,$E$3:E41))</f>
        <v/>
      </c>
      <c r="B41" s="6"/>
      <c r="C41" s="6"/>
      <c r="D41" s="6"/>
      <c r="E41" s="2"/>
      <c r="F41" s="2"/>
      <c r="G41" s="2"/>
      <c r="H41" s="2"/>
      <c r="I41" s="2"/>
      <c r="J41" s="1" t="str">
        <f t="shared" si="0"/>
        <v>NO</v>
      </c>
      <c r="K41" s="1" t="str">
        <f t="shared" si="1"/>
        <v xml:space="preserve"> </v>
      </c>
    </row>
    <row r="42" spans="1:11" ht="21.75" customHeight="1">
      <c r="A42" s="5" t="str">
        <f>IF(E42="","",SUBTOTAL(103,$E$3:E42))</f>
        <v/>
      </c>
      <c r="B42" s="6"/>
      <c r="C42" s="6"/>
      <c r="D42" s="6"/>
      <c r="E42" s="2"/>
      <c r="F42" s="2"/>
      <c r="G42" s="2"/>
      <c r="H42" s="2"/>
      <c r="I42" s="2"/>
      <c r="J42" s="1" t="str">
        <f t="shared" si="0"/>
        <v>NO</v>
      </c>
      <c r="K42" s="1" t="str">
        <f t="shared" si="1"/>
        <v xml:space="preserve"> </v>
      </c>
    </row>
    <row r="43" spans="1:11" ht="21.75" customHeight="1">
      <c r="A43" s="5" t="str">
        <f>IF(E43="","",SUBTOTAL(103,$E$3:E43))</f>
        <v/>
      </c>
      <c r="B43" s="6"/>
      <c r="C43" s="6"/>
      <c r="D43" s="6"/>
      <c r="E43" s="2"/>
      <c r="F43" s="2"/>
      <c r="G43" s="2"/>
      <c r="H43" s="2"/>
      <c r="I43" s="2"/>
      <c r="J43" s="1" t="str">
        <f t="shared" si="0"/>
        <v>NO</v>
      </c>
      <c r="K43" s="1" t="str">
        <f t="shared" si="1"/>
        <v xml:space="preserve"> </v>
      </c>
    </row>
    <row r="44" spans="1:11" ht="21.75" customHeight="1">
      <c r="A44" s="5" t="str">
        <f>IF(E44="","",SUBTOTAL(103,$E$3:E44))</f>
        <v/>
      </c>
      <c r="B44" s="6"/>
      <c r="C44" s="6"/>
      <c r="D44" s="6"/>
      <c r="E44" s="2"/>
      <c r="F44" s="2"/>
      <c r="G44" s="2"/>
      <c r="H44" s="2"/>
      <c r="I44" s="2"/>
      <c r="J44" s="1" t="str">
        <f t="shared" si="0"/>
        <v>NO</v>
      </c>
      <c r="K44" s="1" t="str">
        <f t="shared" si="1"/>
        <v xml:space="preserve"> </v>
      </c>
    </row>
    <row r="45" spans="1:11" ht="21.75" customHeight="1">
      <c r="A45" s="5" t="str">
        <f>IF(E45="","",SUBTOTAL(103,$E$3:E45))</f>
        <v/>
      </c>
      <c r="B45" s="6"/>
      <c r="C45" s="6"/>
      <c r="D45" s="6"/>
      <c r="E45" s="2"/>
      <c r="F45" s="2"/>
      <c r="G45" s="2"/>
      <c r="H45" s="2"/>
      <c r="I45" s="2"/>
      <c r="J45" s="1" t="str">
        <f t="shared" si="0"/>
        <v>NO</v>
      </c>
      <c r="K45" s="1" t="str">
        <f t="shared" si="1"/>
        <v xml:space="preserve"> </v>
      </c>
    </row>
    <row r="46" spans="1:11" ht="21.75" customHeight="1">
      <c r="A46" s="5" t="str">
        <f>IF(E46="","",SUBTOTAL(103,$E$3:E46))</f>
        <v/>
      </c>
      <c r="B46" s="6"/>
      <c r="C46" s="6"/>
      <c r="D46" s="6"/>
      <c r="E46" s="2"/>
      <c r="F46" s="2"/>
      <c r="G46" s="2"/>
      <c r="H46" s="2"/>
      <c r="I46" s="2"/>
      <c r="J46" s="1" t="str">
        <f t="shared" si="0"/>
        <v>NO</v>
      </c>
      <c r="K46" s="1" t="str">
        <f t="shared" si="1"/>
        <v xml:space="preserve"> </v>
      </c>
    </row>
    <row r="47" spans="1:11" ht="21.75" customHeight="1">
      <c r="A47" s="5" t="str">
        <f>IF(E47="","",SUBTOTAL(103,$E$3:E47))</f>
        <v/>
      </c>
      <c r="B47" s="6"/>
      <c r="C47" s="6"/>
      <c r="D47" s="6"/>
      <c r="E47" s="2"/>
      <c r="F47" s="2"/>
      <c r="G47" s="2"/>
      <c r="H47" s="2"/>
      <c r="I47" s="2"/>
      <c r="J47" s="1" t="str">
        <f t="shared" si="0"/>
        <v>NO</v>
      </c>
      <c r="K47" s="1" t="str">
        <f t="shared" si="1"/>
        <v xml:space="preserve"> </v>
      </c>
    </row>
    <row r="48" spans="1:11" ht="21.75" customHeight="1">
      <c r="A48" s="5" t="str">
        <f>IF(E48="","",SUBTOTAL(103,$E$3:E48))</f>
        <v/>
      </c>
      <c r="B48" s="6"/>
      <c r="C48" s="6"/>
      <c r="D48" s="6"/>
      <c r="E48" s="2"/>
      <c r="F48" s="2"/>
      <c r="G48" s="2"/>
      <c r="H48" s="2"/>
      <c r="I48" s="2"/>
      <c r="J48" s="1" t="str">
        <f t="shared" si="0"/>
        <v>NO</v>
      </c>
      <c r="K48" s="1" t="str">
        <f t="shared" si="1"/>
        <v xml:space="preserve"> </v>
      </c>
    </row>
    <row r="49" spans="1:11" ht="21.75" customHeight="1">
      <c r="A49" s="5" t="str">
        <f>IF(E49="","",SUBTOTAL(103,$E$3:E49))</f>
        <v/>
      </c>
      <c r="B49" s="6"/>
      <c r="C49" s="6"/>
      <c r="D49" s="6"/>
      <c r="E49" s="2"/>
      <c r="F49" s="2"/>
      <c r="G49" s="2"/>
      <c r="H49" s="2"/>
      <c r="I49" s="2"/>
      <c r="J49" s="1" t="str">
        <f t="shared" si="0"/>
        <v>NO</v>
      </c>
      <c r="K49" s="1" t="str">
        <f t="shared" si="1"/>
        <v xml:space="preserve"> </v>
      </c>
    </row>
    <row r="50" spans="1:11" ht="21.75" customHeight="1">
      <c r="A50" s="5" t="str">
        <f>IF(E50="","",SUBTOTAL(103,$E$3:E50))</f>
        <v/>
      </c>
      <c r="B50" s="6"/>
      <c r="C50" s="6"/>
      <c r="D50" s="6"/>
      <c r="E50" s="2"/>
      <c r="F50" s="2"/>
      <c r="G50" s="2"/>
      <c r="H50" s="2"/>
      <c r="I50" s="2"/>
      <c r="J50" s="1" t="str">
        <f t="shared" si="0"/>
        <v>NO</v>
      </c>
      <c r="K50" s="1" t="str">
        <f t="shared" si="1"/>
        <v xml:space="preserve"> </v>
      </c>
    </row>
    <row r="51" spans="1:11" ht="21.75" customHeight="1">
      <c r="A51" s="5" t="str">
        <f>IF(E51="","",SUBTOTAL(103,$E$3:E51))</f>
        <v/>
      </c>
      <c r="B51" s="6"/>
      <c r="C51" s="6"/>
      <c r="D51" s="6"/>
      <c r="E51" s="2"/>
      <c r="F51" s="2"/>
      <c r="G51" s="2"/>
      <c r="H51" s="2"/>
      <c r="I51" s="2"/>
      <c r="J51" s="1" t="str">
        <f t="shared" si="0"/>
        <v>NO</v>
      </c>
      <c r="K51" s="1" t="str">
        <f t="shared" si="1"/>
        <v xml:space="preserve"> </v>
      </c>
    </row>
    <row r="52" spans="1:11" ht="21.75" customHeight="1">
      <c r="A52" s="5" t="str">
        <f>IF(E52="","",SUBTOTAL(103,$E$3:E52))</f>
        <v/>
      </c>
      <c r="B52" s="6"/>
      <c r="C52" s="6"/>
      <c r="D52" s="6"/>
      <c r="E52" s="2"/>
      <c r="F52" s="2"/>
      <c r="G52" s="2"/>
      <c r="H52" s="2"/>
      <c r="I52" s="2"/>
      <c r="J52" s="1" t="str">
        <f t="shared" si="0"/>
        <v>NO</v>
      </c>
      <c r="K52" s="1" t="str">
        <f t="shared" si="1"/>
        <v xml:space="preserve"> </v>
      </c>
    </row>
    <row r="53" spans="1:11" ht="21.75" customHeight="1">
      <c r="A53" s="5" t="str">
        <f>IF(E53="","",SUBTOTAL(103,$E$3:E53))</f>
        <v/>
      </c>
      <c r="B53" s="6"/>
      <c r="C53" s="6"/>
      <c r="D53" s="6"/>
      <c r="E53" s="2"/>
      <c r="F53" s="2"/>
      <c r="G53" s="2"/>
      <c r="H53" s="2"/>
      <c r="I53" s="2"/>
      <c r="J53" s="1" t="str">
        <f t="shared" si="0"/>
        <v>NO</v>
      </c>
      <c r="K53" s="1" t="str">
        <f t="shared" si="1"/>
        <v xml:space="preserve"> </v>
      </c>
    </row>
    <row r="54" spans="1:11" ht="21.75" customHeight="1">
      <c r="A54" s="5" t="str">
        <f>IF(E54="","",SUBTOTAL(103,$E$3:E54))</f>
        <v/>
      </c>
      <c r="B54" s="6"/>
      <c r="C54" s="6"/>
      <c r="D54" s="6"/>
      <c r="E54" s="2"/>
      <c r="F54" s="2"/>
      <c r="G54" s="2"/>
      <c r="H54" s="2"/>
      <c r="I54" s="2"/>
      <c r="J54" s="1" t="str">
        <f t="shared" si="0"/>
        <v>NO</v>
      </c>
      <c r="K54" s="1" t="str">
        <f t="shared" si="1"/>
        <v xml:space="preserve"> </v>
      </c>
    </row>
    <row r="55" spans="1:11" ht="21.75" customHeight="1">
      <c r="A55" s="5" t="str">
        <f>IF(E55="","",SUBTOTAL(103,$E$3:E55))</f>
        <v/>
      </c>
      <c r="B55" s="6"/>
      <c r="C55" s="6"/>
      <c r="D55" s="6"/>
      <c r="E55" s="2"/>
      <c r="F55" s="2"/>
      <c r="G55" s="2"/>
      <c r="H55" s="2"/>
      <c r="I55" s="2"/>
      <c r="J55" s="1" t="str">
        <f t="shared" si="0"/>
        <v>NO</v>
      </c>
      <c r="K55" s="1" t="str">
        <f t="shared" si="1"/>
        <v xml:space="preserve"> </v>
      </c>
    </row>
    <row r="56" spans="1:11" ht="21.75" customHeight="1">
      <c r="A56" s="5" t="str">
        <f>IF(E56="","",SUBTOTAL(103,$E$3:E56))</f>
        <v/>
      </c>
      <c r="B56" s="6"/>
      <c r="C56" s="6"/>
      <c r="D56" s="6"/>
      <c r="E56" s="2"/>
      <c r="F56" s="2"/>
      <c r="G56" s="2"/>
      <c r="H56" s="2"/>
      <c r="I56" s="2"/>
      <c r="J56" s="1" t="str">
        <f t="shared" si="0"/>
        <v>NO</v>
      </c>
      <c r="K56" s="1" t="str">
        <f t="shared" si="1"/>
        <v xml:space="preserve"> </v>
      </c>
    </row>
    <row r="57" spans="1:11" ht="21.75" customHeight="1">
      <c r="A57" s="5" t="str">
        <f>IF(E57="","",SUBTOTAL(103,$E$3:E57))</f>
        <v/>
      </c>
      <c r="B57" s="6"/>
      <c r="C57" s="6"/>
      <c r="D57" s="6"/>
      <c r="E57" s="2"/>
      <c r="F57" s="2"/>
      <c r="G57" s="2"/>
      <c r="H57" s="2"/>
      <c r="I57" s="2"/>
      <c r="J57" s="1" t="str">
        <f t="shared" si="0"/>
        <v>NO</v>
      </c>
      <c r="K57" s="1" t="str">
        <f t="shared" si="1"/>
        <v xml:space="preserve"> </v>
      </c>
    </row>
    <row r="58" spans="1:11" ht="21.75" customHeight="1">
      <c r="A58" s="5" t="str">
        <f>IF(E58="","",SUBTOTAL(103,$E$3:E58))</f>
        <v/>
      </c>
      <c r="B58" s="6"/>
      <c r="C58" s="6"/>
      <c r="D58" s="6"/>
      <c r="E58" s="2"/>
      <c r="F58" s="2"/>
      <c r="G58" s="2"/>
      <c r="H58" s="2"/>
      <c r="I58" s="2"/>
      <c r="J58" s="1" t="str">
        <f t="shared" si="0"/>
        <v>NO</v>
      </c>
      <c r="K58" s="1" t="str">
        <f t="shared" si="1"/>
        <v xml:space="preserve"> </v>
      </c>
    </row>
    <row r="59" spans="1:11" ht="21.75" customHeight="1">
      <c r="A59" s="5" t="str">
        <f>IF(E59="","",SUBTOTAL(103,$E$3:E59))</f>
        <v/>
      </c>
      <c r="B59" s="6"/>
      <c r="C59" s="6"/>
      <c r="D59" s="6"/>
      <c r="E59" s="2"/>
      <c r="F59" s="2"/>
      <c r="G59" s="2"/>
      <c r="H59" s="2"/>
      <c r="I59" s="2"/>
      <c r="J59" s="1" t="str">
        <f t="shared" si="0"/>
        <v>NO</v>
      </c>
      <c r="K59" s="1" t="str">
        <f t="shared" si="1"/>
        <v xml:space="preserve"> </v>
      </c>
    </row>
    <row r="60" spans="1:11" ht="21.75" customHeight="1">
      <c r="A60" s="5" t="str">
        <f>IF(E60="","",SUBTOTAL(103,$E$3:E60))</f>
        <v/>
      </c>
      <c r="B60" s="6"/>
      <c r="C60" s="6"/>
      <c r="D60" s="6"/>
      <c r="E60" s="2"/>
      <c r="F60" s="2"/>
      <c r="G60" s="2"/>
      <c r="H60" s="2"/>
      <c r="I60" s="2"/>
      <c r="J60" s="1" t="str">
        <f t="shared" si="0"/>
        <v>NO</v>
      </c>
      <c r="K60" s="1" t="str">
        <f t="shared" si="1"/>
        <v xml:space="preserve"> </v>
      </c>
    </row>
    <row r="61" spans="1:11" ht="21.75" customHeight="1">
      <c r="A61" s="5" t="str">
        <f>IF(E61="","",SUBTOTAL(103,$E$3:E61))</f>
        <v/>
      </c>
      <c r="B61" s="6"/>
      <c r="C61" s="6"/>
      <c r="D61" s="6"/>
      <c r="E61" s="2"/>
      <c r="F61" s="2"/>
      <c r="G61" s="2"/>
      <c r="H61" s="2"/>
      <c r="I61" s="2"/>
      <c r="J61" s="1" t="str">
        <f t="shared" si="0"/>
        <v>NO</v>
      </c>
      <c r="K61" s="1" t="str">
        <f t="shared" si="1"/>
        <v xml:space="preserve"> </v>
      </c>
    </row>
    <row r="62" spans="1:11" ht="21.75" customHeight="1">
      <c r="A62" s="5" t="str">
        <f>IF(E62="","",SUBTOTAL(103,$E$3:E62))</f>
        <v/>
      </c>
      <c r="B62" s="6"/>
      <c r="C62" s="6"/>
      <c r="D62" s="6"/>
      <c r="E62" s="2"/>
      <c r="F62" s="2"/>
      <c r="G62" s="2"/>
      <c r="H62" s="2"/>
      <c r="I62" s="2"/>
      <c r="J62" s="1" t="str">
        <f t="shared" si="0"/>
        <v>NO</v>
      </c>
      <c r="K62" s="1" t="str">
        <f t="shared" si="1"/>
        <v xml:space="preserve"> </v>
      </c>
    </row>
    <row r="63" spans="1:11" ht="21.75" customHeight="1">
      <c r="A63" s="5" t="str">
        <f>IF(E63="","",SUBTOTAL(103,$E$3:E63))</f>
        <v/>
      </c>
      <c r="B63" s="6"/>
      <c r="C63" s="6"/>
      <c r="D63" s="6"/>
      <c r="E63" s="2"/>
      <c r="F63" s="2"/>
      <c r="G63" s="2"/>
      <c r="H63" s="2"/>
      <c r="I63" s="2"/>
      <c r="J63" s="1" t="str">
        <f t="shared" si="0"/>
        <v>NO</v>
      </c>
      <c r="K63" s="1" t="str">
        <f t="shared" si="1"/>
        <v xml:space="preserve"> </v>
      </c>
    </row>
    <row r="64" spans="1:11" ht="21.75" customHeight="1">
      <c r="A64" s="5" t="str">
        <f>IF(E64="","",SUBTOTAL(103,$E$3:E64))</f>
        <v/>
      </c>
      <c r="B64" s="6"/>
      <c r="C64" s="6"/>
      <c r="D64" s="6"/>
      <c r="E64" s="2"/>
      <c r="F64" s="2"/>
      <c r="G64" s="2"/>
      <c r="H64" s="2"/>
      <c r="I64" s="2"/>
      <c r="J64" s="1" t="str">
        <f t="shared" si="0"/>
        <v>NO</v>
      </c>
      <c r="K64" s="1" t="str">
        <f t="shared" si="1"/>
        <v xml:space="preserve"> </v>
      </c>
    </row>
    <row r="65" spans="1:11" ht="21.75" customHeight="1">
      <c r="A65" s="5" t="str">
        <f>IF(E65="","",SUBTOTAL(103,$E$3:E65))</f>
        <v/>
      </c>
      <c r="B65" s="6"/>
      <c r="C65" s="6"/>
      <c r="D65" s="6"/>
      <c r="E65" s="2"/>
      <c r="F65" s="2"/>
      <c r="G65" s="2"/>
      <c r="H65" s="2"/>
      <c r="I65" s="2"/>
      <c r="J65" s="1" t="str">
        <f t="shared" si="0"/>
        <v>NO</v>
      </c>
      <c r="K65" s="1" t="str">
        <f t="shared" si="1"/>
        <v xml:space="preserve"> </v>
      </c>
    </row>
    <row r="66" spans="1:11" ht="21.75" customHeight="1">
      <c r="A66" s="5" t="str">
        <f>IF(E66="","",SUBTOTAL(103,$E$3:E66))</f>
        <v/>
      </c>
      <c r="B66" s="6"/>
      <c r="C66" s="6"/>
      <c r="D66" s="6"/>
      <c r="E66" s="2"/>
      <c r="F66" s="2"/>
      <c r="G66" s="2"/>
      <c r="H66" s="2"/>
      <c r="I66" s="2"/>
      <c r="J66" s="1" t="str">
        <f t="shared" si="0"/>
        <v>NO</v>
      </c>
      <c r="K66" s="1" t="str">
        <f t="shared" si="1"/>
        <v xml:space="preserve"> </v>
      </c>
    </row>
    <row r="67" spans="1:11" ht="21.75" customHeight="1">
      <c r="A67" s="5" t="str">
        <f>IF(E67="","",SUBTOTAL(103,$E$3:E67))</f>
        <v/>
      </c>
      <c r="B67" s="6"/>
      <c r="C67" s="6"/>
      <c r="D67" s="6"/>
      <c r="E67" s="2"/>
      <c r="F67" s="2"/>
      <c r="G67" s="2"/>
      <c r="H67" s="2"/>
      <c r="I67" s="2"/>
      <c r="J67" s="1" t="str">
        <f t="shared" ref="J67:J130" si="2">IF(ISERROR(SEARCH("热处理", E67))=FALSE, "XLN", IF(ISERROR(SEARCH("114", E67))=FALSE, "XLN", IF(ISERROR(SEARCH("OM", E67))=FALSE, "NO", IF(ISERROR(SEARCH("试棒毛坯", E67))=FALSE, "XLN", IF(ISERROR(SEARCH("M35", F67))=FALSE, "NO", IF(OR(LEFT(F67, 2)="DN", LEFT(F67, 3)="NPS", ISERROR(SEARCH("LADISH", E67))=FALSE), "XLN", "NO"))))))</f>
        <v>NO</v>
      </c>
      <c r="K67" s="1" t="str">
        <f t="shared" si="1"/>
        <v xml:space="preserve"> </v>
      </c>
    </row>
    <row r="68" spans="1:11" ht="21.75" customHeight="1">
      <c r="A68" s="5" t="str">
        <f>IF(E68="","",SUBTOTAL(103,$E$3:E68))</f>
        <v/>
      </c>
      <c r="B68" s="6"/>
      <c r="C68" s="6"/>
      <c r="D68" s="6"/>
      <c r="E68" s="2"/>
      <c r="F68" s="2"/>
      <c r="G68" s="2"/>
      <c r="H68" s="2"/>
      <c r="I68" s="2"/>
      <c r="J68" s="1" t="str">
        <f t="shared" si="2"/>
        <v>NO</v>
      </c>
      <c r="K68" s="1" t="str">
        <f t="shared" ref="K68:K131" si="3">IF(ISERROR(FIND("304",F68))=FALSE,304,IF(ISERROR(FIND("316",F68))=FALSE,316,IF(ISERROR(FIND("CF8M",F68))=FALSE,316,IF(ISERROR(SEARCH("wcb",F68))=FALSE,"WCB",IF(ISERROR(SEARCH("cd3mn",F68))=FALSE,"CD3MN",IF(ISERROR(SEARCH("CN7M",F68))=FALSE,"CN7M",IF(ISERROR(SEARCH("M35",F68))=FALSE,"M35",IF(ISERROR(SEARCH("CF3M",F68))=FALSE,"CF3M",IF(ISERROR(SEARCH("CD3MWCuN",F68))=FALSE, "CD3MWCuN",  IF(ISERROR(SEARCH("CW12MW",F68))=FALSE, "CW12MW", IF(ISERROR(SEARCH("CF8",F68))=FALSE, 304," ")))))))))))</f>
        <v xml:space="preserve"> </v>
      </c>
    </row>
    <row r="69" spans="1:11" ht="21.75" customHeight="1">
      <c r="A69" s="5" t="str">
        <f>IF(E69="","",SUBTOTAL(103,$E$3:E69))</f>
        <v/>
      </c>
      <c r="B69" s="6"/>
      <c r="C69" s="6"/>
      <c r="D69" s="6"/>
      <c r="E69" s="2"/>
      <c r="F69" s="2"/>
      <c r="G69" s="2"/>
      <c r="H69" s="2"/>
      <c r="I69" s="2"/>
      <c r="J69" s="1" t="str">
        <f t="shared" si="2"/>
        <v>NO</v>
      </c>
      <c r="K69" s="1" t="str">
        <f t="shared" si="3"/>
        <v xml:space="preserve"> </v>
      </c>
    </row>
    <row r="70" spans="1:11" ht="21.75" customHeight="1">
      <c r="A70" s="5" t="str">
        <f>IF(E70="","",SUBTOTAL(103,$E$3:E70))</f>
        <v/>
      </c>
      <c r="B70" s="6"/>
      <c r="C70" s="6"/>
      <c r="D70" s="6"/>
      <c r="E70" s="2"/>
      <c r="F70" s="2"/>
      <c r="G70" s="2"/>
      <c r="H70" s="2"/>
      <c r="I70" s="2"/>
      <c r="J70" s="1" t="str">
        <f t="shared" si="2"/>
        <v>NO</v>
      </c>
      <c r="K70" s="1" t="str">
        <f t="shared" si="3"/>
        <v xml:space="preserve"> </v>
      </c>
    </row>
    <row r="71" spans="1:11" ht="21.75" customHeight="1">
      <c r="A71" s="5" t="str">
        <f>IF(E71="","",SUBTOTAL(103,$E$3:E71))</f>
        <v/>
      </c>
      <c r="B71" s="6"/>
      <c r="C71" s="6"/>
      <c r="D71" s="6"/>
      <c r="E71" s="2"/>
      <c r="F71" s="2"/>
      <c r="G71" s="2"/>
      <c r="H71" s="2"/>
      <c r="I71" s="2"/>
      <c r="J71" s="1" t="str">
        <f t="shared" si="2"/>
        <v>NO</v>
      </c>
      <c r="K71" s="1" t="str">
        <f t="shared" si="3"/>
        <v xml:space="preserve"> </v>
      </c>
    </row>
    <row r="72" spans="1:11" ht="21.75" customHeight="1">
      <c r="A72" s="5" t="str">
        <f>IF(E72="","",SUBTOTAL(103,$E$3:E72))</f>
        <v/>
      </c>
      <c r="B72" s="6"/>
      <c r="C72" s="6"/>
      <c r="D72" s="6"/>
      <c r="E72" s="2"/>
      <c r="F72" s="2"/>
      <c r="G72" s="2"/>
      <c r="H72" s="2"/>
      <c r="I72" s="2"/>
      <c r="J72" s="1" t="str">
        <f t="shared" si="2"/>
        <v>NO</v>
      </c>
      <c r="K72" s="1" t="str">
        <f t="shared" si="3"/>
        <v xml:space="preserve"> </v>
      </c>
    </row>
    <row r="73" spans="1:11" ht="21.75" customHeight="1">
      <c r="A73" s="5" t="str">
        <f>IF(E73="","",SUBTOTAL(103,$E$3:E73))</f>
        <v/>
      </c>
      <c r="B73" s="6"/>
      <c r="C73" s="6"/>
      <c r="D73" s="6"/>
      <c r="E73" s="2"/>
      <c r="F73" s="2"/>
      <c r="G73" s="2"/>
      <c r="H73" s="2"/>
      <c r="I73" s="2"/>
      <c r="J73" s="1" t="str">
        <f t="shared" si="2"/>
        <v>NO</v>
      </c>
      <c r="K73" s="1" t="str">
        <f t="shared" si="3"/>
        <v xml:space="preserve"> </v>
      </c>
    </row>
    <row r="74" spans="1:11" ht="21.75" customHeight="1">
      <c r="A74" s="5" t="str">
        <f>IF(E74="","",SUBTOTAL(103,$E$3:E74))</f>
        <v/>
      </c>
      <c r="B74" s="6"/>
      <c r="C74" s="6"/>
      <c r="D74" s="6"/>
      <c r="E74" s="2"/>
      <c r="F74" s="2"/>
      <c r="G74" s="2"/>
      <c r="H74" s="2"/>
      <c r="I74" s="2"/>
      <c r="J74" s="1" t="str">
        <f t="shared" si="2"/>
        <v>NO</v>
      </c>
      <c r="K74" s="1" t="str">
        <f t="shared" si="3"/>
        <v xml:space="preserve"> </v>
      </c>
    </row>
    <row r="75" spans="1:11" ht="21.75" customHeight="1">
      <c r="A75" s="5" t="str">
        <f>IF(E75="","",SUBTOTAL(103,$E$3:E75))</f>
        <v/>
      </c>
      <c r="B75" s="6"/>
      <c r="C75" s="6"/>
      <c r="D75" s="6"/>
      <c r="E75" s="2"/>
      <c r="F75" s="2"/>
      <c r="G75" s="2"/>
      <c r="H75" s="2"/>
      <c r="I75" s="2"/>
      <c r="J75" s="1" t="str">
        <f t="shared" si="2"/>
        <v>NO</v>
      </c>
      <c r="K75" s="1" t="str">
        <f t="shared" si="3"/>
        <v xml:space="preserve"> </v>
      </c>
    </row>
    <row r="76" spans="1:11" ht="21.75" customHeight="1">
      <c r="A76" s="5" t="str">
        <f>IF(E76="","",SUBTOTAL(103,$E$3:E76))</f>
        <v/>
      </c>
      <c r="B76" s="6"/>
      <c r="C76" s="6"/>
      <c r="D76" s="6"/>
      <c r="E76" s="2"/>
      <c r="F76" s="2"/>
      <c r="G76" s="2"/>
      <c r="H76" s="2"/>
      <c r="I76" s="2"/>
      <c r="J76" s="1" t="str">
        <f t="shared" si="2"/>
        <v>NO</v>
      </c>
      <c r="K76" s="1" t="str">
        <f t="shared" si="3"/>
        <v xml:space="preserve"> </v>
      </c>
    </row>
    <row r="77" spans="1:11" ht="21.75" customHeight="1">
      <c r="A77" s="5" t="str">
        <f>IF(E77="","",SUBTOTAL(103,$E$3:E77))</f>
        <v/>
      </c>
      <c r="B77" s="6"/>
      <c r="C77" s="6"/>
      <c r="D77" s="6"/>
      <c r="E77" s="2"/>
      <c r="F77" s="2"/>
      <c r="G77" s="2"/>
      <c r="H77" s="2"/>
      <c r="I77" s="2"/>
      <c r="J77" s="1" t="str">
        <f t="shared" si="2"/>
        <v>NO</v>
      </c>
      <c r="K77" s="1" t="str">
        <f t="shared" si="3"/>
        <v xml:space="preserve"> </v>
      </c>
    </row>
    <row r="78" spans="1:11" ht="21.75" customHeight="1">
      <c r="A78" s="5" t="str">
        <f>IF(E78="","",SUBTOTAL(103,$E$3:E78))</f>
        <v/>
      </c>
      <c r="B78" s="6"/>
      <c r="C78" s="6"/>
      <c r="D78" s="6"/>
      <c r="E78" s="2"/>
      <c r="F78" s="2"/>
      <c r="G78" s="2"/>
      <c r="H78" s="2"/>
      <c r="I78" s="2"/>
      <c r="J78" s="1" t="str">
        <f t="shared" si="2"/>
        <v>NO</v>
      </c>
      <c r="K78" s="1" t="str">
        <f t="shared" si="3"/>
        <v xml:space="preserve"> </v>
      </c>
    </row>
    <row r="79" spans="1:11" ht="21.75" customHeight="1">
      <c r="A79" s="5" t="str">
        <f>IF(E79="","",SUBTOTAL(103,$E$3:E79))</f>
        <v/>
      </c>
      <c r="B79" s="6"/>
      <c r="C79" s="6"/>
      <c r="D79" s="6"/>
      <c r="E79" s="2"/>
      <c r="F79" s="2"/>
      <c r="G79" s="2"/>
      <c r="H79" s="2"/>
      <c r="I79" s="2"/>
      <c r="J79" s="1" t="str">
        <f t="shared" si="2"/>
        <v>NO</v>
      </c>
      <c r="K79" s="1" t="str">
        <f t="shared" si="3"/>
        <v xml:space="preserve"> </v>
      </c>
    </row>
    <row r="80" spans="1:11" ht="21.75" customHeight="1">
      <c r="A80" s="5" t="str">
        <f>IF(E80="","",SUBTOTAL(103,$E$3:E80))</f>
        <v/>
      </c>
      <c r="B80" s="6"/>
      <c r="C80" s="6"/>
      <c r="D80" s="6"/>
      <c r="E80" s="2"/>
      <c r="F80" s="2"/>
      <c r="G80" s="2"/>
      <c r="H80" s="2"/>
      <c r="I80" s="2"/>
      <c r="J80" s="1" t="str">
        <f t="shared" si="2"/>
        <v>NO</v>
      </c>
      <c r="K80" s="1" t="str">
        <f t="shared" si="3"/>
        <v xml:space="preserve"> </v>
      </c>
    </row>
    <row r="81" spans="1:11" ht="21.75" customHeight="1">
      <c r="A81" s="5" t="str">
        <f>IF(E81="","",SUBTOTAL(103,$E$3:E81))</f>
        <v/>
      </c>
      <c r="B81" s="6"/>
      <c r="C81" s="6"/>
      <c r="D81" s="6"/>
      <c r="E81" s="2"/>
      <c r="F81" s="2"/>
      <c r="G81" s="2"/>
      <c r="H81" s="2"/>
      <c r="I81" s="2"/>
      <c r="J81" s="1" t="str">
        <f t="shared" si="2"/>
        <v>NO</v>
      </c>
      <c r="K81" s="1" t="str">
        <f t="shared" si="3"/>
        <v xml:space="preserve"> </v>
      </c>
    </row>
    <row r="82" spans="1:11" ht="21.75" customHeight="1">
      <c r="A82" s="5" t="str">
        <f>IF(E82="","",SUBTOTAL(103,$E$3:E82))</f>
        <v/>
      </c>
      <c r="B82" s="6"/>
      <c r="C82" s="6"/>
      <c r="D82" s="6"/>
      <c r="E82" s="2"/>
      <c r="F82" s="2"/>
      <c r="G82" s="2"/>
      <c r="H82" s="2"/>
      <c r="I82" s="2"/>
      <c r="J82" s="1" t="str">
        <f t="shared" si="2"/>
        <v>NO</v>
      </c>
      <c r="K82" s="1" t="str">
        <f t="shared" si="3"/>
        <v xml:space="preserve"> </v>
      </c>
    </row>
    <row r="83" spans="1:11" ht="21.75" customHeight="1">
      <c r="A83" s="5" t="str">
        <f>IF(E83="","",SUBTOTAL(103,$E$3:E83))</f>
        <v/>
      </c>
      <c r="B83" s="6"/>
      <c r="C83" s="6"/>
      <c r="D83" s="6"/>
      <c r="E83" s="2"/>
      <c r="F83" s="2"/>
      <c r="G83" s="2"/>
      <c r="H83" s="2"/>
      <c r="I83" s="2"/>
      <c r="J83" s="1" t="str">
        <f t="shared" si="2"/>
        <v>NO</v>
      </c>
      <c r="K83" s="1" t="str">
        <f t="shared" si="3"/>
        <v xml:space="preserve"> </v>
      </c>
    </row>
    <row r="84" spans="1:11" ht="21.75" customHeight="1">
      <c r="A84" s="5" t="str">
        <f>IF(E84="","",SUBTOTAL(103,$E$3:E84))</f>
        <v/>
      </c>
      <c r="B84" s="6"/>
      <c r="C84" s="6"/>
      <c r="D84" s="6"/>
      <c r="E84" s="2"/>
      <c r="F84" s="2"/>
      <c r="G84" s="2"/>
      <c r="H84" s="2"/>
      <c r="I84" s="2"/>
      <c r="J84" s="1" t="str">
        <f t="shared" si="2"/>
        <v>NO</v>
      </c>
      <c r="K84" s="1" t="str">
        <f t="shared" si="3"/>
        <v xml:space="preserve"> </v>
      </c>
    </row>
    <row r="85" spans="1:11" ht="21.75" customHeight="1">
      <c r="A85" s="5" t="str">
        <f>IF(E85="","",SUBTOTAL(103,$E$3:E85))</f>
        <v/>
      </c>
      <c r="B85" s="6"/>
      <c r="C85" s="6"/>
      <c r="D85" s="6"/>
      <c r="E85" s="2"/>
      <c r="F85" s="2"/>
      <c r="G85" s="2"/>
      <c r="H85" s="2"/>
      <c r="I85" s="2"/>
      <c r="J85" s="1" t="str">
        <f t="shared" si="2"/>
        <v>NO</v>
      </c>
      <c r="K85" s="1" t="str">
        <f t="shared" si="3"/>
        <v xml:space="preserve"> </v>
      </c>
    </row>
    <row r="86" spans="1:11" ht="21.75" customHeight="1">
      <c r="A86" s="5" t="str">
        <f>IF(E86="","",SUBTOTAL(103,$E$3:E86))</f>
        <v/>
      </c>
      <c r="B86" s="6"/>
      <c r="C86" s="6"/>
      <c r="D86" s="6"/>
      <c r="E86" s="2"/>
      <c r="F86" s="2"/>
      <c r="G86" s="2"/>
      <c r="H86" s="2"/>
      <c r="I86" s="2"/>
      <c r="J86" s="1" t="str">
        <f t="shared" si="2"/>
        <v>NO</v>
      </c>
      <c r="K86" s="1" t="str">
        <f t="shared" si="3"/>
        <v xml:space="preserve"> </v>
      </c>
    </row>
    <row r="87" spans="1:11" ht="21.75" customHeight="1">
      <c r="A87" s="5" t="str">
        <f>IF(E87="","",SUBTOTAL(103,$E$3:E87))</f>
        <v/>
      </c>
      <c r="B87" s="6"/>
      <c r="C87" s="6"/>
      <c r="D87" s="6"/>
      <c r="E87" s="2"/>
      <c r="F87" s="2"/>
      <c r="G87" s="2"/>
      <c r="H87" s="2"/>
      <c r="I87" s="2"/>
      <c r="J87" s="1" t="str">
        <f t="shared" si="2"/>
        <v>NO</v>
      </c>
      <c r="K87" s="1" t="str">
        <f t="shared" si="3"/>
        <v xml:space="preserve"> </v>
      </c>
    </row>
    <row r="88" spans="1:11" ht="21.75" customHeight="1">
      <c r="A88" s="5" t="str">
        <f>IF(E88="","",SUBTOTAL(103,$E$3:E88))</f>
        <v/>
      </c>
      <c r="B88" s="6"/>
      <c r="C88" s="6"/>
      <c r="D88" s="6"/>
      <c r="E88" s="2"/>
      <c r="F88" s="2"/>
      <c r="G88" s="2"/>
      <c r="H88" s="2"/>
      <c r="I88" s="2"/>
      <c r="J88" s="1" t="str">
        <f t="shared" si="2"/>
        <v>NO</v>
      </c>
      <c r="K88" s="1" t="str">
        <f t="shared" si="3"/>
        <v xml:space="preserve"> </v>
      </c>
    </row>
    <row r="89" spans="1:11" ht="21.75" customHeight="1">
      <c r="A89" s="5" t="str">
        <f>IF(E89="","",SUBTOTAL(103,$E$3:E89))</f>
        <v/>
      </c>
      <c r="B89" s="6"/>
      <c r="C89" s="6"/>
      <c r="D89" s="6"/>
      <c r="E89" s="2"/>
      <c r="F89" s="2"/>
      <c r="G89" s="2"/>
      <c r="H89" s="2"/>
      <c r="I89" s="2"/>
      <c r="J89" s="1" t="str">
        <f t="shared" si="2"/>
        <v>NO</v>
      </c>
      <c r="K89" s="1" t="str">
        <f t="shared" si="3"/>
        <v xml:space="preserve"> </v>
      </c>
    </row>
    <row r="90" spans="1:11" ht="21.75" customHeight="1">
      <c r="A90" s="5" t="str">
        <f>IF(E90="","",SUBTOTAL(103,$E$3:E90))</f>
        <v/>
      </c>
      <c r="B90" s="6"/>
      <c r="C90" s="6"/>
      <c r="D90" s="6"/>
      <c r="E90" s="2"/>
      <c r="F90" s="2"/>
      <c r="G90" s="2"/>
      <c r="H90" s="2"/>
      <c r="I90" s="2"/>
      <c r="J90" s="1" t="str">
        <f t="shared" si="2"/>
        <v>NO</v>
      </c>
      <c r="K90" s="1" t="str">
        <f t="shared" si="3"/>
        <v xml:space="preserve"> </v>
      </c>
    </row>
    <row r="91" spans="1:11" ht="21.75" customHeight="1">
      <c r="A91" s="5" t="str">
        <f>IF(E91="","",SUBTOTAL(103,$E$3:E91))</f>
        <v/>
      </c>
      <c r="B91" s="6"/>
      <c r="C91" s="6"/>
      <c r="D91" s="6"/>
      <c r="E91" s="2"/>
      <c r="F91" s="2"/>
      <c r="G91" s="2"/>
      <c r="H91" s="2"/>
      <c r="I91" s="2"/>
      <c r="J91" s="1" t="str">
        <f t="shared" si="2"/>
        <v>NO</v>
      </c>
      <c r="K91" s="1" t="str">
        <f t="shared" si="3"/>
        <v xml:space="preserve"> </v>
      </c>
    </row>
    <row r="92" spans="1:11" ht="21.75" customHeight="1">
      <c r="A92" s="5" t="str">
        <f>IF(E92="","",SUBTOTAL(103,$E$3:E92))</f>
        <v/>
      </c>
      <c r="B92" s="6"/>
      <c r="C92" s="6"/>
      <c r="D92" s="6"/>
      <c r="E92" s="2"/>
      <c r="F92" s="2"/>
      <c r="G92" s="2"/>
      <c r="H92" s="2"/>
      <c r="I92" s="2"/>
      <c r="J92" s="1" t="str">
        <f t="shared" si="2"/>
        <v>NO</v>
      </c>
      <c r="K92" s="1" t="str">
        <f t="shared" si="3"/>
        <v xml:space="preserve"> </v>
      </c>
    </row>
    <row r="93" spans="1:11" ht="21.75" customHeight="1">
      <c r="A93" s="5" t="str">
        <f>IF(E93="","",SUBTOTAL(103,$E$3:E93))</f>
        <v/>
      </c>
      <c r="B93" s="6"/>
      <c r="C93" s="6"/>
      <c r="D93" s="6"/>
      <c r="E93" s="2"/>
      <c r="F93" s="2"/>
      <c r="G93" s="2"/>
      <c r="H93" s="2"/>
      <c r="I93" s="2"/>
      <c r="J93" s="1" t="str">
        <f t="shared" si="2"/>
        <v>NO</v>
      </c>
      <c r="K93" s="1" t="str">
        <f t="shared" si="3"/>
        <v xml:space="preserve"> </v>
      </c>
    </row>
    <row r="94" spans="1:11" ht="21.75" customHeight="1">
      <c r="A94" s="5" t="str">
        <f>IF(E94="","",SUBTOTAL(103,$E$3:E94))</f>
        <v/>
      </c>
      <c r="B94" s="6"/>
      <c r="C94" s="6"/>
      <c r="D94" s="6"/>
      <c r="E94" s="2"/>
      <c r="F94" s="2"/>
      <c r="G94" s="2"/>
      <c r="H94" s="2"/>
      <c r="I94" s="2"/>
      <c r="J94" s="1" t="str">
        <f t="shared" si="2"/>
        <v>NO</v>
      </c>
      <c r="K94" s="1" t="str">
        <f t="shared" si="3"/>
        <v xml:space="preserve"> </v>
      </c>
    </row>
    <row r="95" spans="1:11" ht="21.75" customHeight="1">
      <c r="A95" s="5" t="str">
        <f>IF(E95="","",SUBTOTAL(103,$E$3:E95))</f>
        <v/>
      </c>
      <c r="B95" s="6"/>
      <c r="C95" s="6"/>
      <c r="D95" s="6"/>
      <c r="E95" s="2"/>
      <c r="F95" s="2"/>
      <c r="G95" s="2"/>
      <c r="H95" s="2"/>
      <c r="I95" s="2"/>
      <c r="J95" s="1" t="str">
        <f t="shared" si="2"/>
        <v>NO</v>
      </c>
      <c r="K95" s="1" t="str">
        <f t="shared" si="3"/>
        <v xml:space="preserve"> </v>
      </c>
    </row>
    <row r="96" spans="1:11" ht="21.75" customHeight="1">
      <c r="A96" s="5" t="str">
        <f>IF(E96="","",SUBTOTAL(103,$E$3:E96))</f>
        <v/>
      </c>
      <c r="B96" s="6"/>
      <c r="C96" s="6"/>
      <c r="D96" s="6"/>
      <c r="E96" s="2"/>
      <c r="F96" s="2"/>
      <c r="G96" s="2"/>
      <c r="H96" s="2"/>
      <c r="I96" s="2"/>
      <c r="J96" s="1" t="str">
        <f t="shared" si="2"/>
        <v>NO</v>
      </c>
      <c r="K96" s="1" t="str">
        <f t="shared" si="3"/>
        <v xml:space="preserve"> </v>
      </c>
    </row>
    <row r="97" spans="1:11" ht="21.75" customHeight="1">
      <c r="A97" s="5" t="str">
        <f>IF(E97="","",SUBTOTAL(103,$E$3:E97))</f>
        <v/>
      </c>
      <c r="B97" s="6"/>
      <c r="C97" s="6"/>
      <c r="D97" s="6"/>
      <c r="E97" s="2"/>
      <c r="F97" s="2"/>
      <c r="G97" s="2"/>
      <c r="H97" s="2"/>
      <c r="I97" s="2"/>
      <c r="J97" s="1" t="str">
        <f t="shared" si="2"/>
        <v>NO</v>
      </c>
      <c r="K97" s="1" t="str">
        <f t="shared" si="3"/>
        <v xml:space="preserve"> </v>
      </c>
    </row>
    <row r="98" spans="1:11" ht="21.75" customHeight="1">
      <c r="A98" s="5" t="str">
        <f>IF(E98="","",SUBTOTAL(103,$E$3:E98))</f>
        <v/>
      </c>
      <c r="B98" s="6"/>
      <c r="C98" s="6"/>
      <c r="D98" s="6"/>
      <c r="E98" s="2"/>
      <c r="F98" s="2"/>
      <c r="G98" s="2"/>
      <c r="H98" s="2"/>
      <c r="I98" s="2"/>
      <c r="J98" s="1" t="str">
        <f t="shared" si="2"/>
        <v>NO</v>
      </c>
      <c r="K98" s="1" t="str">
        <f t="shared" si="3"/>
        <v xml:space="preserve"> </v>
      </c>
    </row>
    <row r="99" spans="1:11" ht="21.75" customHeight="1">
      <c r="A99" s="5" t="str">
        <f>IF(E99="","",SUBTOTAL(103,$E$3:E99))</f>
        <v/>
      </c>
      <c r="B99" s="6"/>
      <c r="C99" s="6"/>
      <c r="D99" s="6"/>
      <c r="E99" s="2"/>
      <c r="F99" s="2"/>
      <c r="G99" s="2"/>
      <c r="H99" s="2"/>
      <c r="I99" s="2"/>
      <c r="J99" s="1" t="str">
        <f t="shared" si="2"/>
        <v>NO</v>
      </c>
      <c r="K99" s="1" t="str">
        <f t="shared" si="3"/>
        <v xml:space="preserve"> </v>
      </c>
    </row>
    <row r="100" spans="1:11" ht="21.75" customHeight="1">
      <c r="A100" s="5" t="str">
        <f>IF(E100="","",SUBTOTAL(103,$E$3:E100))</f>
        <v/>
      </c>
      <c r="B100" s="6"/>
      <c r="C100" s="6"/>
      <c r="D100" s="6"/>
      <c r="E100" s="2"/>
      <c r="F100" s="2"/>
      <c r="G100" s="2"/>
      <c r="H100" s="2"/>
      <c r="I100" s="2"/>
      <c r="J100" s="1" t="str">
        <f t="shared" si="2"/>
        <v>NO</v>
      </c>
      <c r="K100" s="1" t="str">
        <f t="shared" si="3"/>
        <v xml:space="preserve"> </v>
      </c>
    </row>
    <row r="101" spans="1:11" ht="21.75" customHeight="1">
      <c r="A101" s="5" t="str">
        <f>IF(E101="","",SUBTOTAL(103,$E$3:E101))</f>
        <v/>
      </c>
      <c r="B101" s="6"/>
      <c r="C101" s="6"/>
      <c r="D101" s="6"/>
      <c r="E101" s="2"/>
      <c r="F101" s="2"/>
      <c r="G101" s="2"/>
      <c r="H101" s="2"/>
      <c r="I101" s="2"/>
      <c r="J101" s="1" t="str">
        <f t="shared" si="2"/>
        <v>NO</v>
      </c>
      <c r="K101" s="1" t="str">
        <f t="shared" si="3"/>
        <v xml:space="preserve"> </v>
      </c>
    </row>
    <row r="102" spans="1:11" ht="21.75" customHeight="1">
      <c r="A102" s="5" t="str">
        <f>IF(E102="","",SUBTOTAL(103,$E$3:E102))</f>
        <v/>
      </c>
      <c r="B102" s="6"/>
      <c r="C102" s="6"/>
      <c r="D102" s="6"/>
      <c r="E102" s="2"/>
      <c r="F102" s="2"/>
      <c r="G102" s="2"/>
      <c r="H102" s="2"/>
      <c r="I102" s="2"/>
      <c r="J102" s="1" t="str">
        <f t="shared" si="2"/>
        <v>NO</v>
      </c>
      <c r="K102" s="1" t="str">
        <f t="shared" si="3"/>
        <v xml:space="preserve"> </v>
      </c>
    </row>
    <row r="103" spans="1:11" ht="21.75" customHeight="1">
      <c r="A103" s="5" t="str">
        <f>IF(E103="","",SUBTOTAL(103,$E$3:E103))</f>
        <v/>
      </c>
      <c r="B103" s="6"/>
      <c r="C103" s="6"/>
      <c r="D103" s="6"/>
      <c r="E103" s="2"/>
      <c r="F103" s="2"/>
      <c r="G103" s="2"/>
      <c r="H103" s="2"/>
      <c r="I103" s="2"/>
      <c r="J103" s="1" t="str">
        <f t="shared" si="2"/>
        <v>NO</v>
      </c>
      <c r="K103" s="1" t="str">
        <f t="shared" si="3"/>
        <v xml:space="preserve"> </v>
      </c>
    </row>
    <row r="104" spans="1:11" ht="21.75" customHeight="1">
      <c r="A104" s="5" t="str">
        <f>IF(E104="","",SUBTOTAL(103,$E$3:E104))</f>
        <v/>
      </c>
      <c r="B104" s="6"/>
      <c r="C104" s="6"/>
      <c r="D104" s="6"/>
      <c r="E104" s="2"/>
      <c r="F104" s="2"/>
      <c r="G104" s="2"/>
      <c r="H104" s="2"/>
      <c r="I104" s="2"/>
      <c r="J104" s="1" t="str">
        <f t="shared" si="2"/>
        <v>NO</v>
      </c>
      <c r="K104" s="1" t="str">
        <f t="shared" si="3"/>
        <v xml:space="preserve"> </v>
      </c>
    </row>
    <row r="105" spans="1:11" ht="21.75" customHeight="1">
      <c r="A105" s="5" t="str">
        <f>IF(E105="","",SUBTOTAL(103,$E$3:E105))</f>
        <v/>
      </c>
      <c r="B105" s="6"/>
      <c r="C105" s="6"/>
      <c r="D105" s="6"/>
      <c r="E105" s="2"/>
      <c r="F105" s="2"/>
      <c r="G105" s="2"/>
      <c r="H105" s="2"/>
      <c r="I105" s="2"/>
      <c r="J105" s="1" t="str">
        <f t="shared" si="2"/>
        <v>NO</v>
      </c>
      <c r="K105" s="1" t="str">
        <f t="shared" si="3"/>
        <v xml:space="preserve"> </v>
      </c>
    </row>
    <row r="106" spans="1:11" ht="21.75" customHeight="1">
      <c r="A106" s="5" t="str">
        <f>IF(E106="","",SUBTOTAL(103,$E$3:E106))</f>
        <v/>
      </c>
      <c r="B106" s="6"/>
      <c r="C106" s="6"/>
      <c r="D106" s="6"/>
      <c r="E106" s="2"/>
      <c r="F106" s="2"/>
      <c r="G106" s="2"/>
      <c r="H106" s="2"/>
      <c r="I106" s="2"/>
      <c r="J106" s="1" t="str">
        <f t="shared" si="2"/>
        <v>NO</v>
      </c>
      <c r="K106" s="1" t="str">
        <f t="shared" si="3"/>
        <v xml:space="preserve"> </v>
      </c>
    </row>
    <row r="107" spans="1:11" ht="21.75" customHeight="1">
      <c r="A107" s="5" t="str">
        <f>IF(E107="","",SUBTOTAL(103,$E$3:E107))</f>
        <v/>
      </c>
      <c r="B107" s="6"/>
      <c r="C107" s="6"/>
      <c r="D107" s="6"/>
      <c r="E107" s="2"/>
      <c r="F107" s="2"/>
      <c r="G107" s="2"/>
      <c r="H107" s="2"/>
      <c r="I107" s="2"/>
      <c r="J107" s="1" t="str">
        <f t="shared" si="2"/>
        <v>NO</v>
      </c>
      <c r="K107" s="1" t="str">
        <f t="shared" si="3"/>
        <v xml:space="preserve"> </v>
      </c>
    </row>
    <row r="108" spans="1:11" ht="21.75" customHeight="1">
      <c r="A108" s="5" t="str">
        <f>IF(E108="","",SUBTOTAL(103,$E$3:E108))</f>
        <v/>
      </c>
      <c r="B108" s="6"/>
      <c r="C108" s="6"/>
      <c r="D108" s="6"/>
      <c r="E108" s="2"/>
      <c r="F108" s="2"/>
      <c r="G108" s="2"/>
      <c r="H108" s="2"/>
      <c r="I108" s="2"/>
      <c r="J108" s="1" t="str">
        <f t="shared" si="2"/>
        <v>NO</v>
      </c>
      <c r="K108" s="1" t="str">
        <f t="shared" si="3"/>
        <v xml:space="preserve"> </v>
      </c>
    </row>
    <row r="109" spans="1:11" ht="21.75" customHeight="1">
      <c r="A109" s="5" t="str">
        <f>IF(E109="","",SUBTOTAL(103,$E$3:E109))</f>
        <v/>
      </c>
      <c r="B109" s="6"/>
      <c r="C109" s="6"/>
      <c r="D109" s="6"/>
      <c r="E109" s="2"/>
      <c r="F109" s="2"/>
      <c r="G109" s="2"/>
      <c r="H109" s="2"/>
      <c r="I109" s="2"/>
      <c r="J109" s="1" t="str">
        <f t="shared" si="2"/>
        <v>NO</v>
      </c>
      <c r="K109" s="1" t="str">
        <f t="shared" si="3"/>
        <v xml:space="preserve"> </v>
      </c>
    </row>
    <row r="110" spans="1:11" ht="21.75" customHeight="1">
      <c r="A110" s="5" t="str">
        <f>IF(E110="","",SUBTOTAL(103,$E$3:E110))</f>
        <v/>
      </c>
      <c r="B110" s="6"/>
      <c r="C110" s="6"/>
      <c r="D110" s="6"/>
      <c r="E110" s="2"/>
      <c r="F110" s="2"/>
      <c r="G110" s="2"/>
      <c r="H110" s="2"/>
      <c r="I110" s="2"/>
      <c r="J110" s="1" t="str">
        <f t="shared" si="2"/>
        <v>NO</v>
      </c>
      <c r="K110" s="1" t="str">
        <f t="shared" si="3"/>
        <v xml:space="preserve"> </v>
      </c>
    </row>
    <row r="111" spans="1:11" ht="21.75" customHeight="1">
      <c r="A111" s="5" t="str">
        <f>IF(E111="","",SUBTOTAL(103,$E$3:E111))</f>
        <v/>
      </c>
      <c r="B111" s="6"/>
      <c r="C111" s="6"/>
      <c r="D111" s="6"/>
      <c r="E111" s="2"/>
      <c r="F111" s="2"/>
      <c r="G111" s="2"/>
      <c r="H111" s="2"/>
      <c r="I111" s="2"/>
      <c r="J111" s="1" t="str">
        <f t="shared" si="2"/>
        <v>NO</v>
      </c>
      <c r="K111" s="1" t="str">
        <f t="shared" si="3"/>
        <v xml:space="preserve"> </v>
      </c>
    </row>
    <row r="112" spans="1:11" ht="21.75" customHeight="1">
      <c r="A112" s="5" t="str">
        <f>IF(E112="","",SUBTOTAL(103,$E$3:E112))</f>
        <v/>
      </c>
      <c r="B112" s="6"/>
      <c r="C112" s="6"/>
      <c r="D112" s="6"/>
      <c r="E112" s="2"/>
      <c r="F112" s="2"/>
      <c r="G112" s="2"/>
      <c r="H112" s="2"/>
      <c r="I112" s="2"/>
      <c r="J112" s="1" t="str">
        <f t="shared" si="2"/>
        <v>NO</v>
      </c>
      <c r="K112" s="1" t="str">
        <f t="shared" si="3"/>
        <v xml:space="preserve"> </v>
      </c>
    </row>
    <row r="113" spans="1:11" ht="21.75" customHeight="1">
      <c r="A113" s="5" t="str">
        <f>IF(E113="","",SUBTOTAL(103,$E$3:E113))</f>
        <v/>
      </c>
      <c r="B113" s="6"/>
      <c r="C113" s="6"/>
      <c r="D113" s="6"/>
      <c r="E113" s="2"/>
      <c r="F113" s="2"/>
      <c r="G113" s="2"/>
      <c r="H113" s="2"/>
      <c r="I113" s="2"/>
      <c r="J113" s="1" t="str">
        <f t="shared" si="2"/>
        <v>NO</v>
      </c>
      <c r="K113" s="1" t="str">
        <f t="shared" si="3"/>
        <v xml:space="preserve"> </v>
      </c>
    </row>
    <row r="114" spans="1:11" ht="21.75" customHeight="1">
      <c r="A114" s="5" t="str">
        <f>IF(E114="","",SUBTOTAL(103,$E$3:E114))</f>
        <v/>
      </c>
      <c r="B114" s="6"/>
      <c r="C114" s="6"/>
      <c r="D114" s="6"/>
      <c r="E114" s="2"/>
      <c r="F114" s="2"/>
      <c r="G114" s="2"/>
      <c r="H114" s="2"/>
      <c r="I114" s="2"/>
      <c r="J114" s="1" t="str">
        <f t="shared" si="2"/>
        <v>NO</v>
      </c>
      <c r="K114" s="1" t="str">
        <f t="shared" si="3"/>
        <v xml:space="preserve"> </v>
      </c>
    </row>
    <row r="115" spans="1:11" ht="21.75" customHeight="1">
      <c r="A115" s="5" t="str">
        <f>IF(E115="","",SUBTOTAL(103,$E$3:E115))</f>
        <v/>
      </c>
      <c r="B115" s="6"/>
      <c r="C115" s="6"/>
      <c r="D115" s="6"/>
      <c r="E115" s="2"/>
      <c r="F115" s="2"/>
      <c r="G115" s="2"/>
      <c r="H115" s="2"/>
      <c r="I115" s="2"/>
      <c r="J115" s="1" t="str">
        <f t="shared" si="2"/>
        <v>NO</v>
      </c>
      <c r="K115" s="1" t="str">
        <f t="shared" si="3"/>
        <v xml:space="preserve"> </v>
      </c>
    </row>
    <row r="116" spans="1:11" ht="21.75" customHeight="1">
      <c r="A116" s="5" t="str">
        <f>IF(E116="","",SUBTOTAL(103,$E$3:E116))</f>
        <v/>
      </c>
      <c r="B116" s="6"/>
      <c r="C116" s="6"/>
      <c r="D116" s="6"/>
      <c r="E116" s="2"/>
      <c r="F116" s="2"/>
      <c r="G116" s="2"/>
      <c r="H116" s="2"/>
      <c r="I116" s="2"/>
      <c r="J116" s="1" t="str">
        <f t="shared" si="2"/>
        <v>NO</v>
      </c>
      <c r="K116" s="1" t="str">
        <f t="shared" si="3"/>
        <v xml:space="preserve"> </v>
      </c>
    </row>
    <row r="117" spans="1:11" ht="21.75" customHeight="1">
      <c r="A117" s="5" t="str">
        <f>IF(E117="","",SUBTOTAL(103,$E$3:E117))</f>
        <v/>
      </c>
      <c r="B117" s="6"/>
      <c r="C117" s="6"/>
      <c r="D117" s="6"/>
      <c r="E117" s="2"/>
      <c r="F117" s="2"/>
      <c r="G117" s="2"/>
      <c r="H117" s="2"/>
      <c r="I117" s="2"/>
      <c r="J117" s="1" t="str">
        <f t="shared" si="2"/>
        <v>NO</v>
      </c>
      <c r="K117" s="1" t="str">
        <f t="shared" si="3"/>
        <v xml:space="preserve"> </v>
      </c>
    </row>
    <row r="118" spans="1:11" ht="21.75" customHeight="1">
      <c r="A118" s="5" t="str">
        <f>IF(E118="","",SUBTOTAL(103,$E$3:E118))</f>
        <v/>
      </c>
      <c r="B118" s="6"/>
      <c r="C118" s="6"/>
      <c r="D118" s="6"/>
      <c r="E118" s="2"/>
      <c r="F118" s="2"/>
      <c r="G118" s="2"/>
      <c r="H118" s="2"/>
      <c r="I118" s="2"/>
      <c r="J118" s="1" t="str">
        <f t="shared" si="2"/>
        <v>NO</v>
      </c>
      <c r="K118" s="1" t="str">
        <f t="shared" si="3"/>
        <v xml:space="preserve"> </v>
      </c>
    </row>
    <row r="119" spans="1:11" ht="21.75" customHeight="1">
      <c r="A119" s="5" t="str">
        <f>IF(E119="","",SUBTOTAL(103,$E$3:E119))</f>
        <v/>
      </c>
      <c r="B119" s="6"/>
      <c r="C119" s="6"/>
      <c r="D119" s="6"/>
      <c r="E119" s="2"/>
      <c r="F119" s="2"/>
      <c r="G119" s="2"/>
      <c r="H119" s="2"/>
      <c r="I119" s="2"/>
      <c r="J119" s="1" t="str">
        <f t="shared" si="2"/>
        <v>NO</v>
      </c>
      <c r="K119" s="1" t="str">
        <f t="shared" si="3"/>
        <v xml:space="preserve"> </v>
      </c>
    </row>
    <row r="120" spans="1:11" ht="21.75" customHeight="1">
      <c r="A120" s="5" t="str">
        <f>IF(E120="","",SUBTOTAL(103,$E$3:E120))</f>
        <v/>
      </c>
      <c r="B120" s="6"/>
      <c r="C120" s="6"/>
      <c r="D120" s="6"/>
      <c r="E120" s="2"/>
      <c r="F120" s="2"/>
      <c r="G120" s="2"/>
      <c r="H120" s="2"/>
      <c r="I120" s="2"/>
      <c r="J120" s="1" t="str">
        <f t="shared" si="2"/>
        <v>NO</v>
      </c>
      <c r="K120" s="1" t="str">
        <f t="shared" si="3"/>
        <v xml:space="preserve"> </v>
      </c>
    </row>
    <row r="121" spans="1:11" ht="21.75" customHeight="1">
      <c r="A121" s="5" t="str">
        <f>IF(E121="","",SUBTOTAL(103,$E$3:E121))</f>
        <v/>
      </c>
      <c r="B121" s="6"/>
      <c r="C121" s="6"/>
      <c r="D121" s="6"/>
      <c r="E121" s="2"/>
      <c r="F121" s="2"/>
      <c r="G121" s="2"/>
      <c r="H121" s="2"/>
      <c r="I121" s="2"/>
      <c r="J121" s="1" t="str">
        <f t="shared" si="2"/>
        <v>NO</v>
      </c>
      <c r="K121" s="1" t="str">
        <f t="shared" si="3"/>
        <v xml:space="preserve"> </v>
      </c>
    </row>
    <row r="122" spans="1:11" ht="21.75" customHeight="1">
      <c r="A122" s="5" t="str">
        <f>IF(E122="","",SUBTOTAL(103,$E$3:E122))</f>
        <v/>
      </c>
      <c r="B122" s="6"/>
      <c r="C122" s="6"/>
      <c r="D122" s="6"/>
      <c r="E122" s="2"/>
      <c r="F122" s="2"/>
      <c r="G122" s="2"/>
      <c r="H122" s="2"/>
      <c r="I122" s="2"/>
      <c r="J122" s="1" t="str">
        <f t="shared" si="2"/>
        <v>NO</v>
      </c>
      <c r="K122" s="1" t="str">
        <f t="shared" si="3"/>
        <v xml:space="preserve"> </v>
      </c>
    </row>
    <row r="123" spans="1:11" ht="21.75" customHeight="1">
      <c r="A123" s="5" t="str">
        <f>IF(E123="","",SUBTOTAL(103,$E$3:E123))</f>
        <v/>
      </c>
      <c r="B123" s="6"/>
      <c r="C123" s="6"/>
      <c r="D123" s="6"/>
      <c r="E123" s="2"/>
      <c r="F123" s="2"/>
      <c r="G123" s="2"/>
      <c r="H123" s="2"/>
      <c r="I123" s="2"/>
      <c r="J123" s="1" t="str">
        <f t="shared" si="2"/>
        <v>NO</v>
      </c>
      <c r="K123" s="1" t="str">
        <f t="shared" si="3"/>
        <v xml:space="preserve"> </v>
      </c>
    </row>
    <row r="124" spans="1:11" ht="21.75" customHeight="1">
      <c r="A124" s="5" t="str">
        <f>IF(E124="","",SUBTOTAL(103,$E$3:E124))</f>
        <v/>
      </c>
      <c r="B124" s="6"/>
      <c r="C124" s="6"/>
      <c r="D124" s="6"/>
      <c r="E124" s="2"/>
      <c r="F124" s="2"/>
      <c r="G124" s="2"/>
      <c r="H124" s="2"/>
      <c r="I124" s="2"/>
      <c r="J124" s="1" t="str">
        <f t="shared" si="2"/>
        <v>NO</v>
      </c>
      <c r="K124" s="1" t="str">
        <f t="shared" si="3"/>
        <v xml:space="preserve"> </v>
      </c>
    </row>
    <row r="125" spans="1:11" ht="21.75" customHeight="1">
      <c r="A125" s="5" t="str">
        <f>IF(E125="","",SUBTOTAL(103,$E$3:E125))</f>
        <v/>
      </c>
      <c r="B125" s="6"/>
      <c r="C125" s="6"/>
      <c r="D125" s="6"/>
      <c r="E125" s="2"/>
      <c r="F125" s="2"/>
      <c r="G125" s="2"/>
      <c r="H125" s="2"/>
      <c r="I125" s="2"/>
      <c r="J125" s="1" t="str">
        <f t="shared" si="2"/>
        <v>NO</v>
      </c>
      <c r="K125" s="1" t="str">
        <f t="shared" si="3"/>
        <v xml:space="preserve"> </v>
      </c>
    </row>
    <row r="126" spans="1:11" ht="21.75" customHeight="1">
      <c r="A126" s="5" t="str">
        <f>IF(E126="","",SUBTOTAL(103,$E$3:E126))</f>
        <v/>
      </c>
      <c r="B126" s="6"/>
      <c r="C126" s="6"/>
      <c r="D126" s="6"/>
      <c r="E126" s="2"/>
      <c r="F126" s="2"/>
      <c r="G126" s="2"/>
      <c r="H126" s="2"/>
      <c r="I126" s="2"/>
      <c r="J126" s="1" t="str">
        <f t="shared" si="2"/>
        <v>NO</v>
      </c>
      <c r="K126" s="1" t="str">
        <f t="shared" si="3"/>
        <v xml:space="preserve"> </v>
      </c>
    </row>
    <row r="127" spans="1:11" ht="21.75" customHeight="1">
      <c r="A127" s="5" t="str">
        <f>IF(E127="","",SUBTOTAL(103,$E$3:E127))</f>
        <v/>
      </c>
      <c r="B127" s="6"/>
      <c r="C127" s="6"/>
      <c r="D127" s="6"/>
      <c r="E127" s="2"/>
      <c r="F127" s="2"/>
      <c r="G127" s="2"/>
      <c r="H127" s="2"/>
      <c r="I127" s="2"/>
      <c r="J127" s="1" t="str">
        <f t="shared" si="2"/>
        <v>NO</v>
      </c>
      <c r="K127" s="1" t="str">
        <f t="shared" si="3"/>
        <v xml:space="preserve"> </v>
      </c>
    </row>
    <row r="128" spans="1:11" ht="21.75" customHeight="1">
      <c r="A128" s="5" t="str">
        <f>IF(E128="","",SUBTOTAL(103,$E$3:E128))</f>
        <v/>
      </c>
      <c r="B128" s="6"/>
      <c r="C128" s="6"/>
      <c r="D128" s="6"/>
      <c r="E128" s="2"/>
      <c r="F128" s="2"/>
      <c r="G128" s="2"/>
      <c r="H128" s="2"/>
      <c r="I128" s="2"/>
      <c r="J128" s="1" t="str">
        <f t="shared" si="2"/>
        <v>NO</v>
      </c>
      <c r="K128" s="1" t="str">
        <f t="shared" si="3"/>
        <v xml:space="preserve"> </v>
      </c>
    </row>
    <row r="129" spans="1:11" ht="21.75" customHeight="1">
      <c r="A129" s="5" t="str">
        <f>IF(E129="","",SUBTOTAL(103,$E$3:E129))</f>
        <v/>
      </c>
      <c r="B129" s="6"/>
      <c r="C129" s="6"/>
      <c r="D129" s="6"/>
      <c r="E129" s="2"/>
      <c r="F129" s="2"/>
      <c r="G129" s="2"/>
      <c r="H129" s="2"/>
      <c r="I129" s="2"/>
      <c r="J129" s="1" t="str">
        <f t="shared" si="2"/>
        <v>NO</v>
      </c>
      <c r="K129" s="1" t="str">
        <f t="shared" si="3"/>
        <v xml:space="preserve"> </v>
      </c>
    </row>
    <row r="130" spans="1:11" ht="21.75" customHeight="1">
      <c r="A130" s="5" t="str">
        <f>IF(E130="","",SUBTOTAL(103,$E$3:E130))</f>
        <v/>
      </c>
      <c r="B130" s="6"/>
      <c r="C130" s="6"/>
      <c r="D130" s="6"/>
      <c r="E130" s="2"/>
      <c r="F130" s="2"/>
      <c r="G130" s="2"/>
      <c r="H130" s="2"/>
      <c r="I130" s="2"/>
      <c r="J130" s="1" t="str">
        <f t="shared" si="2"/>
        <v>NO</v>
      </c>
      <c r="K130" s="1" t="str">
        <f t="shared" si="3"/>
        <v xml:space="preserve"> </v>
      </c>
    </row>
    <row r="131" spans="1:11" ht="21.75" customHeight="1">
      <c r="A131" s="5" t="str">
        <f>IF(E131="","",SUBTOTAL(103,$E$3:E131))</f>
        <v/>
      </c>
      <c r="B131" s="6"/>
      <c r="C131" s="6"/>
      <c r="D131" s="6"/>
      <c r="E131" s="2"/>
      <c r="F131" s="2"/>
      <c r="G131" s="2"/>
      <c r="H131" s="2"/>
      <c r="I131" s="2"/>
      <c r="J131" s="1" t="str">
        <f t="shared" ref="J131:J194" si="4">IF(ISERROR(SEARCH("热处理", E131))=FALSE, "XLN", IF(ISERROR(SEARCH("114", E131))=FALSE, "XLN", IF(ISERROR(SEARCH("OM", E131))=FALSE, "NO", IF(ISERROR(SEARCH("试棒毛坯", E131))=FALSE, "XLN", IF(ISERROR(SEARCH("M35", F131))=FALSE, "NO", IF(OR(LEFT(F131, 2)="DN", LEFT(F131, 3)="NPS", ISERROR(SEARCH("LADISH", E131))=FALSE), "XLN", "NO"))))))</f>
        <v>NO</v>
      </c>
      <c r="K131" s="1" t="str">
        <f t="shared" si="3"/>
        <v xml:space="preserve"> </v>
      </c>
    </row>
    <row r="132" spans="1:11" ht="21.75" customHeight="1">
      <c r="A132" s="5" t="str">
        <f>IF(E132="","",SUBTOTAL(103,$E$3:E132))</f>
        <v/>
      </c>
      <c r="B132" s="6"/>
      <c r="C132" s="6"/>
      <c r="D132" s="6"/>
      <c r="E132" s="2"/>
      <c r="F132" s="2"/>
      <c r="G132" s="2"/>
      <c r="H132" s="2"/>
      <c r="I132" s="2"/>
      <c r="J132" s="1" t="str">
        <f t="shared" si="4"/>
        <v>NO</v>
      </c>
      <c r="K132" s="1" t="str">
        <f t="shared" ref="K132:K195" si="5">IF(ISERROR(FIND("304",F132))=FALSE,304,IF(ISERROR(FIND("316",F132))=FALSE,316,IF(ISERROR(FIND("CF8M",F132))=FALSE,316,IF(ISERROR(SEARCH("wcb",F132))=FALSE,"WCB",IF(ISERROR(SEARCH("cd3mn",F132))=FALSE,"CD3MN",IF(ISERROR(SEARCH("CN7M",F132))=FALSE,"CN7M",IF(ISERROR(SEARCH("M35",F132))=FALSE,"M35",IF(ISERROR(SEARCH("CF3M",F132))=FALSE,"CF3M",IF(ISERROR(SEARCH("CD3MWCuN",F132))=FALSE, "CD3MWCuN",  IF(ISERROR(SEARCH("CW12MW",F132))=FALSE, "CW12MW", IF(ISERROR(SEARCH("CF8",F132))=FALSE, 304," ")))))))))))</f>
        <v xml:space="preserve"> </v>
      </c>
    </row>
    <row r="133" spans="1:11" ht="21.75" customHeight="1">
      <c r="A133" s="5" t="str">
        <f>IF(E133="","",SUBTOTAL(103,$E$3:E133))</f>
        <v/>
      </c>
      <c r="B133" s="6"/>
      <c r="C133" s="6"/>
      <c r="D133" s="6"/>
      <c r="E133" s="2"/>
      <c r="F133" s="2"/>
      <c r="G133" s="2"/>
      <c r="H133" s="2"/>
      <c r="I133" s="2"/>
      <c r="J133" s="1" t="str">
        <f t="shared" si="4"/>
        <v>NO</v>
      </c>
      <c r="K133" s="1" t="str">
        <f t="shared" si="5"/>
        <v xml:space="preserve"> </v>
      </c>
    </row>
    <row r="134" spans="1:11" ht="21.75" customHeight="1">
      <c r="A134" s="5" t="str">
        <f>IF(E134="","",SUBTOTAL(103,$E$3:E134))</f>
        <v/>
      </c>
      <c r="B134" s="6"/>
      <c r="C134" s="6"/>
      <c r="D134" s="6"/>
      <c r="E134" s="2"/>
      <c r="F134" s="2"/>
      <c r="G134" s="2"/>
      <c r="H134" s="2"/>
      <c r="I134" s="2"/>
      <c r="J134" s="1" t="str">
        <f t="shared" si="4"/>
        <v>NO</v>
      </c>
      <c r="K134" s="1" t="str">
        <f t="shared" si="5"/>
        <v xml:space="preserve"> </v>
      </c>
    </row>
    <row r="135" spans="1:11" ht="21.75" customHeight="1">
      <c r="A135" s="5" t="str">
        <f>IF(E135="","",SUBTOTAL(103,$E$3:E135))</f>
        <v/>
      </c>
      <c r="B135" s="6"/>
      <c r="C135" s="6"/>
      <c r="D135" s="6"/>
      <c r="E135" s="2"/>
      <c r="F135" s="2"/>
      <c r="G135" s="2"/>
      <c r="H135" s="2"/>
      <c r="I135" s="2"/>
      <c r="J135" s="1" t="str">
        <f t="shared" si="4"/>
        <v>NO</v>
      </c>
      <c r="K135" s="1" t="str">
        <f t="shared" si="5"/>
        <v xml:space="preserve"> </v>
      </c>
    </row>
    <row r="136" spans="1:11" ht="21.75" customHeight="1">
      <c r="A136" s="5" t="str">
        <f>IF(E136="","",SUBTOTAL(103,$E$3:E136))</f>
        <v/>
      </c>
      <c r="B136" s="6"/>
      <c r="C136" s="6"/>
      <c r="D136" s="6"/>
      <c r="E136" s="2"/>
      <c r="F136" s="2"/>
      <c r="G136" s="2"/>
      <c r="H136" s="2"/>
      <c r="I136" s="2"/>
      <c r="J136" s="1" t="str">
        <f t="shared" si="4"/>
        <v>NO</v>
      </c>
      <c r="K136" s="1" t="str">
        <f t="shared" si="5"/>
        <v xml:space="preserve"> </v>
      </c>
    </row>
    <row r="137" spans="1:11" ht="21.75" customHeight="1">
      <c r="A137" s="5" t="str">
        <f>IF(E137="","",SUBTOTAL(103,$E$3:E137))</f>
        <v/>
      </c>
      <c r="B137" s="6"/>
      <c r="C137" s="6"/>
      <c r="D137" s="6"/>
      <c r="E137" s="2"/>
      <c r="F137" s="2"/>
      <c r="G137" s="2"/>
      <c r="H137" s="2"/>
      <c r="I137" s="2"/>
      <c r="J137" s="1" t="str">
        <f t="shared" si="4"/>
        <v>NO</v>
      </c>
      <c r="K137" s="1" t="str">
        <f t="shared" si="5"/>
        <v xml:space="preserve"> </v>
      </c>
    </row>
    <row r="138" spans="1:11" ht="21.75" customHeight="1">
      <c r="A138" s="5" t="str">
        <f>IF(E138="","",SUBTOTAL(103,$E$3:E138))</f>
        <v/>
      </c>
      <c r="B138" s="6"/>
      <c r="C138" s="6"/>
      <c r="D138" s="6"/>
      <c r="E138" s="2"/>
      <c r="F138" s="2"/>
      <c r="G138" s="2"/>
      <c r="H138" s="2"/>
      <c r="I138" s="2"/>
      <c r="J138" s="1" t="str">
        <f t="shared" si="4"/>
        <v>NO</v>
      </c>
      <c r="K138" s="1" t="str">
        <f t="shared" si="5"/>
        <v xml:space="preserve"> </v>
      </c>
    </row>
    <row r="139" spans="1:11" ht="21.75" customHeight="1">
      <c r="A139" s="5" t="str">
        <f>IF(E139="","",SUBTOTAL(103,$E$3:E139))</f>
        <v/>
      </c>
      <c r="B139" s="6"/>
      <c r="C139" s="6"/>
      <c r="D139" s="6"/>
      <c r="E139" s="2"/>
      <c r="F139" s="2"/>
      <c r="G139" s="2"/>
      <c r="H139" s="2"/>
      <c r="I139" s="2"/>
      <c r="J139" s="1" t="str">
        <f t="shared" si="4"/>
        <v>NO</v>
      </c>
      <c r="K139" s="1" t="str">
        <f t="shared" si="5"/>
        <v xml:space="preserve"> </v>
      </c>
    </row>
    <row r="140" spans="1:11" ht="21.75" customHeight="1">
      <c r="A140" s="5" t="str">
        <f>IF(E140="","",SUBTOTAL(103,$E$3:E140))</f>
        <v/>
      </c>
      <c r="B140" s="6"/>
      <c r="C140" s="6"/>
      <c r="D140" s="6"/>
      <c r="E140" s="2"/>
      <c r="F140" s="2"/>
      <c r="G140" s="2"/>
      <c r="H140" s="2"/>
      <c r="I140" s="2"/>
      <c r="J140" s="1" t="str">
        <f t="shared" si="4"/>
        <v>NO</v>
      </c>
      <c r="K140" s="1" t="str">
        <f t="shared" si="5"/>
        <v xml:space="preserve"> </v>
      </c>
    </row>
    <row r="141" spans="1:11" ht="21.75" customHeight="1">
      <c r="A141" s="5" t="str">
        <f>IF(E141="","",SUBTOTAL(103,$E$3:E141))</f>
        <v/>
      </c>
      <c r="B141" s="6"/>
      <c r="C141" s="6"/>
      <c r="D141" s="6"/>
      <c r="E141" s="2"/>
      <c r="F141" s="2"/>
      <c r="G141" s="2"/>
      <c r="H141" s="2"/>
      <c r="I141" s="2"/>
      <c r="J141" s="1" t="str">
        <f t="shared" si="4"/>
        <v>NO</v>
      </c>
      <c r="K141" s="1" t="str">
        <f t="shared" si="5"/>
        <v xml:space="preserve"> </v>
      </c>
    </row>
    <row r="142" spans="1:11" ht="21.75" customHeight="1">
      <c r="A142" s="5" t="str">
        <f>IF(E142="","",SUBTOTAL(103,$E$3:E142))</f>
        <v/>
      </c>
      <c r="B142" s="6"/>
      <c r="C142" s="6"/>
      <c r="D142" s="6"/>
      <c r="E142" s="2"/>
      <c r="F142" s="2"/>
      <c r="G142" s="2"/>
      <c r="H142" s="2"/>
      <c r="I142" s="2"/>
      <c r="J142" s="1" t="str">
        <f t="shared" si="4"/>
        <v>NO</v>
      </c>
      <c r="K142" s="1" t="str">
        <f t="shared" si="5"/>
        <v xml:space="preserve"> </v>
      </c>
    </row>
    <row r="143" spans="1:11" ht="21.75" customHeight="1">
      <c r="A143" s="5" t="str">
        <f>IF(E143="","",SUBTOTAL(103,$E$3:E143))</f>
        <v/>
      </c>
      <c r="B143" s="6"/>
      <c r="C143" s="6"/>
      <c r="D143" s="6"/>
      <c r="E143" s="2"/>
      <c r="F143" s="2"/>
      <c r="G143" s="2"/>
      <c r="H143" s="2"/>
      <c r="I143" s="2"/>
      <c r="J143" s="1" t="str">
        <f t="shared" si="4"/>
        <v>NO</v>
      </c>
      <c r="K143" s="1" t="str">
        <f t="shared" si="5"/>
        <v xml:space="preserve"> </v>
      </c>
    </row>
    <row r="144" spans="1:11" ht="21.75" customHeight="1">
      <c r="A144" s="5" t="str">
        <f>IF(E144="","",SUBTOTAL(103,$E$3:E144))</f>
        <v/>
      </c>
      <c r="B144" s="6"/>
      <c r="C144" s="6"/>
      <c r="D144" s="6"/>
      <c r="E144" s="2"/>
      <c r="F144" s="2"/>
      <c r="G144" s="2"/>
      <c r="H144" s="2"/>
      <c r="I144" s="2"/>
      <c r="J144" s="1" t="str">
        <f t="shared" si="4"/>
        <v>NO</v>
      </c>
      <c r="K144" s="1" t="str">
        <f t="shared" si="5"/>
        <v xml:space="preserve"> </v>
      </c>
    </row>
    <row r="145" spans="1:11" ht="21.75" customHeight="1">
      <c r="A145" s="5" t="str">
        <f>IF(E145="","",SUBTOTAL(103,$E$3:E145))</f>
        <v/>
      </c>
      <c r="B145" s="6"/>
      <c r="C145" s="6"/>
      <c r="D145" s="6"/>
      <c r="E145" s="2"/>
      <c r="F145" s="2"/>
      <c r="G145" s="2"/>
      <c r="H145" s="2"/>
      <c r="I145" s="2"/>
      <c r="J145" s="1" t="str">
        <f t="shared" si="4"/>
        <v>NO</v>
      </c>
      <c r="K145" s="1" t="str">
        <f t="shared" si="5"/>
        <v xml:space="preserve"> </v>
      </c>
    </row>
    <row r="146" spans="1:11" ht="21.75" customHeight="1">
      <c r="A146" s="5" t="str">
        <f>IF(E146="","",SUBTOTAL(103,$E$3:E146))</f>
        <v/>
      </c>
      <c r="B146" s="6"/>
      <c r="C146" s="6"/>
      <c r="D146" s="6"/>
      <c r="E146" s="2"/>
      <c r="F146" s="2"/>
      <c r="G146" s="2"/>
      <c r="H146" s="2"/>
      <c r="I146" s="2"/>
      <c r="J146" s="1" t="str">
        <f t="shared" si="4"/>
        <v>NO</v>
      </c>
      <c r="K146" s="1" t="str">
        <f t="shared" si="5"/>
        <v xml:space="preserve"> </v>
      </c>
    </row>
    <row r="147" spans="1:11" ht="21.75" customHeight="1">
      <c r="A147" s="5" t="str">
        <f>IF(E147="","",SUBTOTAL(103,$E$3:E147))</f>
        <v/>
      </c>
      <c r="B147" s="6"/>
      <c r="C147" s="6"/>
      <c r="D147" s="6"/>
      <c r="E147" s="2"/>
      <c r="F147" s="2"/>
      <c r="G147" s="2"/>
      <c r="H147" s="2"/>
      <c r="I147" s="2"/>
      <c r="J147" s="1" t="str">
        <f t="shared" si="4"/>
        <v>NO</v>
      </c>
      <c r="K147" s="1" t="str">
        <f t="shared" si="5"/>
        <v xml:space="preserve"> </v>
      </c>
    </row>
    <row r="148" spans="1:11" ht="21.75" customHeight="1">
      <c r="A148" s="5" t="str">
        <f>IF(E148="","",SUBTOTAL(103,$E$3:E148))</f>
        <v/>
      </c>
      <c r="B148" s="6"/>
      <c r="C148" s="6"/>
      <c r="D148" s="6"/>
      <c r="E148" s="2"/>
      <c r="F148" s="2"/>
      <c r="G148" s="2"/>
      <c r="H148" s="2"/>
      <c r="I148" s="2"/>
      <c r="J148" s="1" t="str">
        <f t="shared" si="4"/>
        <v>NO</v>
      </c>
      <c r="K148" s="1" t="str">
        <f t="shared" si="5"/>
        <v xml:space="preserve"> </v>
      </c>
    </row>
    <row r="149" spans="1:11" ht="21.75" customHeight="1">
      <c r="A149" s="5" t="str">
        <f>IF(E149="","",SUBTOTAL(103,$E$3:E149))</f>
        <v/>
      </c>
      <c r="B149" s="6"/>
      <c r="C149" s="6"/>
      <c r="D149" s="6"/>
      <c r="E149" s="2"/>
      <c r="F149" s="2"/>
      <c r="G149" s="2"/>
      <c r="H149" s="2"/>
      <c r="I149" s="2"/>
      <c r="J149" s="1" t="str">
        <f t="shared" si="4"/>
        <v>NO</v>
      </c>
      <c r="K149" s="1" t="str">
        <f t="shared" si="5"/>
        <v xml:space="preserve"> </v>
      </c>
    </row>
    <row r="150" spans="1:11" ht="21.75" customHeight="1">
      <c r="A150" s="5" t="str">
        <f>IF(E150="","",SUBTOTAL(103,$E$3:E150))</f>
        <v/>
      </c>
      <c r="B150" s="6"/>
      <c r="C150" s="6"/>
      <c r="D150" s="6"/>
      <c r="E150" s="2"/>
      <c r="F150" s="2"/>
      <c r="G150" s="2"/>
      <c r="H150" s="2"/>
      <c r="I150" s="2"/>
      <c r="J150" s="1" t="str">
        <f t="shared" si="4"/>
        <v>NO</v>
      </c>
      <c r="K150" s="1" t="str">
        <f t="shared" si="5"/>
        <v xml:space="preserve"> </v>
      </c>
    </row>
    <row r="151" spans="1:11" ht="21.75" customHeight="1">
      <c r="A151" s="5" t="str">
        <f>IF(E151="","",SUBTOTAL(103,$E$3:E151))</f>
        <v/>
      </c>
      <c r="B151" s="6"/>
      <c r="C151" s="6"/>
      <c r="D151" s="6"/>
      <c r="E151" s="2"/>
      <c r="F151" s="2"/>
      <c r="G151" s="2"/>
      <c r="H151" s="2"/>
      <c r="I151" s="2"/>
      <c r="J151" s="1" t="str">
        <f t="shared" si="4"/>
        <v>NO</v>
      </c>
      <c r="K151" s="1" t="str">
        <f t="shared" si="5"/>
        <v xml:space="preserve"> </v>
      </c>
    </row>
    <row r="152" spans="1:11" ht="21.75" customHeight="1">
      <c r="A152" s="5" t="str">
        <f>IF(E152="","",SUBTOTAL(103,$E$3:E152))</f>
        <v/>
      </c>
      <c r="B152" s="6"/>
      <c r="C152" s="6"/>
      <c r="D152" s="6"/>
      <c r="E152" s="2"/>
      <c r="F152" s="2"/>
      <c r="G152" s="2"/>
      <c r="H152" s="2"/>
      <c r="I152" s="2"/>
      <c r="J152" s="1" t="str">
        <f t="shared" si="4"/>
        <v>NO</v>
      </c>
      <c r="K152" s="1" t="str">
        <f t="shared" si="5"/>
        <v xml:space="preserve"> </v>
      </c>
    </row>
    <row r="153" spans="1:11" ht="21.75" customHeight="1">
      <c r="A153" s="5" t="str">
        <f>IF(E153="","",SUBTOTAL(103,$E$3:E153))</f>
        <v/>
      </c>
      <c r="B153" s="6"/>
      <c r="C153" s="6"/>
      <c r="D153" s="6"/>
      <c r="E153" s="2"/>
      <c r="F153" s="2"/>
      <c r="G153" s="2"/>
      <c r="H153" s="2"/>
      <c r="I153" s="2"/>
      <c r="J153" s="1" t="str">
        <f t="shared" si="4"/>
        <v>NO</v>
      </c>
      <c r="K153" s="1" t="str">
        <f t="shared" si="5"/>
        <v xml:space="preserve"> </v>
      </c>
    </row>
    <row r="154" spans="1:11" ht="21.75" customHeight="1">
      <c r="A154" s="5" t="str">
        <f>IF(E154="","",SUBTOTAL(103,$E$3:E154))</f>
        <v/>
      </c>
      <c r="B154" s="6"/>
      <c r="C154" s="6"/>
      <c r="D154" s="6"/>
      <c r="E154" s="2"/>
      <c r="F154" s="2"/>
      <c r="G154" s="2"/>
      <c r="H154" s="2"/>
      <c r="I154" s="2"/>
      <c r="J154" s="1" t="str">
        <f t="shared" si="4"/>
        <v>NO</v>
      </c>
      <c r="K154" s="1" t="str">
        <f t="shared" si="5"/>
        <v xml:space="preserve"> </v>
      </c>
    </row>
    <row r="155" spans="1:11" ht="21.75" customHeight="1">
      <c r="A155" s="5" t="str">
        <f>IF(E155="","",SUBTOTAL(103,$E$3:E155))</f>
        <v/>
      </c>
      <c r="B155" s="6"/>
      <c r="C155" s="6"/>
      <c r="D155" s="6"/>
      <c r="E155" s="2"/>
      <c r="F155" s="2"/>
      <c r="G155" s="2"/>
      <c r="H155" s="2"/>
      <c r="I155" s="2"/>
      <c r="J155" s="1" t="str">
        <f t="shared" si="4"/>
        <v>NO</v>
      </c>
      <c r="K155" s="1" t="str">
        <f t="shared" si="5"/>
        <v xml:space="preserve"> </v>
      </c>
    </row>
    <row r="156" spans="1:11" ht="21.75" customHeight="1">
      <c r="A156" s="5" t="str">
        <f>IF(E156="","",SUBTOTAL(103,$E$3:E156))</f>
        <v/>
      </c>
      <c r="B156" s="6"/>
      <c r="C156" s="6"/>
      <c r="D156" s="6"/>
      <c r="E156" s="2"/>
      <c r="F156" s="2"/>
      <c r="G156" s="2"/>
      <c r="H156" s="2"/>
      <c r="I156" s="2"/>
      <c r="J156" s="1" t="str">
        <f t="shared" si="4"/>
        <v>NO</v>
      </c>
      <c r="K156" s="1" t="str">
        <f t="shared" si="5"/>
        <v xml:space="preserve"> </v>
      </c>
    </row>
    <row r="157" spans="1:11" ht="21.75" customHeight="1">
      <c r="A157" s="5" t="str">
        <f>IF(E157="","",SUBTOTAL(103,$E$3:E157))</f>
        <v/>
      </c>
      <c r="B157" s="6"/>
      <c r="C157" s="6"/>
      <c r="D157" s="6"/>
      <c r="E157" s="2"/>
      <c r="F157" s="2"/>
      <c r="G157" s="2"/>
      <c r="H157" s="2"/>
      <c r="I157" s="2"/>
      <c r="J157" s="1" t="str">
        <f t="shared" si="4"/>
        <v>NO</v>
      </c>
      <c r="K157" s="1" t="str">
        <f t="shared" si="5"/>
        <v xml:space="preserve"> </v>
      </c>
    </row>
    <row r="158" spans="1:11" ht="21.75" customHeight="1">
      <c r="A158" s="5" t="str">
        <f>IF(E158="","",SUBTOTAL(103,$E$3:E158))</f>
        <v/>
      </c>
      <c r="B158" s="6"/>
      <c r="C158" s="6"/>
      <c r="D158" s="6"/>
      <c r="E158" s="2"/>
      <c r="F158" s="2"/>
      <c r="G158" s="2"/>
      <c r="H158" s="2"/>
      <c r="I158" s="2"/>
      <c r="J158" s="1" t="str">
        <f t="shared" si="4"/>
        <v>NO</v>
      </c>
      <c r="K158" s="1" t="str">
        <f t="shared" si="5"/>
        <v xml:space="preserve"> </v>
      </c>
    </row>
    <row r="159" spans="1:11" ht="21.75" customHeight="1">
      <c r="A159" s="5" t="str">
        <f>IF(E159="","",SUBTOTAL(103,$E$3:E159))</f>
        <v/>
      </c>
      <c r="B159" s="6"/>
      <c r="C159" s="6"/>
      <c r="D159" s="6"/>
      <c r="E159" s="2"/>
      <c r="F159" s="2"/>
      <c r="G159" s="2"/>
      <c r="H159" s="2"/>
      <c r="I159" s="2"/>
      <c r="J159" s="1" t="str">
        <f t="shared" si="4"/>
        <v>NO</v>
      </c>
      <c r="K159" s="1" t="str">
        <f t="shared" si="5"/>
        <v xml:space="preserve"> </v>
      </c>
    </row>
    <row r="160" spans="1:11" ht="21.75" customHeight="1">
      <c r="A160" s="5" t="str">
        <f>IF(E160="","",SUBTOTAL(103,$E$3:E160))</f>
        <v/>
      </c>
      <c r="B160" s="6"/>
      <c r="C160" s="6"/>
      <c r="D160" s="6"/>
      <c r="E160" s="2"/>
      <c r="F160" s="2"/>
      <c r="G160" s="2"/>
      <c r="H160" s="2"/>
      <c r="I160" s="2"/>
      <c r="J160" s="1" t="str">
        <f t="shared" si="4"/>
        <v>NO</v>
      </c>
      <c r="K160" s="1" t="str">
        <f t="shared" si="5"/>
        <v xml:space="preserve"> </v>
      </c>
    </row>
    <row r="161" spans="1:11" ht="21.75" customHeight="1">
      <c r="A161" s="5" t="str">
        <f>IF(E161="","",SUBTOTAL(103,$E$3:E161))</f>
        <v/>
      </c>
      <c r="B161" s="6"/>
      <c r="C161" s="6"/>
      <c r="D161" s="6"/>
      <c r="E161" s="2"/>
      <c r="F161" s="2"/>
      <c r="G161" s="2"/>
      <c r="H161" s="2"/>
      <c r="I161" s="2"/>
      <c r="J161" s="1" t="str">
        <f t="shared" si="4"/>
        <v>NO</v>
      </c>
      <c r="K161" s="1" t="str">
        <f t="shared" si="5"/>
        <v xml:space="preserve"> </v>
      </c>
    </row>
    <row r="162" spans="1:11" ht="21.75" customHeight="1">
      <c r="A162" s="5" t="str">
        <f>IF(E162="","",SUBTOTAL(103,$E$3:E162))</f>
        <v/>
      </c>
      <c r="B162" s="6"/>
      <c r="C162" s="6"/>
      <c r="D162" s="6"/>
      <c r="E162" s="2"/>
      <c r="F162" s="2"/>
      <c r="G162" s="2"/>
      <c r="H162" s="2"/>
      <c r="I162" s="2"/>
      <c r="J162" s="1" t="str">
        <f t="shared" si="4"/>
        <v>NO</v>
      </c>
      <c r="K162" s="1" t="str">
        <f t="shared" si="5"/>
        <v xml:space="preserve"> </v>
      </c>
    </row>
    <row r="163" spans="1:11" ht="21.75" customHeight="1">
      <c r="A163" s="5" t="str">
        <f>IF(E163="","",SUBTOTAL(103,$E$3:E163))</f>
        <v/>
      </c>
      <c r="B163" s="6"/>
      <c r="C163" s="6"/>
      <c r="D163" s="6"/>
      <c r="E163" s="2"/>
      <c r="F163" s="2"/>
      <c r="G163" s="2"/>
      <c r="H163" s="2"/>
      <c r="I163" s="2"/>
      <c r="J163" s="1" t="str">
        <f t="shared" si="4"/>
        <v>NO</v>
      </c>
      <c r="K163" s="1" t="str">
        <f t="shared" si="5"/>
        <v xml:space="preserve"> </v>
      </c>
    </row>
    <row r="164" spans="1:11" ht="21.75" customHeight="1">
      <c r="A164" s="5" t="str">
        <f>IF(E164="","",SUBTOTAL(103,$E$3:E164))</f>
        <v/>
      </c>
      <c r="B164" s="6"/>
      <c r="C164" s="6"/>
      <c r="D164" s="6"/>
      <c r="E164" s="2"/>
      <c r="F164" s="2"/>
      <c r="G164" s="2"/>
      <c r="H164" s="2"/>
      <c r="I164" s="2"/>
      <c r="J164" s="1" t="str">
        <f t="shared" si="4"/>
        <v>NO</v>
      </c>
      <c r="K164" s="1" t="str">
        <f t="shared" si="5"/>
        <v xml:space="preserve"> </v>
      </c>
    </row>
    <row r="165" spans="1:11" ht="21.75" customHeight="1">
      <c r="A165" s="5" t="str">
        <f>IF(E165="","",SUBTOTAL(103,$E$3:E165))</f>
        <v/>
      </c>
      <c r="B165" s="6"/>
      <c r="C165" s="6"/>
      <c r="D165" s="6"/>
      <c r="E165" s="2"/>
      <c r="F165" s="2"/>
      <c r="G165" s="2"/>
      <c r="H165" s="2"/>
      <c r="I165" s="2"/>
      <c r="J165" s="1" t="str">
        <f t="shared" si="4"/>
        <v>NO</v>
      </c>
      <c r="K165" s="1" t="str">
        <f t="shared" si="5"/>
        <v xml:space="preserve"> </v>
      </c>
    </row>
    <row r="166" spans="1:11" ht="21.75" customHeight="1">
      <c r="A166" s="5" t="str">
        <f>IF(E166="","",SUBTOTAL(103,$E$3:E166))</f>
        <v/>
      </c>
      <c r="B166" s="6"/>
      <c r="C166" s="6"/>
      <c r="D166" s="6"/>
      <c r="E166" s="2"/>
      <c r="F166" s="2"/>
      <c r="G166" s="2"/>
      <c r="H166" s="2"/>
      <c r="I166" s="2"/>
      <c r="J166" s="1" t="str">
        <f t="shared" si="4"/>
        <v>NO</v>
      </c>
      <c r="K166" s="1" t="str">
        <f t="shared" si="5"/>
        <v xml:space="preserve"> </v>
      </c>
    </row>
    <row r="167" spans="1:11" ht="21.75" customHeight="1">
      <c r="A167" s="5" t="str">
        <f>IF(E167="","",SUBTOTAL(103,$E$3:E167))</f>
        <v/>
      </c>
      <c r="B167" s="6"/>
      <c r="C167" s="6"/>
      <c r="D167" s="6"/>
      <c r="E167" s="2"/>
      <c r="F167" s="2"/>
      <c r="G167" s="2"/>
      <c r="H167" s="2"/>
      <c r="I167" s="2"/>
      <c r="J167" s="1" t="str">
        <f t="shared" si="4"/>
        <v>NO</v>
      </c>
      <c r="K167" s="1" t="str">
        <f t="shared" si="5"/>
        <v xml:space="preserve"> </v>
      </c>
    </row>
    <row r="168" spans="1:11" ht="21.75" customHeight="1">
      <c r="A168" s="5" t="str">
        <f>IF(E168="","",SUBTOTAL(103,$E$3:E168))</f>
        <v/>
      </c>
      <c r="B168" s="6"/>
      <c r="C168" s="6"/>
      <c r="D168" s="6"/>
      <c r="E168" s="2"/>
      <c r="F168" s="2"/>
      <c r="G168" s="2"/>
      <c r="H168" s="2"/>
      <c r="I168" s="2"/>
      <c r="J168" s="1" t="str">
        <f t="shared" si="4"/>
        <v>NO</v>
      </c>
      <c r="K168" s="1" t="str">
        <f t="shared" si="5"/>
        <v xml:space="preserve"> </v>
      </c>
    </row>
    <row r="169" spans="1:11" ht="21.75" customHeight="1">
      <c r="A169" s="5" t="str">
        <f>IF(E169="","",SUBTOTAL(103,$E$3:E169))</f>
        <v/>
      </c>
      <c r="B169" s="6"/>
      <c r="C169" s="6"/>
      <c r="D169" s="6"/>
      <c r="E169" s="2"/>
      <c r="F169" s="2"/>
      <c r="G169" s="2"/>
      <c r="H169" s="2"/>
      <c r="I169" s="2"/>
      <c r="J169" s="1" t="str">
        <f t="shared" si="4"/>
        <v>NO</v>
      </c>
      <c r="K169" s="1" t="str">
        <f t="shared" si="5"/>
        <v xml:space="preserve"> </v>
      </c>
    </row>
    <row r="170" spans="1:11" ht="21.75" customHeight="1">
      <c r="A170" s="5" t="str">
        <f>IF(E170="","",SUBTOTAL(103,$E$3:E170))</f>
        <v/>
      </c>
      <c r="B170" s="6"/>
      <c r="C170" s="6"/>
      <c r="D170" s="6"/>
      <c r="E170" s="2"/>
      <c r="F170" s="2"/>
      <c r="G170" s="2"/>
      <c r="H170" s="2"/>
      <c r="I170" s="2"/>
      <c r="J170" s="1" t="str">
        <f t="shared" si="4"/>
        <v>NO</v>
      </c>
      <c r="K170" s="1" t="str">
        <f t="shared" si="5"/>
        <v xml:space="preserve"> </v>
      </c>
    </row>
    <row r="171" spans="1:11" ht="21.75" customHeight="1">
      <c r="A171" s="5" t="str">
        <f>IF(E171="","",SUBTOTAL(103,$E$3:E171))</f>
        <v/>
      </c>
      <c r="B171" s="6"/>
      <c r="C171" s="6"/>
      <c r="D171" s="6"/>
      <c r="E171" s="2"/>
      <c r="F171" s="2"/>
      <c r="G171" s="2"/>
      <c r="H171" s="2"/>
      <c r="I171" s="2"/>
      <c r="J171" s="1" t="str">
        <f t="shared" si="4"/>
        <v>NO</v>
      </c>
      <c r="K171" s="1" t="str">
        <f t="shared" si="5"/>
        <v xml:space="preserve"> </v>
      </c>
    </row>
    <row r="172" spans="1:11" ht="21.75" customHeight="1">
      <c r="A172" s="5" t="str">
        <f>IF(E172="","",SUBTOTAL(103,$E$3:E172))</f>
        <v/>
      </c>
      <c r="B172" s="6"/>
      <c r="C172" s="6"/>
      <c r="D172" s="6"/>
      <c r="E172" s="2"/>
      <c r="F172" s="2"/>
      <c r="G172" s="2"/>
      <c r="H172" s="2"/>
      <c r="I172" s="2"/>
      <c r="J172" s="1" t="str">
        <f t="shared" si="4"/>
        <v>NO</v>
      </c>
      <c r="K172" s="1" t="str">
        <f t="shared" si="5"/>
        <v xml:space="preserve"> </v>
      </c>
    </row>
    <row r="173" spans="1:11" ht="21.75" customHeight="1">
      <c r="A173" s="5" t="str">
        <f>IF(E173="","",SUBTOTAL(103,$E$3:E173))</f>
        <v/>
      </c>
      <c r="B173" s="6"/>
      <c r="C173" s="6"/>
      <c r="D173" s="6"/>
      <c r="E173" s="2"/>
      <c r="F173" s="2"/>
      <c r="G173" s="2"/>
      <c r="H173" s="2"/>
      <c r="I173" s="2"/>
      <c r="J173" s="1" t="str">
        <f t="shared" si="4"/>
        <v>NO</v>
      </c>
      <c r="K173" s="1" t="str">
        <f t="shared" si="5"/>
        <v xml:space="preserve"> </v>
      </c>
    </row>
    <row r="174" spans="1:11" ht="21.75" customHeight="1">
      <c r="A174" s="5" t="str">
        <f>IF(E174="","",SUBTOTAL(103,$E$3:E174))</f>
        <v/>
      </c>
      <c r="B174" s="6"/>
      <c r="C174" s="6"/>
      <c r="D174" s="6"/>
      <c r="E174" s="2"/>
      <c r="F174" s="2"/>
      <c r="G174" s="2"/>
      <c r="H174" s="2"/>
      <c r="I174" s="2"/>
      <c r="J174" s="1" t="str">
        <f t="shared" si="4"/>
        <v>NO</v>
      </c>
      <c r="K174" s="1" t="str">
        <f t="shared" si="5"/>
        <v xml:space="preserve"> </v>
      </c>
    </row>
    <row r="175" spans="1:11" ht="21.75" customHeight="1">
      <c r="A175" s="5" t="str">
        <f>IF(E175="","",SUBTOTAL(103,$E$3:E175))</f>
        <v/>
      </c>
      <c r="B175" s="6"/>
      <c r="C175" s="6"/>
      <c r="D175" s="6"/>
      <c r="E175" s="2"/>
      <c r="F175" s="2"/>
      <c r="G175" s="2"/>
      <c r="H175" s="2"/>
      <c r="I175" s="2"/>
      <c r="J175" s="1" t="str">
        <f t="shared" si="4"/>
        <v>NO</v>
      </c>
      <c r="K175" s="1" t="str">
        <f t="shared" si="5"/>
        <v xml:space="preserve"> </v>
      </c>
    </row>
    <row r="176" spans="1:11" ht="21.75" customHeight="1">
      <c r="A176" s="5" t="str">
        <f>IF(E176="","",SUBTOTAL(103,$E$3:E176))</f>
        <v/>
      </c>
      <c r="B176" s="6"/>
      <c r="C176" s="6"/>
      <c r="D176" s="6"/>
      <c r="E176" s="2"/>
      <c r="F176" s="2"/>
      <c r="G176" s="2"/>
      <c r="H176" s="2"/>
      <c r="I176" s="2"/>
      <c r="J176" s="1" t="str">
        <f t="shared" si="4"/>
        <v>NO</v>
      </c>
      <c r="K176" s="1" t="str">
        <f t="shared" si="5"/>
        <v xml:space="preserve"> </v>
      </c>
    </row>
    <row r="177" spans="1:11" ht="21.75" customHeight="1">
      <c r="A177" s="5" t="str">
        <f>IF(E177="","",SUBTOTAL(103,$E$3:E177))</f>
        <v/>
      </c>
      <c r="B177" s="6"/>
      <c r="C177" s="6"/>
      <c r="D177" s="6"/>
      <c r="E177" s="2"/>
      <c r="F177" s="2"/>
      <c r="G177" s="2"/>
      <c r="H177" s="2"/>
      <c r="I177" s="2"/>
      <c r="J177" s="1" t="str">
        <f t="shared" si="4"/>
        <v>NO</v>
      </c>
      <c r="K177" s="1" t="str">
        <f t="shared" si="5"/>
        <v xml:space="preserve"> </v>
      </c>
    </row>
    <row r="178" spans="1:11" ht="21.75" customHeight="1">
      <c r="A178" s="5" t="str">
        <f>IF(E178="","",SUBTOTAL(103,$E$3:E178))</f>
        <v/>
      </c>
      <c r="B178" s="6"/>
      <c r="C178" s="6"/>
      <c r="D178" s="6"/>
      <c r="E178" s="2"/>
      <c r="F178" s="2"/>
      <c r="G178" s="2"/>
      <c r="H178" s="2"/>
      <c r="I178" s="2"/>
      <c r="J178" s="1" t="str">
        <f t="shared" si="4"/>
        <v>NO</v>
      </c>
      <c r="K178" s="1" t="str">
        <f t="shared" si="5"/>
        <v xml:space="preserve"> </v>
      </c>
    </row>
    <row r="179" spans="1:11" ht="21.75" customHeight="1">
      <c r="A179" s="5" t="str">
        <f>IF(E179="","",SUBTOTAL(103,$E$3:E179))</f>
        <v/>
      </c>
      <c r="B179" s="6"/>
      <c r="C179" s="6"/>
      <c r="D179" s="6"/>
      <c r="E179" s="2"/>
      <c r="F179" s="2"/>
      <c r="G179" s="2"/>
      <c r="H179" s="2"/>
      <c r="I179" s="2"/>
      <c r="J179" s="1" t="str">
        <f t="shared" si="4"/>
        <v>NO</v>
      </c>
      <c r="K179" s="1" t="str">
        <f t="shared" si="5"/>
        <v xml:space="preserve"> </v>
      </c>
    </row>
    <row r="180" spans="1:11" ht="21.75" customHeight="1">
      <c r="A180" s="5" t="str">
        <f>IF(E180="","",SUBTOTAL(103,$E$3:E180))</f>
        <v/>
      </c>
      <c r="B180" s="6"/>
      <c r="C180" s="6"/>
      <c r="D180" s="6"/>
      <c r="E180" s="2"/>
      <c r="F180" s="2"/>
      <c r="G180" s="2"/>
      <c r="H180" s="2"/>
      <c r="I180" s="2"/>
      <c r="J180" s="1" t="str">
        <f t="shared" si="4"/>
        <v>NO</v>
      </c>
      <c r="K180" s="1" t="str">
        <f t="shared" si="5"/>
        <v xml:space="preserve"> </v>
      </c>
    </row>
    <row r="181" spans="1:11" ht="21.75" customHeight="1">
      <c r="A181" s="5" t="str">
        <f>IF(E181="","",SUBTOTAL(103,$E$3:E181))</f>
        <v/>
      </c>
      <c r="B181" s="6"/>
      <c r="C181" s="6"/>
      <c r="D181" s="6"/>
      <c r="E181" s="2"/>
      <c r="F181" s="2"/>
      <c r="G181" s="2"/>
      <c r="H181" s="2"/>
      <c r="I181" s="2"/>
      <c r="J181" s="1" t="str">
        <f t="shared" si="4"/>
        <v>NO</v>
      </c>
      <c r="K181" s="1" t="str">
        <f t="shared" si="5"/>
        <v xml:space="preserve"> </v>
      </c>
    </row>
    <row r="182" spans="1:11" ht="21.75" customHeight="1">
      <c r="A182" s="5" t="str">
        <f>IF(E182="","",SUBTOTAL(103,$E$3:E182))</f>
        <v/>
      </c>
      <c r="B182" s="6"/>
      <c r="C182" s="6"/>
      <c r="D182" s="6"/>
      <c r="E182" s="2"/>
      <c r="F182" s="2"/>
      <c r="G182" s="2"/>
      <c r="H182" s="2"/>
      <c r="I182" s="2"/>
      <c r="J182" s="1" t="str">
        <f t="shared" si="4"/>
        <v>NO</v>
      </c>
      <c r="K182" s="1" t="str">
        <f t="shared" si="5"/>
        <v xml:space="preserve"> </v>
      </c>
    </row>
    <row r="183" spans="1:11" ht="21.75" customHeight="1">
      <c r="A183" s="5" t="str">
        <f>IF(E183="","",SUBTOTAL(103,$E$3:E183))</f>
        <v/>
      </c>
      <c r="B183" s="6"/>
      <c r="C183" s="6"/>
      <c r="D183" s="6"/>
      <c r="E183" s="2"/>
      <c r="F183" s="2"/>
      <c r="G183" s="2"/>
      <c r="H183" s="2"/>
      <c r="I183" s="2"/>
      <c r="J183" s="1" t="str">
        <f t="shared" si="4"/>
        <v>NO</v>
      </c>
      <c r="K183" s="1" t="str">
        <f t="shared" si="5"/>
        <v xml:space="preserve"> </v>
      </c>
    </row>
    <row r="184" spans="1:11" ht="21.75" customHeight="1">
      <c r="A184" s="5" t="str">
        <f>IF(E184="","",SUBTOTAL(103,$E$3:E184))</f>
        <v/>
      </c>
      <c r="B184" s="6"/>
      <c r="C184" s="6"/>
      <c r="D184" s="6"/>
      <c r="E184" s="2"/>
      <c r="F184" s="2"/>
      <c r="G184" s="2"/>
      <c r="H184" s="2"/>
      <c r="I184" s="2"/>
      <c r="J184" s="1" t="str">
        <f t="shared" si="4"/>
        <v>NO</v>
      </c>
      <c r="K184" s="1" t="str">
        <f t="shared" si="5"/>
        <v xml:space="preserve"> </v>
      </c>
    </row>
    <row r="185" spans="1:11" ht="21.75" customHeight="1">
      <c r="A185" s="5" t="str">
        <f>IF(E185="","",SUBTOTAL(103,$E$3:E185))</f>
        <v/>
      </c>
      <c r="B185" s="6"/>
      <c r="C185" s="6"/>
      <c r="D185" s="6"/>
      <c r="E185" s="2"/>
      <c r="F185" s="2"/>
      <c r="G185" s="2"/>
      <c r="H185" s="2"/>
      <c r="I185" s="2"/>
      <c r="J185" s="1" t="str">
        <f t="shared" si="4"/>
        <v>NO</v>
      </c>
      <c r="K185" s="1" t="str">
        <f t="shared" si="5"/>
        <v xml:space="preserve"> </v>
      </c>
    </row>
    <row r="186" spans="1:11" ht="21.75" customHeight="1">
      <c r="A186" s="5" t="str">
        <f>IF(E186="","",SUBTOTAL(103,$E$3:E186))</f>
        <v/>
      </c>
      <c r="B186" s="6"/>
      <c r="C186" s="6"/>
      <c r="D186" s="6"/>
      <c r="E186" s="2"/>
      <c r="F186" s="2"/>
      <c r="G186" s="2"/>
      <c r="H186" s="2"/>
      <c r="I186" s="2"/>
      <c r="J186" s="1" t="str">
        <f t="shared" si="4"/>
        <v>NO</v>
      </c>
      <c r="K186" s="1" t="str">
        <f t="shared" si="5"/>
        <v xml:space="preserve"> </v>
      </c>
    </row>
    <row r="187" spans="1:11" ht="21.75" customHeight="1">
      <c r="A187" s="5" t="str">
        <f>IF(E187="","",SUBTOTAL(103,$E$3:E187))</f>
        <v/>
      </c>
      <c r="B187" s="6"/>
      <c r="C187" s="6"/>
      <c r="D187" s="6"/>
      <c r="E187" s="2"/>
      <c r="F187" s="2"/>
      <c r="G187" s="2"/>
      <c r="H187" s="2"/>
      <c r="I187" s="2"/>
      <c r="J187" s="1" t="str">
        <f t="shared" si="4"/>
        <v>NO</v>
      </c>
      <c r="K187" s="1" t="str">
        <f t="shared" si="5"/>
        <v xml:space="preserve"> </v>
      </c>
    </row>
    <row r="188" spans="1:11" ht="21.75" customHeight="1">
      <c r="A188" s="5" t="str">
        <f>IF(E188="","",SUBTOTAL(103,$E$3:E188))</f>
        <v/>
      </c>
      <c r="B188" s="6"/>
      <c r="C188" s="6"/>
      <c r="D188" s="6"/>
      <c r="E188" s="2"/>
      <c r="F188" s="2"/>
      <c r="G188" s="2"/>
      <c r="H188" s="2"/>
      <c r="I188" s="2"/>
      <c r="J188" s="1" t="str">
        <f t="shared" si="4"/>
        <v>NO</v>
      </c>
      <c r="K188" s="1" t="str">
        <f t="shared" si="5"/>
        <v xml:space="preserve"> </v>
      </c>
    </row>
    <row r="189" spans="1:11" ht="21.75" customHeight="1">
      <c r="A189" s="5" t="str">
        <f>IF(E189="","",SUBTOTAL(103,$E$3:E189))</f>
        <v/>
      </c>
      <c r="B189" s="6"/>
      <c r="C189" s="6"/>
      <c r="D189" s="6"/>
      <c r="E189" s="2"/>
      <c r="F189" s="2"/>
      <c r="G189" s="2"/>
      <c r="H189" s="2"/>
      <c r="I189" s="2"/>
      <c r="J189" s="1" t="str">
        <f t="shared" si="4"/>
        <v>NO</v>
      </c>
      <c r="K189" s="1" t="str">
        <f t="shared" si="5"/>
        <v xml:space="preserve"> </v>
      </c>
    </row>
    <row r="190" spans="1:11" ht="21.75" customHeight="1">
      <c r="A190" s="5" t="str">
        <f>IF(E190="","",SUBTOTAL(103,$E$3:E190))</f>
        <v/>
      </c>
      <c r="B190" s="6"/>
      <c r="C190" s="6"/>
      <c r="D190" s="6"/>
      <c r="E190" s="2"/>
      <c r="F190" s="2"/>
      <c r="G190" s="2"/>
      <c r="H190" s="2"/>
      <c r="I190" s="2"/>
      <c r="J190" s="1" t="str">
        <f t="shared" si="4"/>
        <v>NO</v>
      </c>
      <c r="K190" s="1" t="str">
        <f t="shared" si="5"/>
        <v xml:space="preserve"> </v>
      </c>
    </row>
    <row r="191" spans="1:11" ht="21.75" customHeight="1">
      <c r="A191" s="5" t="str">
        <f>IF(E191="","",SUBTOTAL(103,$E$3:E191))</f>
        <v/>
      </c>
      <c r="B191" s="6"/>
      <c r="C191" s="6"/>
      <c r="D191" s="6"/>
      <c r="E191" s="2"/>
      <c r="F191" s="2"/>
      <c r="G191" s="2"/>
      <c r="H191" s="2"/>
      <c r="I191" s="2"/>
      <c r="J191" s="1" t="str">
        <f t="shared" si="4"/>
        <v>NO</v>
      </c>
      <c r="K191" s="1" t="str">
        <f t="shared" si="5"/>
        <v xml:space="preserve"> </v>
      </c>
    </row>
    <row r="192" spans="1:11" ht="21.75" customHeight="1">
      <c r="A192" s="5" t="str">
        <f>IF(E192="","",SUBTOTAL(103,$E$3:E192))</f>
        <v/>
      </c>
      <c r="B192" s="6"/>
      <c r="C192" s="6"/>
      <c r="D192" s="6"/>
      <c r="E192" s="2"/>
      <c r="F192" s="2"/>
      <c r="G192" s="2"/>
      <c r="H192" s="2"/>
      <c r="I192" s="2"/>
      <c r="J192" s="1" t="str">
        <f t="shared" si="4"/>
        <v>NO</v>
      </c>
      <c r="K192" s="1" t="str">
        <f t="shared" si="5"/>
        <v xml:space="preserve"> </v>
      </c>
    </row>
    <row r="193" spans="1:11" ht="21.75" customHeight="1">
      <c r="A193" s="5" t="str">
        <f>IF(E193="","",SUBTOTAL(103,$E$3:E193))</f>
        <v/>
      </c>
      <c r="B193" s="6"/>
      <c r="C193" s="6"/>
      <c r="D193" s="6"/>
      <c r="E193" s="2"/>
      <c r="F193" s="2"/>
      <c r="G193" s="2"/>
      <c r="H193" s="2"/>
      <c r="I193" s="2"/>
      <c r="J193" s="1" t="str">
        <f t="shared" si="4"/>
        <v>NO</v>
      </c>
      <c r="K193" s="1" t="str">
        <f t="shared" si="5"/>
        <v xml:space="preserve"> </v>
      </c>
    </row>
    <row r="194" spans="1:11" ht="21.75" customHeight="1">
      <c r="A194" s="5" t="str">
        <f>IF(E194="","",SUBTOTAL(103,$E$3:E194))</f>
        <v/>
      </c>
      <c r="B194" s="6"/>
      <c r="C194" s="6"/>
      <c r="D194" s="6"/>
      <c r="E194" s="2"/>
      <c r="F194" s="2"/>
      <c r="G194" s="2"/>
      <c r="H194" s="2"/>
      <c r="I194" s="2"/>
      <c r="J194" s="1" t="str">
        <f t="shared" si="4"/>
        <v>NO</v>
      </c>
      <c r="K194" s="1" t="str">
        <f t="shared" si="5"/>
        <v xml:space="preserve"> </v>
      </c>
    </row>
    <row r="195" spans="1:11" ht="21.75" customHeight="1">
      <c r="A195" s="5" t="str">
        <f>IF(E195="","",SUBTOTAL(103,$E$3:E195))</f>
        <v/>
      </c>
      <c r="B195" s="6"/>
      <c r="C195" s="6"/>
      <c r="D195" s="6"/>
      <c r="E195" s="2"/>
      <c r="F195" s="2"/>
      <c r="G195" s="2"/>
      <c r="H195" s="2"/>
      <c r="I195" s="2"/>
      <c r="J195" s="1" t="str">
        <f t="shared" ref="J195:J234" si="6">IF(ISERROR(SEARCH("热处理", E195))=FALSE, "XLN", IF(ISERROR(SEARCH("114", E195))=FALSE, "XLN", IF(ISERROR(SEARCH("OM", E195))=FALSE, "NO", IF(ISERROR(SEARCH("试棒毛坯", E195))=FALSE, "XLN", IF(ISERROR(SEARCH("M35", F195))=FALSE, "NO", IF(OR(LEFT(F195, 2)="DN", LEFT(F195, 3)="NPS", ISERROR(SEARCH("LADISH", E195))=FALSE), "XLN", "NO"))))))</f>
        <v>NO</v>
      </c>
      <c r="K195" s="1" t="str">
        <f t="shared" si="5"/>
        <v xml:space="preserve"> </v>
      </c>
    </row>
    <row r="196" spans="1:11" ht="21.75" customHeight="1">
      <c r="A196" s="5" t="str">
        <f>IF(E196="","",SUBTOTAL(103,$E$3:E196))</f>
        <v/>
      </c>
      <c r="B196" s="6"/>
      <c r="C196" s="6"/>
      <c r="D196" s="6"/>
      <c r="E196" s="2"/>
      <c r="F196" s="2"/>
      <c r="G196" s="2"/>
      <c r="H196" s="2"/>
      <c r="I196" s="2"/>
      <c r="J196" s="1" t="str">
        <f t="shared" si="6"/>
        <v>NO</v>
      </c>
      <c r="K196" s="1" t="str">
        <f t="shared" ref="K196:K234" si="7">IF(ISERROR(FIND("304",F196))=FALSE,304,IF(ISERROR(FIND("316",F196))=FALSE,316,IF(ISERROR(FIND("CF8M",F196))=FALSE,316,IF(ISERROR(SEARCH("wcb",F196))=FALSE,"WCB",IF(ISERROR(SEARCH("cd3mn",F196))=FALSE,"CD3MN",IF(ISERROR(SEARCH("CN7M",F196))=FALSE,"CN7M",IF(ISERROR(SEARCH("M35",F196))=FALSE,"M35",IF(ISERROR(SEARCH("CF3M",F196))=FALSE,"CF3M",IF(ISERROR(SEARCH("CD3MWCuN",F196))=FALSE, "CD3MWCuN",  IF(ISERROR(SEARCH("CW12MW",F196))=FALSE, "CW12MW", IF(ISERROR(SEARCH("CF8",F196))=FALSE, 304," ")))))))))))</f>
        <v xml:space="preserve"> </v>
      </c>
    </row>
    <row r="197" spans="1:11" ht="21.75" customHeight="1">
      <c r="A197" s="5" t="str">
        <f>IF(E197="","",SUBTOTAL(103,$E$3:E197))</f>
        <v/>
      </c>
      <c r="B197" s="6"/>
      <c r="C197" s="6"/>
      <c r="D197" s="6"/>
      <c r="E197" s="2"/>
      <c r="F197" s="2"/>
      <c r="G197" s="2"/>
      <c r="H197" s="2"/>
      <c r="I197" s="2"/>
      <c r="J197" s="1" t="str">
        <f t="shared" si="6"/>
        <v>NO</v>
      </c>
      <c r="K197" s="1" t="str">
        <f t="shared" si="7"/>
        <v xml:space="preserve"> </v>
      </c>
    </row>
    <row r="198" spans="1:11" ht="21.75" customHeight="1">
      <c r="A198" s="5" t="str">
        <f>IF(E198="","",SUBTOTAL(103,$E$3:E198))</f>
        <v/>
      </c>
      <c r="B198" s="6"/>
      <c r="C198" s="6"/>
      <c r="D198" s="6"/>
      <c r="E198" s="2"/>
      <c r="F198" s="2"/>
      <c r="G198" s="2"/>
      <c r="H198" s="2"/>
      <c r="I198" s="2"/>
      <c r="J198" s="1" t="str">
        <f t="shared" si="6"/>
        <v>NO</v>
      </c>
      <c r="K198" s="1" t="str">
        <f t="shared" si="7"/>
        <v xml:space="preserve"> </v>
      </c>
    </row>
    <row r="199" spans="1:11" ht="21.75" customHeight="1">
      <c r="A199" s="5" t="str">
        <f>IF(E199="","",SUBTOTAL(103,$E$3:E199))</f>
        <v/>
      </c>
      <c r="B199" s="6"/>
      <c r="C199" s="6"/>
      <c r="D199" s="6"/>
      <c r="E199" s="2"/>
      <c r="F199" s="2"/>
      <c r="G199" s="2"/>
      <c r="H199" s="2"/>
      <c r="I199" s="2"/>
      <c r="J199" s="1" t="str">
        <f t="shared" si="6"/>
        <v>NO</v>
      </c>
      <c r="K199" s="1" t="str">
        <f t="shared" si="7"/>
        <v xml:space="preserve"> </v>
      </c>
    </row>
    <row r="200" spans="1:11" ht="21.75" customHeight="1">
      <c r="A200" s="5" t="str">
        <f>IF(E200="","",SUBTOTAL(103,$E$3:E200))</f>
        <v/>
      </c>
      <c r="B200" s="6"/>
      <c r="C200" s="6"/>
      <c r="D200" s="6"/>
      <c r="E200" s="2"/>
      <c r="F200" s="2"/>
      <c r="G200" s="2"/>
      <c r="H200" s="2"/>
      <c r="I200" s="2"/>
      <c r="J200" s="1" t="str">
        <f t="shared" si="6"/>
        <v>NO</v>
      </c>
      <c r="K200" s="1" t="str">
        <f t="shared" si="7"/>
        <v xml:space="preserve"> </v>
      </c>
    </row>
    <row r="201" spans="1:11" ht="21.75" customHeight="1">
      <c r="A201" s="5" t="str">
        <f>IF(E201="","",SUBTOTAL(103,$E$3:E201))</f>
        <v/>
      </c>
      <c r="B201" s="6"/>
      <c r="C201" s="6"/>
      <c r="D201" s="6"/>
      <c r="E201" s="2"/>
      <c r="F201" s="2"/>
      <c r="G201" s="2"/>
      <c r="H201" s="2"/>
      <c r="I201" s="2"/>
      <c r="J201" s="1" t="str">
        <f t="shared" si="6"/>
        <v>NO</v>
      </c>
      <c r="K201" s="1" t="str">
        <f t="shared" si="7"/>
        <v xml:space="preserve"> </v>
      </c>
    </row>
    <row r="202" spans="1:11" ht="21.75" customHeight="1">
      <c r="A202" s="5" t="str">
        <f>IF(E202="","",SUBTOTAL(103,$E$3:E202))</f>
        <v/>
      </c>
      <c r="B202" s="6"/>
      <c r="C202" s="6"/>
      <c r="D202" s="6"/>
      <c r="E202" s="2"/>
      <c r="F202" s="2"/>
      <c r="G202" s="2"/>
      <c r="H202" s="2"/>
      <c r="I202" s="2"/>
      <c r="J202" s="1" t="str">
        <f t="shared" si="6"/>
        <v>NO</v>
      </c>
      <c r="K202" s="1" t="str">
        <f t="shared" si="7"/>
        <v xml:space="preserve"> </v>
      </c>
    </row>
    <row r="203" spans="1:11" ht="21.75" customHeight="1">
      <c r="A203" s="5" t="str">
        <f>IF(E203="","",SUBTOTAL(103,$E$3:E203))</f>
        <v/>
      </c>
      <c r="B203" s="6"/>
      <c r="C203" s="6"/>
      <c r="D203" s="6"/>
      <c r="E203" s="2"/>
      <c r="F203" s="2"/>
      <c r="G203" s="2"/>
      <c r="H203" s="2"/>
      <c r="I203" s="2"/>
      <c r="J203" s="1" t="str">
        <f t="shared" si="6"/>
        <v>NO</v>
      </c>
      <c r="K203" s="1" t="str">
        <f t="shared" si="7"/>
        <v xml:space="preserve"> </v>
      </c>
    </row>
    <row r="204" spans="1:11" ht="21.75" customHeight="1">
      <c r="A204" s="5" t="str">
        <f>IF(E204="","",SUBTOTAL(103,$E$3:E204))</f>
        <v/>
      </c>
      <c r="B204" s="6"/>
      <c r="C204" s="6"/>
      <c r="D204" s="6"/>
      <c r="E204" s="2"/>
      <c r="F204" s="2"/>
      <c r="G204" s="2"/>
      <c r="H204" s="2"/>
      <c r="I204" s="2"/>
      <c r="J204" s="1" t="str">
        <f t="shared" si="6"/>
        <v>NO</v>
      </c>
      <c r="K204" s="1" t="str">
        <f t="shared" si="7"/>
        <v xml:space="preserve"> </v>
      </c>
    </row>
    <row r="205" spans="1:11" ht="21.75" customHeight="1">
      <c r="A205" s="5" t="str">
        <f>IF(E205="","",SUBTOTAL(103,$E$3:E205))</f>
        <v/>
      </c>
      <c r="B205" s="6"/>
      <c r="C205" s="6"/>
      <c r="D205" s="6"/>
      <c r="E205" s="2"/>
      <c r="F205" s="2"/>
      <c r="G205" s="2"/>
      <c r="H205" s="2"/>
      <c r="I205" s="2"/>
      <c r="J205" s="1" t="str">
        <f t="shared" si="6"/>
        <v>NO</v>
      </c>
      <c r="K205" s="1" t="str">
        <f t="shared" si="7"/>
        <v xml:space="preserve"> </v>
      </c>
    </row>
    <row r="206" spans="1:11" ht="21.75" customHeight="1">
      <c r="A206" s="5" t="str">
        <f>IF(E206="","",SUBTOTAL(103,$E$3:E206))</f>
        <v/>
      </c>
      <c r="B206" s="6"/>
      <c r="C206" s="6"/>
      <c r="D206" s="6"/>
      <c r="E206" s="2"/>
      <c r="F206" s="2"/>
      <c r="G206" s="2"/>
      <c r="H206" s="2"/>
      <c r="I206" s="2"/>
      <c r="J206" s="1" t="str">
        <f t="shared" si="6"/>
        <v>NO</v>
      </c>
      <c r="K206" s="1" t="str">
        <f t="shared" si="7"/>
        <v xml:space="preserve"> </v>
      </c>
    </row>
    <row r="207" spans="1:11" ht="21.75" customHeight="1">
      <c r="A207" s="5" t="str">
        <f>IF(E207="","",SUBTOTAL(103,$E$3:E207))</f>
        <v/>
      </c>
      <c r="B207" s="6"/>
      <c r="C207" s="6"/>
      <c r="D207" s="6"/>
      <c r="E207" s="2"/>
      <c r="F207" s="2"/>
      <c r="G207" s="2"/>
      <c r="H207" s="2"/>
      <c r="I207" s="2"/>
      <c r="J207" s="1" t="str">
        <f t="shared" si="6"/>
        <v>NO</v>
      </c>
      <c r="K207" s="1" t="str">
        <f t="shared" si="7"/>
        <v xml:space="preserve"> </v>
      </c>
    </row>
    <row r="208" spans="1:11" ht="21.75" customHeight="1">
      <c r="A208" s="5" t="str">
        <f>IF(E208="","",SUBTOTAL(103,$E$3:E208))</f>
        <v/>
      </c>
      <c r="B208" s="6"/>
      <c r="C208" s="6"/>
      <c r="D208" s="6"/>
      <c r="E208" s="2"/>
      <c r="F208" s="2"/>
      <c r="G208" s="2"/>
      <c r="H208" s="2"/>
      <c r="I208" s="2"/>
      <c r="J208" s="1" t="str">
        <f t="shared" si="6"/>
        <v>NO</v>
      </c>
      <c r="K208" s="1" t="str">
        <f t="shared" si="7"/>
        <v xml:space="preserve"> </v>
      </c>
    </row>
    <row r="209" spans="1:11" ht="21.75" customHeight="1">
      <c r="A209" s="5" t="str">
        <f>IF(E209="","",SUBTOTAL(103,$E$3:E209))</f>
        <v/>
      </c>
      <c r="B209" s="6"/>
      <c r="C209" s="6"/>
      <c r="D209" s="6"/>
      <c r="E209" s="2"/>
      <c r="F209" s="2"/>
      <c r="G209" s="2"/>
      <c r="H209" s="2"/>
      <c r="I209" s="2"/>
      <c r="J209" s="1" t="str">
        <f t="shared" si="6"/>
        <v>NO</v>
      </c>
      <c r="K209" s="1" t="str">
        <f t="shared" si="7"/>
        <v xml:space="preserve"> </v>
      </c>
    </row>
    <row r="210" spans="1:11" ht="21.75" customHeight="1">
      <c r="A210" s="5" t="str">
        <f>IF(E210="","",SUBTOTAL(103,$E$3:E210))</f>
        <v/>
      </c>
      <c r="B210" s="6"/>
      <c r="C210" s="6"/>
      <c r="D210" s="6"/>
      <c r="E210" s="2"/>
      <c r="F210" s="2"/>
      <c r="G210" s="2"/>
      <c r="H210" s="2"/>
      <c r="I210" s="2"/>
      <c r="J210" s="1" t="str">
        <f t="shared" si="6"/>
        <v>NO</v>
      </c>
      <c r="K210" s="1" t="str">
        <f t="shared" si="7"/>
        <v xml:space="preserve"> </v>
      </c>
    </row>
    <row r="211" spans="1:11" ht="21.75" customHeight="1">
      <c r="A211" s="5" t="str">
        <f>IF(E211="","",SUBTOTAL(103,$E$3:E211))</f>
        <v/>
      </c>
      <c r="B211" s="6"/>
      <c r="C211" s="6"/>
      <c r="D211" s="6"/>
      <c r="E211" s="2"/>
      <c r="F211" s="2"/>
      <c r="G211" s="2"/>
      <c r="H211" s="2"/>
      <c r="I211" s="2"/>
      <c r="J211" s="1" t="str">
        <f t="shared" si="6"/>
        <v>NO</v>
      </c>
      <c r="K211" s="1" t="str">
        <f t="shared" si="7"/>
        <v xml:space="preserve"> </v>
      </c>
    </row>
    <row r="212" spans="1:11" ht="21.75" customHeight="1">
      <c r="A212" s="5" t="str">
        <f>IF(E212="","",SUBTOTAL(103,$E$3:E212))</f>
        <v/>
      </c>
      <c r="B212" s="6"/>
      <c r="C212" s="6"/>
      <c r="D212" s="6"/>
      <c r="E212" s="2"/>
      <c r="F212" s="2"/>
      <c r="G212" s="2"/>
      <c r="H212" s="2"/>
      <c r="I212" s="2"/>
      <c r="J212" s="1" t="str">
        <f t="shared" si="6"/>
        <v>NO</v>
      </c>
      <c r="K212" s="1" t="str">
        <f t="shared" si="7"/>
        <v xml:space="preserve"> </v>
      </c>
    </row>
    <row r="213" spans="1:11" ht="21.75" customHeight="1">
      <c r="A213" s="5" t="str">
        <f>IF(E213="","",SUBTOTAL(103,$E$3:E213))</f>
        <v/>
      </c>
      <c r="B213" s="6"/>
      <c r="C213" s="6"/>
      <c r="D213" s="6"/>
      <c r="E213" s="2"/>
      <c r="F213" s="2"/>
      <c r="G213" s="2"/>
      <c r="H213" s="2"/>
      <c r="I213" s="2"/>
      <c r="J213" s="1" t="str">
        <f t="shared" si="6"/>
        <v>NO</v>
      </c>
      <c r="K213" s="1" t="str">
        <f t="shared" si="7"/>
        <v xml:space="preserve"> </v>
      </c>
    </row>
    <row r="214" spans="1:11" ht="21.75" customHeight="1">
      <c r="A214" s="5" t="str">
        <f>IF(E214="","",SUBTOTAL(103,$E$3:E214))</f>
        <v/>
      </c>
      <c r="B214" s="6"/>
      <c r="C214" s="6"/>
      <c r="D214" s="6"/>
      <c r="E214" s="2"/>
      <c r="F214" s="2"/>
      <c r="G214" s="2"/>
      <c r="H214" s="2"/>
      <c r="I214" s="2"/>
      <c r="J214" s="1" t="str">
        <f t="shared" si="6"/>
        <v>NO</v>
      </c>
      <c r="K214" s="1" t="str">
        <f t="shared" si="7"/>
        <v xml:space="preserve"> </v>
      </c>
    </row>
    <row r="215" spans="1:11" ht="21.75" customHeight="1">
      <c r="A215" s="5" t="str">
        <f>IF(E215="","",SUBTOTAL(103,$E$3:E215))</f>
        <v/>
      </c>
      <c r="B215" s="6"/>
      <c r="C215" s="6"/>
      <c r="D215" s="6"/>
      <c r="E215" s="2"/>
      <c r="F215" s="2"/>
      <c r="G215" s="2"/>
      <c r="H215" s="2"/>
      <c r="I215" s="2"/>
      <c r="J215" s="1" t="str">
        <f t="shared" si="6"/>
        <v>NO</v>
      </c>
      <c r="K215" s="1" t="str">
        <f t="shared" si="7"/>
        <v xml:space="preserve"> </v>
      </c>
    </row>
    <row r="216" spans="1:11" ht="21.75" customHeight="1">
      <c r="A216" s="5" t="str">
        <f>IF(E216="","",SUBTOTAL(103,$E$3:E216))</f>
        <v/>
      </c>
      <c r="B216" s="6"/>
      <c r="C216" s="6"/>
      <c r="D216" s="6"/>
      <c r="E216" s="2"/>
      <c r="F216" s="2"/>
      <c r="G216" s="2"/>
      <c r="H216" s="2"/>
      <c r="I216" s="2"/>
      <c r="J216" s="1" t="str">
        <f t="shared" si="6"/>
        <v>NO</v>
      </c>
      <c r="K216" s="1" t="str">
        <f t="shared" si="7"/>
        <v xml:space="preserve"> </v>
      </c>
    </row>
    <row r="217" spans="1:11" ht="21.75" customHeight="1">
      <c r="A217" s="5" t="str">
        <f>IF(E217="","",SUBTOTAL(103,$E$3:E217))</f>
        <v/>
      </c>
      <c r="B217" s="6"/>
      <c r="C217" s="6"/>
      <c r="D217" s="6"/>
      <c r="E217" s="2"/>
      <c r="F217" s="2"/>
      <c r="G217" s="2"/>
      <c r="H217" s="2"/>
      <c r="I217" s="2"/>
      <c r="J217" s="1" t="str">
        <f t="shared" si="6"/>
        <v>NO</v>
      </c>
      <c r="K217" s="1" t="str">
        <f t="shared" si="7"/>
        <v xml:space="preserve"> </v>
      </c>
    </row>
    <row r="218" spans="1:11" ht="21.75" customHeight="1">
      <c r="A218" s="5" t="str">
        <f>IF(E218="","",SUBTOTAL(103,$E$3:E218))</f>
        <v/>
      </c>
      <c r="B218" s="6"/>
      <c r="C218" s="6"/>
      <c r="D218" s="6"/>
      <c r="E218" s="2"/>
      <c r="F218" s="2"/>
      <c r="G218" s="2"/>
      <c r="H218" s="2"/>
      <c r="I218" s="2"/>
      <c r="J218" s="1" t="str">
        <f t="shared" si="6"/>
        <v>NO</v>
      </c>
      <c r="K218" s="1" t="str">
        <f t="shared" si="7"/>
        <v xml:space="preserve"> </v>
      </c>
    </row>
    <row r="219" spans="1:11" ht="21.75" customHeight="1">
      <c r="A219" s="5" t="str">
        <f>IF(E219="","",SUBTOTAL(103,$E$3:E219))</f>
        <v/>
      </c>
      <c r="B219" s="6"/>
      <c r="C219" s="6"/>
      <c r="D219" s="6"/>
      <c r="E219" s="2"/>
      <c r="F219" s="2"/>
      <c r="G219" s="2"/>
      <c r="H219" s="2"/>
      <c r="I219" s="2"/>
      <c r="J219" s="1" t="str">
        <f t="shared" si="6"/>
        <v>NO</v>
      </c>
      <c r="K219" s="1" t="str">
        <f t="shared" si="7"/>
        <v xml:space="preserve"> </v>
      </c>
    </row>
    <row r="220" spans="1:11" ht="21.75" customHeight="1">
      <c r="A220" s="5" t="str">
        <f>IF(E220="","",SUBTOTAL(103,$E$3:E220))</f>
        <v/>
      </c>
      <c r="B220" s="6"/>
      <c r="C220" s="6"/>
      <c r="D220" s="6"/>
      <c r="E220" s="2"/>
      <c r="F220" s="2"/>
      <c r="G220" s="2"/>
      <c r="H220" s="2"/>
      <c r="I220" s="2"/>
      <c r="J220" s="1" t="str">
        <f t="shared" si="6"/>
        <v>NO</v>
      </c>
      <c r="K220" s="1" t="str">
        <f t="shared" si="7"/>
        <v xml:space="preserve"> </v>
      </c>
    </row>
    <row r="221" spans="1:11" ht="21.75" customHeight="1">
      <c r="A221" s="5" t="str">
        <f>IF(E221="","",SUBTOTAL(103,$E$3:E221))</f>
        <v/>
      </c>
      <c r="B221" s="6"/>
      <c r="C221" s="6"/>
      <c r="D221" s="6"/>
      <c r="E221" s="2"/>
      <c r="F221" s="2"/>
      <c r="G221" s="2"/>
      <c r="H221" s="2"/>
      <c r="I221" s="2"/>
      <c r="J221" s="1" t="str">
        <f t="shared" si="6"/>
        <v>NO</v>
      </c>
      <c r="K221" s="1" t="str">
        <f t="shared" si="7"/>
        <v xml:space="preserve"> </v>
      </c>
    </row>
    <row r="222" spans="1:11" ht="21.75" customHeight="1">
      <c r="A222" s="5" t="str">
        <f>IF(E222="","",SUBTOTAL(103,$E$3:E222))</f>
        <v/>
      </c>
      <c r="B222" s="6"/>
      <c r="C222" s="6"/>
      <c r="D222" s="6"/>
      <c r="E222" s="2"/>
      <c r="F222" s="2"/>
      <c r="G222" s="2"/>
      <c r="H222" s="2"/>
      <c r="I222" s="2"/>
      <c r="J222" s="1" t="str">
        <f t="shared" si="6"/>
        <v>NO</v>
      </c>
      <c r="K222" s="1" t="str">
        <f t="shared" si="7"/>
        <v xml:space="preserve"> </v>
      </c>
    </row>
    <row r="223" spans="1:11" ht="21.75" customHeight="1">
      <c r="A223" s="5" t="str">
        <f>IF(E223="","",SUBTOTAL(103,$E$3:E223))</f>
        <v/>
      </c>
      <c r="B223" s="6"/>
      <c r="C223" s="6"/>
      <c r="D223" s="6"/>
      <c r="E223" s="2"/>
      <c r="F223" s="2"/>
      <c r="G223" s="2"/>
      <c r="H223" s="2"/>
      <c r="I223" s="2"/>
      <c r="J223" s="1" t="str">
        <f t="shared" si="6"/>
        <v>NO</v>
      </c>
      <c r="K223" s="1" t="str">
        <f t="shared" si="7"/>
        <v xml:space="preserve"> </v>
      </c>
    </row>
    <row r="224" spans="1:11" ht="21.75" customHeight="1">
      <c r="A224" s="5" t="str">
        <f>IF(E224="","",SUBTOTAL(103,$E$3:E224))</f>
        <v/>
      </c>
      <c r="B224" s="6"/>
      <c r="C224" s="6"/>
      <c r="D224" s="6"/>
      <c r="E224" s="2"/>
      <c r="F224" s="2"/>
      <c r="G224" s="2"/>
      <c r="H224" s="2"/>
      <c r="I224" s="2"/>
      <c r="J224" s="1" t="str">
        <f t="shared" si="6"/>
        <v>NO</v>
      </c>
      <c r="K224" s="1" t="str">
        <f t="shared" si="7"/>
        <v xml:space="preserve"> </v>
      </c>
    </row>
    <row r="225" spans="1:11" ht="21.75" customHeight="1">
      <c r="A225" s="5" t="str">
        <f>IF(E225="","",SUBTOTAL(103,$E$3:E225))</f>
        <v/>
      </c>
      <c r="B225" s="6"/>
      <c r="C225" s="6"/>
      <c r="D225" s="6"/>
      <c r="E225" s="2"/>
      <c r="F225" s="2"/>
      <c r="G225" s="2"/>
      <c r="H225" s="2"/>
      <c r="I225" s="2"/>
      <c r="J225" s="1" t="str">
        <f t="shared" si="6"/>
        <v>NO</v>
      </c>
      <c r="K225" s="1" t="str">
        <f t="shared" si="7"/>
        <v xml:space="preserve"> </v>
      </c>
    </row>
    <row r="226" spans="1:11" ht="21.75" customHeight="1">
      <c r="A226" s="5" t="str">
        <f>IF(E226="","",SUBTOTAL(103,$E$3:E226))</f>
        <v/>
      </c>
      <c r="B226" s="6"/>
      <c r="C226" s="6"/>
      <c r="D226" s="6"/>
      <c r="E226" s="2"/>
      <c r="F226" s="2"/>
      <c r="G226" s="2"/>
      <c r="H226" s="2"/>
      <c r="I226" s="2"/>
      <c r="J226" s="1" t="str">
        <f t="shared" si="6"/>
        <v>NO</v>
      </c>
      <c r="K226" s="1" t="str">
        <f t="shared" si="7"/>
        <v xml:space="preserve"> </v>
      </c>
    </row>
    <row r="227" spans="1:11" ht="21.75" customHeight="1">
      <c r="A227" s="5" t="str">
        <f>IF(E227="","",SUBTOTAL(103,$E$3:E227))</f>
        <v/>
      </c>
      <c r="B227" s="6"/>
      <c r="C227" s="6"/>
      <c r="D227" s="6"/>
      <c r="E227" s="2"/>
      <c r="F227" s="2"/>
      <c r="G227" s="2"/>
      <c r="H227" s="2"/>
      <c r="I227" s="2"/>
      <c r="J227" s="1" t="str">
        <f t="shared" si="6"/>
        <v>NO</v>
      </c>
      <c r="K227" s="1" t="str">
        <f t="shared" si="7"/>
        <v xml:space="preserve"> </v>
      </c>
    </row>
    <row r="228" spans="1:11" ht="21.75" customHeight="1">
      <c r="A228" s="5" t="str">
        <f>IF(E228="","",SUBTOTAL(103,$E$3:E228))</f>
        <v/>
      </c>
      <c r="B228" s="6"/>
      <c r="C228" s="6"/>
      <c r="D228" s="6"/>
      <c r="E228" s="2"/>
      <c r="F228" s="2"/>
      <c r="G228" s="2"/>
      <c r="H228" s="2"/>
      <c r="I228" s="2"/>
      <c r="J228" s="1" t="str">
        <f t="shared" si="6"/>
        <v>NO</v>
      </c>
      <c r="K228" s="1" t="str">
        <f t="shared" si="7"/>
        <v xml:space="preserve"> </v>
      </c>
    </row>
    <row r="229" spans="1:11" ht="21.75" customHeight="1">
      <c r="A229" s="5" t="str">
        <f>IF(E229="","",SUBTOTAL(103,$E$3:E229))</f>
        <v/>
      </c>
      <c r="B229" s="6"/>
      <c r="C229" s="6"/>
      <c r="D229" s="6"/>
      <c r="E229" s="2"/>
      <c r="F229" s="2"/>
      <c r="G229" s="2"/>
      <c r="H229" s="2"/>
      <c r="I229" s="2"/>
      <c r="J229" s="1" t="str">
        <f t="shared" si="6"/>
        <v>NO</v>
      </c>
      <c r="K229" s="1" t="str">
        <f t="shared" si="7"/>
        <v xml:space="preserve"> </v>
      </c>
    </row>
    <row r="230" spans="1:11" ht="21.75" customHeight="1">
      <c r="A230" s="5" t="str">
        <f>IF(E230="","",SUBTOTAL(103,$E$3:E230))</f>
        <v/>
      </c>
      <c r="B230" s="6"/>
      <c r="C230" s="6"/>
      <c r="D230" s="6"/>
      <c r="E230" s="2"/>
      <c r="F230" s="2"/>
      <c r="G230" s="2"/>
      <c r="H230" s="2"/>
      <c r="I230" s="2"/>
      <c r="J230" s="1" t="str">
        <f t="shared" si="6"/>
        <v>NO</v>
      </c>
      <c r="K230" s="1" t="str">
        <f t="shared" si="7"/>
        <v xml:space="preserve"> </v>
      </c>
    </row>
    <row r="231" spans="1:11" ht="21.75" customHeight="1">
      <c r="A231" s="5" t="str">
        <f>IF(E231="","",SUBTOTAL(103,$E$3:E231))</f>
        <v/>
      </c>
      <c r="B231" s="6"/>
      <c r="C231" s="6"/>
      <c r="D231" s="6"/>
      <c r="E231" s="2"/>
      <c r="F231" s="2"/>
      <c r="G231" s="2"/>
      <c r="H231" s="2"/>
      <c r="I231" s="2"/>
      <c r="J231" s="1" t="str">
        <f t="shared" si="6"/>
        <v>NO</v>
      </c>
      <c r="K231" s="1" t="str">
        <f t="shared" si="7"/>
        <v xml:space="preserve"> </v>
      </c>
    </row>
    <row r="232" spans="1:11" ht="21.75" customHeight="1">
      <c r="A232" s="5" t="str">
        <f>IF(E232="","",SUBTOTAL(103,$E$3:E232))</f>
        <v/>
      </c>
      <c r="B232" s="6"/>
      <c r="C232" s="6"/>
      <c r="D232" s="6"/>
      <c r="E232" s="2"/>
      <c r="F232" s="2"/>
      <c r="G232" s="2"/>
      <c r="H232" s="2"/>
      <c r="I232" s="2"/>
      <c r="J232" s="1" t="str">
        <f t="shared" si="6"/>
        <v>NO</v>
      </c>
      <c r="K232" s="1" t="str">
        <f t="shared" si="7"/>
        <v xml:space="preserve"> </v>
      </c>
    </row>
    <row r="233" spans="1:11" ht="21.75" customHeight="1">
      <c r="A233" s="5" t="str">
        <f>IF(E233="","",SUBTOTAL(103,$E$3:E233))</f>
        <v/>
      </c>
      <c r="B233" s="6"/>
      <c r="C233" s="6"/>
      <c r="D233" s="6"/>
      <c r="E233" s="2"/>
      <c r="F233" s="2"/>
      <c r="G233" s="2"/>
      <c r="H233" s="2"/>
      <c r="I233" s="2"/>
      <c r="J233" s="1" t="str">
        <f t="shared" si="6"/>
        <v>NO</v>
      </c>
      <c r="K233" s="1" t="str">
        <f t="shared" si="7"/>
        <v xml:space="preserve"> </v>
      </c>
    </row>
    <row r="234" spans="1:11" ht="21.75" customHeight="1">
      <c r="A234" s="5" t="str">
        <f>IF(E234="","",SUBTOTAL(103,$E$3:E234))</f>
        <v/>
      </c>
      <c r="B234" s="6"/>
      <c r="C234" s="6"/>
      <c r="D234" s="6"/>
      <c r="E234" s="2"/>
      <c r="F234" s="2"/>
      <c r="G234" s="2"/>
      <c r="H234" s="2"/>
      <c r="I234" s="2"/>
      <c r="J234" s="1" t="str">
        <f t="shared" si="6"/>
        <v>NO</v>
      </c>
      <c r="K234" s="1" t="str">
        <f t="shared" si="7"/>
        <v xml:space="preserve"> </v>
      </c>
    </row>
    <row r="235" spans="1:11" ht="33" customHeight="1">
      <c r="A235" s="17" t="s">
        <v>16</v>
      </c>
      <c r="B235" s="13"/>
      <c r="C235" s="14">
        <f>ROUND(SUMIFS($I$3:$I$234, $J$3:$J$234, "XLN", K3:$K$234, "WCB"), 2)</f>
        <v>0</v>
      </c>
      <c r="D235" s="7"/>
      <c r="E235" s="12" t="s">
        <v>17</v>
      </c>
      <c r="F235" s="15">
        <f>ROUND(IFERROR(H235-C235, "0"), 2)</f>
        <v>0</v>
      </c>
      <c r="G235" s="12" t="s">
        <v>18</v>
      </c>
      <c r="H235" s="16">
        <f>ROUND(SUMIF(J3:J234, "XLN", I3:I234), 2)</f>
        <v>0</v>
      </c>
      <c r="I235" s="16"/>
    </row>
    <row r="237" spans="1:11" ht="31.5">
      <c r="B237" s="8" t="s">
        <v>4</v>
      </c>
      <c r="E237" s="9" t="s">
        <v>5</v>
      </c>
      <c r="H237" s="10" t="s">
        <v>3</v>
      </c>
      <c r="I237" s="11"/>
    </row>
  </sheetData>
  <autoFilter ref="A2:K235" xr:uid="{125219BA-F4F6-4348-BEF7-1027E41B2552}"/>
  <mergeCells count="9">
    <mergeCell ref="I1:I2"/>
    <mergeCell ref="A1:A2"/>
    <mergeCell ref="B1:B2"/>
    <mergeCell ref="C1:C2"/>
    <mergeCell ref="D1:D2"/>
    <mergeCell ref="E1:E2"/>
    <mergeCell ref="F1:F2"/>
    <mergeCell ref="G1:G2"/>
    <mergeCell ref="H1:H2"/>
  </mergeCells>
  <printOptions horizontalCentered="1"/>
  <pageMargins left="0.28000000000000003" right="0" top="0.46" bottom="0.52" header="0" footer="0"/>
  <pageSetup paperSize="9" scale="78" orientation="portrait" horizontalDpi="300" verticalDpi="300" r:id="rId1"/>
  <headerFooter alignWithMargins="0"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Hàng xln</vt:lpstr>
      <vt:lpstr>xử lý chất liệu</vt:lpstr>
      <vt:lpstr>'Hàng xln'!Print_Area</vt:lpstr>
      <vt:lpstr>'xử lý chất liệu'!Print_Area</vt:lpstr>
      <vt:lpstr>'Hàng xln'!Print_Titles</vt:lpstr>
      <vt:lpstr>'xử lý chất liệu'!Print_Titles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2013-05-02T05:44:06Z</cp:lastPrinted>
  <dcterms:created xsi:type="dcterms:W3CDTF">1996-12-17T01:32:42Z</dcterms:created>
  <dcterms:modified xsi:type="dcterms:W3CDTF">2026-06-21T02:40:12Z</dcterms:modified>
</cp:coreProperties>
</file>