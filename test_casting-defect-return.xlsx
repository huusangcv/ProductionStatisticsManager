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ĐÚC P-029-06.01 A0)" state="visible" r:id="rId4"/>
    <sheet sheetId="7" name="chất liệu" state="visible" r:id="rId5"/>
  </sheets>
  <definedNames>
    <definedName name="_xlnm._FilterDatabase">'ĐÚC P-029-06.01 A0)'!$A$5:$AB$14</definedName>
    <definedName name="_xlnm.Print_Area" localSheetId="0">'ĐÚC P-029-06.01 A0)'!$A1:$W14</definedName>
  </definedNames>
  <calcPr calcId="171027"/>
</workbook>
</file>

<file path=xl/sharedStrings.xml><?xml version="1.0" encoding="utf-8"?>
<sst xmlns="http://schemas.openxmlformats.org/spreadsheetml/2006/main" count="61" uniqueCount="58">
  <si>
    <r>
      <t xml:space="preserve">
</t>
    </r>
    <r>
      <rPr>
        <family val="1"/>
        <sz val="13"/>
        <rFont val="Times New Roman"/>
      </rPr>
      <t xml:space="preserve">                                                    </t>
    </r>
    <r>
      <rPr>
        <b/>
        <family val="1"/>
        <sz val="13"/>
        <rFont val="Times New Roman"/>
      </rPr>
      <t xml:space="preserve">                                                       
                                                                                                                                                                                </t>
    </r>
    <r>
      <rPr>
        <family val="1"/>
        <sz val="13"/>
        <rFont val="Times New Roman"/>
      </rPr>
      <t xml:space="preserve"> </t>
    </r>
    <r>
      <rPr>
        <b/>
        <family val="1"/>
        <sz val="13"/>
        <rFont val="Times New Roman"/>
      </rPr>
      <t xml:space="preserve">                     </t>
    </r>
  </si>
  <si>
    <r>
      <t xml:space="preserve">铸造车间不良品回炉申请单
</t>
    </r>
    <r>
      <rPr>
        <b/>
        <family val="1"/>
        <sz val="12"/>
        <rFont val="Times New Roman"/>
      </rPr>
      <t>BÁO CÁO HÀNG KHÔNG ĐẠT TRẢ VỀ LÒ XƯỞNG ĐÚC</t>
    </r>
    <r>
      <rPr>
        <b/>
        <family val="1"/>
        <sz val="16"/>
        <rFont val="Times New Roman"/>
      </rPr>
      <t xml:space="preserve">    </t>
    </r>
  </si>
  <si>
    <t>日期/Ngày：</t>
  </si>
  <si>
    <t>No:</t>
  </si>
  <si>
    <t xml:space="preserve">序号
STT</t>
  </si>
  <si>
    <t xml:space="preserve">工单
单号
Mã
công đơn</t>
  </si>
  <si>
    <t xml:space="preserve">产品品名
Tên
Sản Phẩm</t>
  </si>
  <si>
    <t xml:space="preserve">产品 规格
Quy cách 
</t>
  </si>
  <si>
    <t xml:space="preserve">材质
Chất liệu</t>
  </si>
  <si>
    <t>不良原因 Nguyên nhân không đạt</t>
  </si>
  <si>
    <t xml:space="preserve">切伤
Cắt phạm</t>
  </si>
  <si>
    <t xml:space="preserve">磨伤
Mài phạm</t>
  </si>
  <si>
    <t xml:space="preserve">漏钢水
Xì hồ</t>
  </si>
  <si>
    <t xml:space="preserve">浇不足
Đúc thiếu</t>
  </si>
  <si>
    <t xml:space="preserve">砂孔
Lổ cát</t>
  </si>
  <si>
    <t xml:space="preserve">气孔
Lổ khí</t>
  </si>
  <si>
    <t xml:space="preserve">缩孔
Lủng lổ</t>
  </si>
  <si>
    <t xml:space="preserve">变形
Biến dạng</t>
  </si>
  <si>
    <t xml:space="preserve">字损
Mất nét</t>
  </si>
  <si>
    <t xml:space="preserve">夹砂
Kẹp cát</t>
  </si>
  <si>
    <t xml:space="preserve">裂纹
Vết nứt</t>
  </si>
  <si>
    <t xml:space="preserve">尺寸超差
Sai kích thước</t>
  </si>
  <si>
    <t xml:space="preserve">夹铁
Kẹp sắt</t>
  </si>
  <si>
    <t xml:space="preserve">冷隔
lạnh ngắt</t>
  </si>
  <si>
    <t xml:space="preserve">渣孔
Lỗ xỉ</t>
  </si>
  <si>
    <t xml:space="preserve">其他
Khác</t>
  </si>
  <si>
    <t xml:space="preserve">合计
（PCS）
Tổng cộng</t>
  </si>
  <si>
    <t>Trọng lượng</t>
  </si>
  <si>
    <t>Loại</t>
  </si>
  <si>
    <t>Tổng trọng lượng</t>
  </si>
  <si>
    <t>合计 Tổng</t>
  </si>
  <si>
    <t>备注Ghi chú</t>
  </si>
  <si>
    <t xml:space="preserve">管件报废重量（kg）
Trọng lượng báo phế hàng Ống</t>
  </si>
  <si>
    <t xml:space="preserve">阀门报废重量（kg）
Trọng lượng báo phế hàng Van</t>
  </si>
  <si>
    <t xml:space="preserve">管件/阀门总重
Tổng trọng lượng ống và van</t>
  </si>
  <si>
    <t xml:space="preserve">CF8M (316) </t>
  </si>
  <si>
    <t xml:space="preserve">CF8 (304) </t>
  </si>
  <si>
    <t xml:space="preserve">CF8M </t>
  </si>
  <si>
    <t>CF8</t>
  </si>
  <si>
    <t>CF3M</t>
  </si>
  <si>
    <t>WCB</t>
  </si>
  <si>
    <t xml:space="preserve">厂长/副厂长
Xưởng trưởng/ Phó XT</t>
  </si>
  <si>
    <t xml:space="preserve">品保经理 
Giám đốc chất lượng</t>
  </si>
  <si>
    <t xml:space="preserve">品保课长
Khoa trưởng chất lượng</t>
  </si>
  <si>
    <t xml:space="preserve">铸造课长
Khoa trưởng đúc</t>
  </si>
  <si>
    <t xml:space="preserve">前后处理组长
Tổ trưởng trước sau xử lý</t>
  </si>
  <si>
    <t>制定Lập biểu</t>
  </si>
  <si>
    <t>QC确认</t>
  </si>
  <si>
    <t>P-029-06.01 A3</t>
  </si>
  <si>
    <t>VẬT LIỆU</t>
  </si>
  <si>
    <t>CF8M</t>
  </si>
  <si>
    <t>CW12MW</t>
  </si>
  <si>
    <t>CX2MW</t>
  </si>
  <si>
    <t>CD3MN</t>
  </si>
  <si>
    <t>CD3MWCuN</t>
  </si>
  <si>
    <t>CN7M</t>
  </si>
  <si>
    <t>LCC</t>
  </si>
  <si>
    <t>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</si>
</sst>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0 &quot;Kg&quot;"/>
  </numFmts>
  <fonts count="13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b/>
      <family val="1"/>
      <sz val="13"/>
      <name val="Times New Roman"/>
    </font>
    <font>
      <b/>
      <family val="1"/>
      <sz val="16"/>
      <name val="Times New Roman"/>
    </font>
    <font>
      <family val="1"/>
      <sz val="10"/>
      <name val="Times New Roman"/>
    </font>
    <font>
      <color theme="1"/>
      <family val="1"/>
      <sz val="13"/>
      <name val="Times New Roman"/>
    </font>
    <font>
      <color theme="1"/>
      <family val="1"/>
      <sz val="10"/>
      <name val="Times New Roman"/>
    </font>
    <font>
      <color rgb="FFFF0000"/>
      <family val="1"/>
      <sz val="10"/>
      <name val="Times New Roman"/>
    </font>
    <font>
      <family val="1"/>
      <sz val="9"/>
      <name val="Times New Roman"/>
    </font>
    <font>
      <b/>
      <family val="1"/>
      <sz val="12"/>
      <name val="Times New Roman"/>
    </font>
    <font>
      <family val="1"/>
      <sz val="11"/>
      <name val="Times New Roman"/>
    </font>
    <font>
      <color rgb="FFFF0000"/>
      <family val="1"/>
      <sz val="12"/>
      <name val="Times New Roman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6" fillId="0" borderId="1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 shrinkToFit="1"/>
    </xf>
    <xf numFmtId="0" fontId="7" fillId="0" borderId="8" xfId="0" applyFont="1" applyBorder="1" applyAlignment="1">
      <alignment horizontal="center" vertical="top" wrapText="1" shrinkToFit="1"/>
    </xf>
    <xf numFmtId="0" fontId="6" fillId="0" borderId="13" xfId="0" applyFont="1" applyBorder="1" applyAlignment="1">
      <alignment horizontal="center" vertical="top" wrapText="1" shrinkToFi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 shrinkToFit="1"/>
    </xf>
    <xf numFmtId="0" fontId="6" fillId="0" borderId="8" xfId="0" applyFont="1" applyBorder="1" applyAlignment="1">
      <alignment horizontal="center" vertical="top" wrapText="1" shrinkToFi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 shrinkToFit="1"/>
    </xf>
    <xf numFmtId="0" fontId="8" fillId="0" borderId="9" xfId="0" applyFont="1" applyBorder="1" applyAlignment="1">
      <alignment horizontal="left" vertical="center" wrapText="1" shrinkToFit="1"/>
    </xf>
    <xf numFmtId="0" fontId="8" fillId="0" borderId="1" xfId="0" applyFont="1" applyBorder="1" applyAlignment="1">
      <alignment horizontal="left" vertical="center" wrapText="1" shrinkToFit="1"/>
    </xf>
    <xf numFmtId="0" fontId="8" fillId="0" borderId="5" xfId="0" applyFont="1" applyBorder="1" applyAlignment="1">
      <alignment horizontal="center" vertical="center" wrapText="1" shrinkToFit="1"/>
    </xf>
    <xf numFmtId="0" fontId="8" fillId="0" borderId="7" xfId="0" applyFont="1" applyBorder="1" applyAlignment="1">
      <alignment horizontal="center" vertical="center" wrapText="1" shrinkToFit="1"/>
    </xf>
    <xf numFmtId="0" fontId="4" fillId="0" borderId="14" xfId="0" applyFont="1" applyBorder="1" applyAlignment="1">
      <alignment horizontal="center" vertical="center" wrapText="1" shrinkToFi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shrinkToFi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544285</xdr:colOff>
      <xdr:row>0</xdr:row>
      <xdr:rowOff>52335</xdr:rowOff>
    </xdr:from>
    <xdr:to>
      <xdr:col>13</xdr:col>
      <xdr:colOff>18028</xdr:colOff>
      <xdr:row>0</xdr:row>
      <xdr:rowOff>299985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VATLIEU" displayName="VATLIEU" ref="A1:A14" totalsRowShown="1" headerRowCount="0">
  <autoFilter ref="A1:A14">
    <filterColumn colId="0" hiddenButton="1"/>
  </autoFilter>
  <tableColumns count="1">
    <tableColumn id="1" name="VẬT LIỆ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4"/>
  <sheetViews>
    <sheetView workbookViewId="0" zoomScale="91" zoomScaleNormal="91">
      <pane ySplit="6" topLeftCell="A7" activePane="bottomLeft" state="frozen"/>
      <selection pane="bottomLeft" activeCell="E13" sqref="E13"/>
    </sheetView>
  </sheetViews>
  <sheetFormatPr defaultRowHeight="15.75" outlineLevelRow="0" outlineLevelCol="0" x14ac:dyDescent="0" defaultColWidth="8.625" customHeight="1"/>
  <cols>
    <col min="1" max="1" width="5" style="1" customWidth="1"/>
    <col min="2" max="2" width="15.75" style="2" customWidth="1"/>
    <col min="3" max="3" width="11.75" style="2" customWidth="1"/>
    <col min="4" max="4" width="12.875" style="2" customWidth="1"/>
    <col min="5" max="5" width="3.375" style="2" customWidth="1"/>
    <col min="6" max="6" width="7.375" style="2" customWidth="1"/>
    <col min="7" max="8" width="5.625" style="2" customWidth="1"/>
    <col min="9" max="9" width="6.5" style="2" customWidth="1"/>
    <col min="10" max="17" width="5.625" style="2" customWidth="1"/>
    <col min="18" max="18" width="6.875" style="2" customWidth="1"/>
    <col min="19" max="20" width="6.625" style="2" customWidth="1"/>
    <col min="21" max="21" width="5.5" style="2" customWidth="1"/>
    <col min="22" max="22" width="6.875" style="2" customWidth="1"/>
    <col min="23" max="23" width="10.25" style="2" customWidth="1"/>
    <col min="24" max="26" width="8.625" style="2" customWidth="1"/>
    <col min="27" max="27" width="9.75" style="2" customWidth="1"/>
    <col min="28" max="16384" width="8.625" style="2" customWidth="1"/>
  </cols>
  <sheetData>
    <row r="1" ht="27" customHeight="1" spans="1:23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35.25" customHeight="1" spans="1:23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1.75" customHeight="1" spans="1:23" x14ac:dyDescent="0.25">
      <c r="A3" s="5"/>
      <c r="B3" s="5" t="s">
        <v>2</v>
      </c>
      <c r="C3" s="6">
        <v>46223</v>
      </c>
      <c r="D3" s="5"/>
      <c r="E3" s="5"/>
      <c r="G3" s="3"/>
      <c r="H3" s="5"/>
      <c r="I3" s="3"/>
      <c r="J3" s="3"/>
      <c r="K3" s="3"/>
      <c r="L3" s="3"/>
      <c r="M3" s="3"/>
      <c r="N3" s="3"/>
      <c r="O3" s="3"/>
      <c r="P3" s="3"/>
      <c r="R3" s="5"/>
      <c r="S3" s="7" t="s">
        <v>3</v>
      </c>
      <c r="T3" s="8">
        <f>SUM(W6:W6)</f>
        <v>0</v>
      </c>
      <c r="U3" s="5"/>
      <c r="V3" s="3"/>
      <c r="W3" s="3"/>
    </row>
    <row r="4" ht="18.75" customHeight="1" spans="1:27" x14ac:dyDescent="0.25">
      <c r="A4" s="9" t="s">
        <v>4</v>
      </c>
      <c r="B4" s="10" t="s">
        <v>5</v>
      </c>
      <c r="C4" s="10" t="s">
        <v>6</v>
      </c>
      <c r="D4" s="10" t="s">
        <v>7</v>
      </c>
      <c r="E4" s="11" t="s">
        <v>8</v>
      </c>
      <c r="F4" s="12"/>
      <c r="G4" s="13" t="s">
        <v>9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AA4" s="2">
        <f>SUM(AA6:AA7)</f>
        <v>0</v>
      </c>
    </row>
    <row r="5" ht="51.75" customHeight="1" spans="1:27" x14ac:dyDescent="0.25">
      <c r="A5" s="16"/>
      <c r="B5" s="17"/>
      <c r="C5" s="17"/>
      <c r="D5" s="17"/>
      <c r="E5" s="18"/>
      <c r="F5" s="19"/>
      <c r="G5" s="20" t="s">
        <v>10</v>
      </c>
      <c r="H5" s="21" t="s">
        <v>11</v>
      </c>
      <c r="I5" s="22" t="s">
        <v>12</v>
      </c>
      <c r="J5" s="23" t="s">
        <v>13</v>
      </c>
      <c r="K5" s="24" t="s">
        <v>14</v>
      </c>
      <c r="L5" s="24" t="s">
        <v>15</v>
      </c>
      <c r="M5" s="24" t="s">
        <v>16</v>
      </c>
      <c r="N5" s="24" t="s">
        <v>17</v>
      </c>
      <c r="O5" s="23" t="s">
        <v>18</v>
      </c>
      <c r="P5" s="23" t="s">
        <v>19</v>
      </c>
      <c r="Q5" s="21" t="s">
        <v>20</v>
      </c>
      <c r="R5" s="25" t="s">
        <v>21</v>
      </c>
      <c r="S5" s="23" t="s">
        <v>22</v>
      </c>
      <c r="T5" s="23" t="s">
        <v>23</v>
      </c>
      <c r="U5" s="23" t="s">
        <v>24</v>
      </c>
      <c r="V5" s="26" t="s">
        <v>25</v>
      </c>
      <c r="W5" s="27" t="s">
        <v>26</v>
      </c>
      <c r="Y5" s="28" t="s">
        <v>27</v>
      </c>
      <c r="Z5" s="28" t="s">
        <v>28</v>
      </c>
      <c r="AA5" s="28" t="s">
        <v>29</v>
      </c>
    </row>
    <row r="6" ht="18.95" customHeight="1" spans="1:28" x14ac:dyDescent="0.25">
      <c r="A6" s="29">
        <f>ROW()-5</f>
        <v>1</v>
      </c>
      <c r="B6" s="30"/>
      <c r="C6" s="31"/>
      <c r="D6" s="32"/>
      <c r="E6" s="33">
        <f t="array" ref="E6">IFERROR(INDEX('chất liệu'!$A$1:$A$14,MATCH(TRUE,ISNUMBER(SEARCH('chất liệu'!$A$1:$A$14,'ĐÚC P-029-06.01 A0)'!D6)),0)),"")</f>
      </c>
      <c r="F6" s="34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 t="str">
        <f t="shared" ref="W6" si="0">IF(SUM(G6:V6)=0," ",SUM(G6:V6))</f>
        <v> </v>
      </c>
      <c r="Z6" s="2" t="str">
        <f t="shared" ref="Z6" si="1">IF(ISERROR(SEARCH("OM-06", C6))=FALSE, "ỐNG", IF(OR(LEFT(D6, 2)="DN", LEFT(D6, 3)="NPS", ISERROR(SEARCH("LADISH", C6))=FALSE), "VAN", "ỐNG"))</f>
        <v>ỐNG</v>
      </c>
      <c r="AA6" s="2">
        <f t="shared" ref="AA6" si="2">IFERROR(W6*Y6, "")</f>
      </c>
      <c r="AB6" s="2">
        <f t="array" ref="AB6">IFERROR(INDEX('chất liệu'!$A$1:$A$14,MATCH(TRUE,ISNUMBER(SEARCH('chất liệu'!$A$1:$A$14,'ĐÚC P-029-06.01 A0)'!D6)),0)),"")</f>
      </c>
    </row>
    <row r="7" ht="18.95" customHeight="1" spans="1:23" x14ac:dyDescent="0.25">
      <c r="A7" s="36" t="s">
        <v>30</v>
      </c>
      <c r="B7" s="37"/>
      <c r="C7" s="37"/>
      <c r="D7" s="37"/>
      <c r="E7" s="37"/>
      <c r="F7" s="38"/>
      <c r="G7" s="39">
        <f>IF(SUM(G6:G6)=0,"",SUM(G6:G6))</f>
      </c>
      <c r="H7" s="39">
        <f>IF(SUM(H6:H6)=0,"",SUM(H6:H6))</f>
      </c>
      <c r="I7" s="39">
        <f>IF(SUM(I6:I6)=0,"",SUM(I6:I6))</f>
      </c>
      <c r="J7" s="39">
        <f>IF(SUM(J6:J6)=0,"",SUM(J6:J6))</f>
      </c>
      <c r="K7" s="39">
        <f>IF(SUM(K6:K6)=0,"",SUM(K6:K6))</f>
      </c>
      <c r="L7" s="39">
        <f>IF(SUM(L6:L6)=0,"",SUM(L6:L6))</f>
      </c>
      <c r="M7" s="39">
        <f>IF(SUM(M6:M6)=0,"",SUM(M6:M6))</f>
      </c>
      <c r="N7" s="39">
        <f>IF(SUM(N6:N6)=0,"",SUM(N6:N6))</f>
      </c>
      <c r="O7" s="39">
        <f>IF(SUM(O6:O6)=0,"",SUM(O6:O6))</f>
      </c>
      <c r="P7" s="39">
        <f>IF(SUM(P6:P6)=0,"",SUM(P6:P6))</f>
      </c>
      <c r="Q7" s="39">
        <f>IF(SUM(Q6:Q6)=0,"",SUM(Q6:Q6))</f>
      </c>
      <c r="R7" s="39">
        <f>IF(SUM(R6:R6)=0,"",SUM(R6:R6))</f>
      </c>
      <c r="S7" s="39">
        <f>IF(SUM(S6:S6)=0,"",SUM(S6:S6))</f>
      </c>
      <c r="T7" s="39">
        <f>IF(SUM(T6:T6)=0,"",SUM(T6:T6))</f>
      </c>
      <c r="U7" s="39">
        <f>IF(SUM(U6:U6)=0,"",SUM(U6:U6))</f>
      </c>
      <c r="V7" s="39">
        <f>IF(SUM(V6:V6)=0,"",SUM(V6:V6))</f>
      </c>
      <c r="W7" s="35">
        <f>IF(SUM(W6:W6)=0,"",SUM(W6:W6))</f>
      </c>
    </row>
    <row r="8" ht="36" customHeight="1" spans="1:23" x14ac:dyDescent="0.25">
      <c r="A8" s="40" t="s">
        <v>31</v>
      </c>
      <c r="B8" s="41"/>
      <c r="C8" s="40" t="s">
        <v>32</v>
      </c>
      <c r="D8" s="42"/>
      <c r="E8" s="42"/>
      <c r="F8" s="41"/>
      <c r="G8" s="42" t="s">
        <v>33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1"/>
      <c r="S8" s="43" t="s">
        <v>34</v>
      </c>
      <c r="T8" s="43"/>
      <c r="U8" s="43"/>
      <c r="V8" s="43"/>
      <c r="W8" s="43"/>
    </row>
    <row r="9" ht="18.75" customHeight="1" spans="1:23" x14ac:dyDescent="0.25">
      <c r="A9" s="44"/>
      <c r="B9" s="45"/>
      <c r="C9" s="46" t="s">
        <v>35</v>
      </c>
      <c r="D9" s="46" t="s">
        <v>36</v>
      </c>
      <c r="E9" s="47"/>
      <c r="F9" s="47"/>
      <c r="G9" s="48" t="s">
        <v>37</v>
      </c>
      <c r="H9" s="49"/>
      <c r="I9" s="50" t="s">
        <v>38</v>
      </c>
      <c r="J9" s="51"/>
      <c r="K9" s="48" t="s">
        <v>39</v>
      </c>
      <c r="L9" s="49"/>
      <c r="M9" s="29" t="s">
        <v>40</v>
      </c>
      <c r="N9" s="29"/>
      <c r="O9" s="47"/>
      <c r="P9" s="47"/>
      <c r="Q9" s="47"/>
      <c r="R9" s="47"/>
      <c r="S9" s="52">
        <f>SUM(C10:P10)</f>
        <v>0</v>
      </c>
      <c r="T9" s="52"/>
      <c r="U9" s="52"/>
      <c r="V9" s="52"/>
      <c r="W9" s="52"/>
    </row>
    <row r="10" ht="21.75" customHeight="1" spans="1:23" x14ac:dyDescent="0.25">
      <c r="A10" s="53"/>
      <c r="B10" s="54"/>
      <c r="C10" s="55">
        <f>SUMIFS(AA6:AA7, AB6:AB7, "CF8M", Z6:Z7, "ỐNG")+SUMIFS(AA6:AA7, AB6:AB7, "316", Z6:Z7, "ỐNG")</f>
        <v>0</v>
      </c>
      <c r="D10" s="55">
        <f>SUMIFS(AA6:AA7, AB6:AB7, "CF8", Z6:Z7, "ỐNG")+SUMIFS(AA6:AA7, AB6:AB7, "304", Z6:Z7, "ỐNG")</f>
        <v>0</v>
      </c>
      <c r="E10" s="56">
        <f>SUMIFS(AA6:AA7, Z6:Z7, "ỐNG")-C10-D10</f>
        <v>0</v>
      </c>
      <c r="F10" s="57"/>
      <c r="G10" s="56">
        <f>SUMIFS(AA6:AA7, AB6:AB7, "CF8M", Z6:Z7, "VAN")</f>
        <v>0</v>
      </c>
      <c r="H10" s="57"/>
      <c r="I10" s="56">
        <f>SUMIFS(AA6:AA7, AB6:AB7, "CF8", Z6:Z7, "VAN")</f>
        <v>0</v>
      </c>
      <c r="J10" s="57"/>
      <c r="K10" s="56">
        <f>SUMIFS(AA6:AA7, AB6:AB7, "CF3M", Z6:Z7, "VAN")</f>
        <v>0</v>
      </c>
      <c r="L10" s="57"/>
      <c r="M10" s="56">
        <f>SUMIFS(AA6:AA7, AB6:AB7, "WCB", Z6:Z7, "VAN")</f>
        <v>0</v>
      </c>
      <c r="N10" s="57"/>
      <c r="O10" s="56">
        <f>SUMIFS(AA6:AA7, Z6:Z7, "VAN")-G10-I10-K10-M10</f>
        <v>0</v>
      </c>
      <c r="P10" s="57"/>
      <c r="Q10" s="58"/>
      <c r="R10" s="58"/>
      <c r="S10" s="52"/>
      <c r="T10" s="52"/>
      <c r="U10" s="52"/>
      <c r="V10" s="52"/>
      <c r="W10" s="52"/>
    </row>
    <row r="11" ht="21" customHeight="1" spans="1:23" x14ac:dyDescent="0.25">
      <c r="A11" s="59" t="s">
        <v>41</v>
      </c>
      <c r="B11" s="59"/>
      <c r="C11" s="59" t="s">
        <v>42</v>
      </c>
      <c r="D11" s="59"/>
      <c r="E11" s="59" t="s">
        <v>43</v>
      </c>
      <c r="F11" s="59"/>
      <c r="G11" s="59"/>
      <c r="H11" s="59"/>
      <c r="I11" s="59" t="s">
        <v>44</v>
      </c>
      <c r="J11" s="59"/>
      <c r="K11" s="59"/>
      <c r="L11" s="59"/>
      <c r="M11" s="59"/>
      <c r="N11" s="59" t="s">
        <v>45</v>
      </c>
      <c r="O11" s="60"/>
      <c r="P11" s="60"/>
      <c r="Q11" s="60"/>
      <c r="R11" s="60"/>
      <c r="S11" s="61" t="s">
        <v>46</v>
      </c>
      <c r="T11" s="62"/>
      <c r="U11" s="62"/>
      <c r="V11" s="62"/>
      <c r="W11" s="63"/>
    </row>
    <row r="12" ht="21" customHeight="1" spans="1:23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60"/>
      <c r="O12" s="60"/>
      <c r="P12" s="60"/>
      <c r="Q12" s="60"/>
      <c r="R12" s="60"/>
      <c r="S12" s="64"/>
      <c r="T12" s="65"/>
      <c r="U12" s="65"/>
      <c r="V12" s="65"/>
      <c r="W12" s="66"/>
    </row>
    <row r="13" ht="47.25" customHeight="1" spans="1:23" x14ac:dyDescent="0.25">
      <c r="A13" s="29"/>
      <c r="B13" s="29"/>
      <c r="C13" s="29"/>
      <c r="D13" s="29"/>
      <c r="E13" s="29"/>
      <c r="F13" s="29"/>
      <c r="G13" s="29"/>
      <c r="H13" s="29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8" t="s">
        <v>47</v>
      </c>
      <c r="T13" s="68"/>
      <c r="U13" s="68"/>
      <c r="V13" s="68"/>
      <c r="W13" s="69"/>
    </row>
    <row r="14" spans="19:23" x14ac:dyDescent="0.25">
      <c r="S14" s="70" t="s">
        <v>48</v>
      </c>
      <c r="T14" s="70"/>
      <c r="U14" s="70"/>
      <c r="V14" s="70"/>
      <c r="W14" s="70"/>
    </row>
  </sheetData>
  <autoFilter ref="A5:AB14"/>
  <mergeCells count="43">
    <mergeCell ref="A2:W2"/>
    <mergeCell ref="E4:F5"/>
    <mergeCell ref="G4:W4"/>
    <mergeCell ref="A4:A5"/>
    <mergeCell ref="B4:B5"/>
    <mergeCell ref="C4:C5"/>
    <mergeCell ref="D4:D5"/>
    <mergeCell ref="E6:F6"/>
    <mergeCell ref="A7:F7"/>
    <mergeCell ref="A8:B8"/>
    <mergeCell ref="C8:F8"/>
    <mergeCell ref="G8:R8"/>
    <mergeCell ref="S8:W8"/>
    <mergeCell ref="A9:B10"/>
    <mergeCell ref="E9:F9"/>
    <mergeCell ref="G9:H9"/>
    <mergeCell ref="I9:J9"/>
    <mergeCell ref="K9:L9"/>
    <mergeCell ref="M9:N9"/>
    <mergeCell ref="O9:P9"/>
    <mergeCell ref="Q9:R9"/>
    <mergeCell ref="S9:W10"/>
    <mergeCell ref="E10:F10"/>
    <mergeCell ref="G10:H10"/>
    <mergeCell ref="I10:J10"/>
    <mergeCell ref="K10:L10"/>
    <mergeCell ref="M10:N10"/>
    <mergeCell ref="O10:P10"/>
    <mergeCell ref="Q10:R10"/>
    <mergeCell ref="A11:B12"/>
    <mergeCell ref="C11:D12"/>
    <mergeCell ref="E11:H12"/>
    <mergeCell ref="I11:M12"/>
    <mergeCell ref="N11:R12"/>
    <mergeCell ref="S11:W11"/>
    <mergeCell ref="S12:W12"/>
    <mergeCell ref="A13:B13"/>
    <mergeCell ref="C13:D13"/>
    <mergeCell ref="E13:H13"/>
    <mergeCell ref="I13:M13"/>
    <mergeCell ref="N13:R13"/>
    <mergeCell ref="S13:W13"/>
    <mergeCell ref="S14:W14"/>
  </mergeCells>
  <conditionalFormatting sqref="AA4">
    <cfRule type="cellIs" dxfId="0" priority="1" operator="equal">
      <formula>$S$9</formula>
    </cfRule>
  </conditionalFormatting>
  <pageMargins left="0.31496062992125984" right="0" top="0.3937007874015748" bottom="0" header="0" footer="0"/>
  <pageSetup paperSize="9" orientation="landscape" horizontalDpi="4294967295" verticalDpi="4294967295" scale="82" fitToWidth="1" fitToHeight="0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 zoomScale="100" zoomScaleNormal="100">
      <selection activeCell="A14" sqref="A14"/>
    </sheetView>
  </sheetViews>
  <sheetFormatPr defaultRowHeight="14.25" outlineLevelRow="0" outlineLevelCol="0" x14ac:dyDescent="0" customHeight="1"/>
  <cols>
    <col min="1" max="1" width="14.25" customWidth="1"/>
  </cols>
  <sheetData>
    <row r="1" ht="15.75" customHeight="1" spans="1:1" x14ac:dyDescent="0.25">
      <c r="A1" s="2" t="s">
        <v>49</v>
      </c>
    </row>
    <row r="2" ht="15.75" customHeight="1" spans="1:1" x14ac:dyDescent="0.25">
      <c r="A2" s="2" t="s">
        <v>39</v>
      </c>
    </row>
    <row r="3" ht="15.75" customHeight="1" spans="1:1" x14ac:dyDescent="0.25">
      <c r="A3" s="2" t="s">
        <v>50</v>
      </c>
    </row>
    <row r="4" ht="15.75" customHeight="1" spans="1:1" x14ac:dyDescent="0.25">
      <c r="A4" s="2" t="s">
        <v>40</v>
      </c>
    </row>
    <row r="5" ht="15.75" customHeight="1" spans="1:1" x14ac:dyDescent="0.25">
      <c r="A5" s="2" t="s">
        <v>51</v>
      </c>
    </row>
    <row r="6" ht="15.75" customHeight="1" spans="1:1" x14ac:dyDescent="0.25">
      <c r="A6" s="2" t="s">
        <v>52</v>
      </c>
    </row>
    <row r="7" ht="15.75" customHeight="1" spans="1:1" x14ac:dyDescent="0.25">
      <c r="A7" s="2" t="s">
        <v>53</v>
      </c>
    </row>
    <row r="8" ht="15.75" customHeight="1" spans="1:1" x14ac:dyDescent="0.25">
      <c r="A8" s="2" t="s">
        <v>54</v>
      </c>
    </row>
    <row r="9" ht="15.75" customHeight="1" spans="1:1" x14ac:dyDescent="0.25">
      <c r="A9" s="2" t="s">
        <v>55</v>
      </c>
    </row>
    <row r="10" ht="15.75" customHeight="1" spans="1:1" x14ac:dyDescent="0.25">
      <c r="A10" s="2" t="s">
        <v>56</v>
      </c>
    </row>
    <row r="11" ht="15.75" customHeight="1" spans="1:1" x14ac:dyDescent="0.25">
      <c r="A11" s="2" t="s">
        <v>57</v>
      </c>
    </row>
    <row r="12" ht="15.75" customHeight="1" spans="1:1" x14ac:dyDescent="0.25">
      <c r="A12" s="2" t="s">
        <v>38</v>
      </c>
    </row>
    <row r="13" ht="15.75" customHeight="1" spans="1:1" x14ac:dyDescent="0.25">
      <c r="A13" s="2">
        <v>316</v>
      </c>
    </row>
    <row r="14" ht="15.75" customHeight="1" spans="1:1" x14ac:dyDescent="0.25">
      <c r="A14" s="2">
        <v>304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ĐÚC P-029-06.01 A0)</vt:lpstr>
      <vt:lpstr>chất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2013-05-02T05:44:06Z</cp:lastPrinted>
  <dcterms:created xsi:type="dcterms:W3CDTF">1996-12-17T01:32:42Z</dcterms:created>
  <dcterms:modified xsi:type="dcterms:W3CDTF">2026-07-22T13:53:42Z</dcterms:modified>
</cp:coreProperties>
</file>